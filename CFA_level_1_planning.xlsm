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shaki\OneDrive\Bureau\"/>
    </mc:Choice>
  </mc:AlternateContent>
  <xr:revisionPtr revIDLastSave="0" documentId="13_ncr:1_{72E32F1E-3EC1-4683-8E0D-9E286820B3C1}" xr6:coauthVersionLast="47" xr6:coauthVersionMax="47" xr10:uidLastSave="{00000000-0000-0000-0000-000000000000}"/>
  <bookViews>
    <workbookView xWindow="-108" yWindow="-108" windowWidth="23256" windowHeight="12456" activeTab="1" xr2:uid="{00000000-000D-0000-FFFF-FFFF00000000}"/>
  </bookViews>
  <sheets>
    <sheet name="F1" sheetId="1" r:id="rId1"/>
    <sheet name="F2"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1" l="1"/>
  <c r="N8" i="2" a="1"/>
  <c r="N7" i="2" a="1"/>
  <c r="L11" i="2" a="1"/>
  <c r="L10" i="2" a="1"/>
  <c r="L9" i="2" a="1"/>
  <c r="L8" i="2" a="1"/>
  <c r="L7" i="2" a="1"/>
  <c r="J11" i="2" a="1"/>
  <c r="J10" i="2" a="1"/>
  <c r="J9" i="2" a="1"/>
  <c r="J8" i="2" a="1"/>
  <c r="AM17" i="1" a="1"/>
  <c r="AM23" i="1" a="1"/>
  <c r="AM29" i="1" a="1"/>
  <c r="AM35" i="1" a="1"/>
  <c r="AM41" i="1" a="1"/>
  <c r="AM47" i="1" a="1"/>
  <c r="AM53" i="1" a="1"/>
  <c r="AM59" i="1" a="1"/>
  <c r="AM65" i="1" a="1"/>
  <c r="AM71" i="1" a="1"/>
  <c r="AM77" i="1" a="1"/>
  <c r="AM83" i="1" a="1"/>
  <c r="AM89" i="1" a="1"/>
  <c r="AM95" i="1" a="1"/>
  <c r="AM101" i="1" a="1"/>
  <c r="AM107" i="1" a="1"/>
  <c r="AM113" i="1" a="1"/>
  <c r="AM119" i="1" a="1"/>
  <c r="AM125" i="1" a="1"/>
  <c r="AM131" i="1" a="1"/>
  <c r="AM137" i="1" a="1"/>
  <c r="AM143" i="1" a="1"/>
  <c r="AM149" i="1" a="1"/>
  <c r="AM155" i="1" a="1"/>
  <c r="AM161" i="1" a="1"/>
  <c r="AM167" i="1" a="1"/>
  <c r="AM173" i="1" a="1"/>
  <c r="AM179" i="1" a="1"/>
  <c r="AM185" i="1" a="1"/>
  <c r="AM191" i="1" a="1"/>
  <c r="AM197" i="1" a="1"/>
  <c r="AM203" i="1" a="1"/>
  <c r="AM209" i="1" a="1"/>
  <c r="AM215" i="1" a="1"/>
  <c r="AM221" i="1" a="1"/>
  <c r="AM227" i="1" a="1"/>
  <c r="AM233" i="1" a="1"/>
  <c r="AM239" i="1" a="1"/>
  <c r="AM245" i="1" a="1"/>
  <c r="AM251" i="1" a="1"/>
  <c r="AM257" i="1" a="1"/>
  <c r="AM263" i="1" a="1"/>
  <c r="AM269" i="1" a="1"/>
  <c r="AM275" i="1" a="1"/>
  <c r="AM281" i="1" a="1"/>
  <c r="AM287" i="1" a="1"/>
  <c r="AM293" i="1" a="1"/>
  <c r="AM299" i="1" a="1"/>
  <c r="AM305" i="1" a="1"/>
  <c r="AM311" i="1" a="1"/>
  <c r="AM317" i="1" a="1"/>
  <c r="AM323" i="1" a="1"/>
  <c r="AM329" i="1" a="1"/>
  <c r="AM335" i="1" a="1"/>
  <c r="AM341" i="1" a="1"/>
  <c r="AM347" i="1" a="1"/>
  <c r="AM353" i="1" a="1"/>
  <c r="AM359" i="1" a="1"/>
  <c r="AM365" i="1" a="1"/>
  <c r="AM371" i="1" a="1"/>
  <c r="AM377" i="1" a="1"/>
  <c r="AM383" i="1" a="1"/>
  <c r="AM389" i="1" a="1"/>
  <c r="AM395" i="1" a="1"/>
  <c r="AM401" i="1" a="1"/>
  <c r="AM407" i="1" a="1"/>
  <c r="AM413" i="1" a="1"/>
  <c r="AM419" i="1" a="1"/>
  <c r="AM425" i="1" a="1"/>
  <c r="AM431" i="1" a="1"/>
  <c r="AM437" i="1" a="1"/>
  <c r="AM443" i="1" a="1"/>
  <c r="AM449" i="1" a="1"/>
  <c r="AM18" i="1" a="1"/>
  <c r="AM24" i="1" a="1"/>
  <c r="AM30" i="1" a="1"/>
  <c r="AM36" i="1" a="1"/>
  <c r="AM42" i="1" a="1"/>
  <c r="AM48" i="1" a="1"/>
  <c r="AM54" i="1" a="1"/>
  <c r="AM60" i="1" a="1"/>
  <c r="AM66" i="1" a="1"/>
  <c r="AM72" i="1" a="1"/>
  <c r="AM78" i="1" a="1"/>
  <c r="AM84" i="1" a="1"/>
  <c r="AM90" i="1" a="1"/>
  <c r="AM96" i="1" a="1"/>
  <c r="AM102" i="1" a="1"/>
  <c r="AM108" i="1" a="1"/>
  <c r="AM114" i="1" a="1"/>
  <c r="AM120" i="1" a="1"/>
  <c r="AM19" i="1" a="1"/>
  <c r="AM27" i="1" a="1"/>
  <c r="AM37" i="1" a="1"/>
  <c r="AM45" i="1" a="1"/>
  <c r="AM55" i="1" a="1"/>
  <c r="AM63" i="1" a="1"/>
  <c r="AM73" i="1" a="1"/>
  <c r="AM81" i="1" a="1"/>
  <c r="AM91" i="1" a="1"/>
  <c r="AM99" i="1" a="1"/>
  <c r="AM109" i="1" a="1"/>
  <c r="AM117" i="1" a="1"/>
  <c r="AM126" i="1" a="1"/>
  <c r="AM134" i="1" a="1"/>
  <c r="AM150" i="1" a="1"/>
  <c r="AM158" i="1" a="1"/>
  <c r="AM174" i="1" a="1"/>
  <c r="AM182" i="1" a="1"/>
  <c r="AM198" i="1" a="1"/>
  <c r="AM206" i="1" a="1"/>
  <c r="AM222" i="1" a="1"/>
  <c r="AM230" i="1" a="1"/>
  <c r="AM246" i="1" a="1"/>
  <c r="AM254" i="1" a="1"/>
  <c r="AM270" i="1" a="1"/>
  <c r="AM278" i="1" a="1"/>
  <c r="AM294" i="1" a="1"/>
  <c r="AM302" i="1" a="1"/>
  <c r="AM318" i="1" a="1"/>
  <c r="AM326" i="1" a="1"/>
  <c r="AM342" i="1" a="1"/>
  <c r="AM350" i="1" a="1"/>
  <c r="AM366" i="1" a="1"/>
  <c r="AM374" i="1" a="1"/>
  <c r="AM390" i="1" a="1"/>
  <c r="AM398" i="1" a="1"/>
  <c r="AM414" i="1" a="1"/>
  <c r="AM422" i="1" a="1"/>
  <c r="AM438" i="1" a="1"/>
  <c r="AM446" i="1" a="1"/>
  <c r="AM468" i="1" a="1"/>
  <c r="AM504" i="1" a="1"/>
  <c r="AM598" i="1" a="1"/>
  <c r="AM351" i="1" a="1"/>
  <c r="AM375" i="1" a="1"/>
  <c r="AM399" i="1" a="1"/>
  <c r="AM423" i="1" a="1"/>
  <c r="AM127" i="1" a="1"/>
  <c r="AM142" i="1" a="1"/>
  <c r="AM151" i="1" a="1"/>
  <c r="AM166" i="1" a="1"/>
  <c r="AM175" i="1" a="1"/>
  <c r="AM190" i="1" a="1"/>
  <c r="AM199" i="1" a="1"/>
  <c r="AM214" i="1" a="1"/>
  <c r="AM223" i="1" a="1"/>
  <c r="AM238" i="1" a="1"/>
  <c r="AM247" i="1" a="1"/>
  <c r="AM262" i="1" a="1"/>
  <c r="AM271" i="1" a="1"/>
  <c r="AM286" i="1" a="1"/>
  <c r="AM295" i="1" a="1"/>
  <c r="AM310" i="1" a="1"/>
  <c r="AM319" i="1" a="1"/>
  <c r="AM334" i="1" a="1"/>
  <c r="AM343" i="1" a="1"/>
  <c r="AM358" i="1" a="1"/>
  <c r="AM367" i="1" a="1"/>
  <c r="AM382" i="1" a="1"/>
  <c r="AM391" i="1" a="1"/>
  <c r="AM406" i="1" a="1"/>
  <c r="AM415" i="1" a="1"/>
  <c r="AM430" i="1" a="1"/>
  <c r="AM439" i="1" a="1"/>
  <c r="AM454" i="1" a="1"/>
  <c r="AM461" i="1" a="1"/>
  <c r="AM469" i="1" a="1"/>
  <c r="AM476" i="1" a="1"/>
  <c r="AM483" i="1" a="1"/>
  <c r="AM490" i="1" a="1"/>
  <c r="AM497" i="1" a="1"/>
  <c r="AM505" i="1" a="1"/>
  <c r="AM512" i="1" a="1"/>
  <c r="AM519" i="1" a="1"/>
  <c r="AM526" i="1" a="1"/>
  <c r="AM532" i="1" a="1"/>
  <c r="AM538" i="1" a="1"/>
  <c r="AM544" i="1" a="1"/>
  <c r="AM550" i="1" a="1"/>
  <c r="AM556" i="1" a="1"/>
  <c r="AM562" i="1" a="1"/>
  <c r="AM568" i="1" a="1"/>
  <c r="AM574" i="1" a="1"/>
  <c r="AM580" i="1" a="1"/>
  <c r="AM586" i="1" a="1"/>
  <c r="AM592" i="1" a="1"/>
  <c r="AM279" i="1" a="1"/>
  <c r="AM447" i="1" a="1"/>
  <c r="AM462" i="1" a="1"/>
  <c r="AM20" i="1" a="1"/>
  <c r="AM28" i="1" a="1"/>
  <c r="AM38" i="1" a="1"/>
  <c r="AM46" i="1" a="1"/>
  <c r="AM56" i="1" a="1"/>
  <c r="AM64" i="1" a="1"/>
  <c r="AM74" i="1" a="1"/>
  <c r="AM82" i="1" a="1"/>
  <c r="AM92" i="1" a="1"/>
  <c r="AM100" i="1" a="1"/>
  <c r="AM110" i="1" a="1"/>
  <c r="AM118" i="1" a="1"/>
  <c r="AM135" i="1" a="1"/>
  <c r="AM159" i="1" a="1"/>
  <c r="AM183" i="1" a="1"/>
  <c r="AM207" i="1" a="1"/>
  <c r="AM231" i="1" a="1"/>
  <c r="AM255" i="1" a="1"/>
  <c r="AM303" i="1" a="1"/>
  <c r="AM327" i="1" a="1"/>
  <c r="AM498" i="1" a="1"/>
  <c r="AM21" i="1" a="1"/>
  <c r="AM44" i="1" a="1"/>
  <c r="AM57" i="1" a="1"/>
  <c r="AM80" i="1" a="1"/>
  <c r="AM93" i="1" a="1"/>
  <c r="AM116" i="1" a="1"/>
  <c r="AM139" i="1" a="1"/>
  <c r="AM148" i="1" a="1"/>
  <c r="AM160" i="1" a="1"/>
  <c r="AM181" i="1" a="1"/>
  <c r="AM193" i="1" a="1"/>
  <c r="AM202" i="1" a="1"/>
  <c r="AM235" i="1" a="1"/>
  <c r="AM244" i="1" a="1"/>
  <c r="AM256" i="1" a="1"/>
  <c r="AM277" i="1" a="1"/>
  <c r="AM289" i="1" a="1"/>
  <c r="AM298" i="1" a="1"/>
  <c r="AM331" i="1" a="1"/>
  <c r="AM340" i="1" a="1"/>
  <c r="AM352" i="1" a="1"/>
  <c r="AM373" i="1" a="1"/>
  <c r="AM385" i="1" a="1"/>
  <c r="AM394" i="1" a="1"/>
  <c r="AM427" i="1" a="1"/>
  <c r="AM436" i="1" a="1"/>
  <c r="AM448" i="1" a="1"/>
  <c r="AM458" i="1" a="1"/>
  <c r="AM487" i="1" a="1"/>
  <c r="AM515" i="1" a="1"/>
  <c r="AM541" i="1" a="1"/>
  <c r="AM565" i="1" a="1"/>
  <c r="AM589" i="1" a="1"/>
  <c r="AM33" i="1" a="1"/>
  <c r="AM69" i="1" a="1"/>
  <c r="AM105" i="1" a="1"/>
  <c r="AM129" i="1" a="1"/>
  <c r="AM171" i="1" a="1"/>
  <c r="AM213" i="1" a="1"/>
  <c r="AM225" i="1" a="1"/>
  <c r="AM267" i="1" a="1"/>
  <c r="AM309" i="1" a="1"/>
  <c r="AM321" i="1" a="1"/>
  <c r="AM363" i="1" a="1"/>
  <c r="AM405" i="1" a="1"/>
  <c r="AM417" i="1" a="1"/>
  <c r="AM467" i="1" a="1"/>
  <c r="AM478" i="1" a="1"/>
  <c r="AM496" i="1" a="1"/>
  <c r="AM507" i="1" a="1"/>
  <c r="AM516" i="1" a="1"/>
  <c r="AM525" i="1" a="1"/>
  <c r="AM534" i="1" a="1"/>
  <c r="AM549" i="1" a="1"/>
  <c r="AM558" i="1" a="1"/>
  <c r="AM573" i="1" a="1"/>
  <c r="AM582" i="1" a="1"/>
  <c r="AM597" i="1" a="1"/>
  <c r="AM517" i="1" a="1"/>
  <c r="AM551" i="1" a="1"/>
  <c r="AM566" i="1" a="1"/>
  <c r="AM599" i="1" a="1"/>
  <c r="AM85" i="1" a="1"/>
  <c r="AM106" i="1" a="1"/>
  <c r="AM130" i="1" a="1"/>
  <c r="AM172" i="1" a="1"/>
  <c r="AM205" i="1" a="1"/>
  <c r="AM226" i="1" a="1"/>
  <c r="AM259" i="1" a="1"/>
  <c r="AM280" i="1" a="1"/>
  <c r="AM313" i="1" a="1"/>
  <c r="AM355" i="1" a="1"/>
  <c r="AM376" i="1" a="1"/>
  <c r="AM409" i="1" a="1"/>
  <c r="AM479" i="1" a="1"/>
  <c r="AM535" i="1" a="1"/>
  <c r="AM583" i="1" a="1"/>
  <c r="AM141" i="1" a="1"/>
  <c r="AM237" i="1" a="1"/>
  <c r="AM291" i="1" a="1"/>
  <c r="AM333" i="1" a="1"/>
  <c r="AM429" i="1" a="1"/>
  <c r="AM471" i="1" a="1"/>
  <c r="AM489" i="1" a="1"/>
  <c r="AM528" i="1" a="1"/>
  <c r="AM543" i="1" a="1"/>
  <c r="AM22" i="1" a="1"/>
  <c r="AM58" i="1" a="1"/>
  <c r="AM94" i="1" a="1"/>
  <c r="AM140" i="1" a="1"/>
  <c r="AM152" i="1" a="1"/>
  <c r="AM162" i="1" a="1"/>
  <c r="AM194" i="1" a="1"/>
  <c r="AM204" i="1" a="1"/>
  <c r="AM216" i="1" a="1"/>
  <c r="AM236" i="1" a="1"/>
  <c r="AM248" i="1" a="1"/>
  <c r="AM258" i="1" a="1"/>
  <c r="AM290" i="1" a="1"/>
  <c r="AM300" i="1" a="1"/>
  <c r="AM312" i="1" a="1"/>
  <c r="AM332" i="1" a="1"/>
  <c r="AM344" i="1" a="1"/>
  <c r="AM354" i="1" a="1"/>
  <c r="AM386" i="1" a="1"/>
  <c r="AM396" i="1" a="1"/>
  <c r="AM408" i="1" a="1"/>
  <c r="AM428" i="1" a="1"/>
  <c r="AM440" i="1" a="1"/>
  <c r="AM450" i="1" a="1"/>
  <c r="AM459" i="1" a="1"/>
  <c r="AM470" i="1" a="1"/>
  <c r="AM488" i="1" a="1"/>
  <c r="AM499" i="1" a="1"/>
  <c r="AM527" i="1" a="1"/>
  <c r="AM542" i="1" a="1"/>
  <c r="AM575" i="1" a="1"/>
  <c r="AM590" i="1" a="1"/>
  <c r="AM34" i="1" a="1"/>
  <c r="AM49" i="1" a="1"/>
  <c r="AM70" i="1" a="1"/>
  <c r="AM121" i="1" a="1"/>
  <c r="AM163" i="1" a="1"/>
  <c r="AM184" i="1" a="1"/>
  <c r="AM217" i="1" a="1"/>
  <c r="AM268" i="1" a="1"/>
  <c r="AM301" i="1" a="1"/>
  <c r="AM322" i="1" a="1"/>
  <c r="AM364" i="1" a="1"/>
  <c r="AM397" i="1" a="1"/>
  <c r="AM418" i="1" a="1"/>
  <c r="AM451" i="1" a="1"/>
  <c r="AM508" i="1" a="1"/>
  <c r="AM559" i="1" a="1"/>
  <c r="AM25" i="1" a="1"/>
  <c r="AM61" i="1" a="1"/>
  <c r="AM97" i="1" a="1"/>
  <c r="AM153" i="1" a="1"/>
  <c r="AM195" i="1" a="1"/>
  <c r="AM249" i="1" a="1"/>
  <c r="AM345" i="1" a="1"/>
  <c r="AM387" i="1" a="1"/>
  <c r="AM441" i="1" a="1"/>
  <c r="AM460" i="1" a="1"/>
  <c r="AM480" i="1" a="1"/>
  <c r="AM500" i="1" a="1"/>
  <c r="AM518" i="1" a="1"/>
  <c r="AM50" i="1" a="1"/>
  <c r="AM86" i="1" a="1"/>
  <c r="AM122" i="1" a="1"/>
  <c r="AM132" i="1" a="1"/>
  <c r="AM144" i="1" a="1"/>
  <c r="AM164" i="1" a="1"/>
  <c r="AM176" i="1" a="1"/>
  <c r="AM186" i="1" a="1"/>
  <c r="AM218" i="1" a="1"/>
  <c r="AM228" i="1" a="1"/>
  <c r="AM240" i="1" a="1"/>
  <c r="AM260" i="1" a="1"/>
  <c r="AM26" i="1" a="1"/>
  <c r="AM75" i="1" a="1"/>
  <c r="AM98" i="1" a="1"/>
  <c r="AM145" i="1" a="1"/>
  <c r="AM187" i="1" a="1"/>
  <c r="AM208" i="1" a="1"/>
  <c r="AM229" i="1" a="1"/>
  <c r="AM250" i="1" a="1"/>
  <c r="AM272" i="1" a="1"/>
  <c r="AM285" i="1" a="1"/>
  <c r="AM306" i="1" a="1"/>
  <c r="AM325" i="1" a="1"/>
  <c r="AM361" i="1" a="1"/>
  <c r="AM434" i="1" a="1"/>
  <c r="AM466" i="1" a="1"/>
  <c r="AM520" i="1" a="1"/>
  <c r="AM531" i="1" a="1"/>
  <c r="AM571" i="1" a="1"/>
  <c r="AM595" i="1" a="1"/>
  <c r="AM168" i="1" a="1"/>
  <c r="AM210" i="1" a="1"/>
  <c r="AM252" i="1" a="1"/>
  <c r="AM362" i="1" a="1"/>
  <c r="AM435" i="1" a="1"/>
  <c r="AM455" i="1" a="1"/>
  <c r="AM486" i="1" a="1"/>
  <c r="AM536" i="1" a="1"/>
  <c r="AM403" i="1" a="1"/>
  <c r="AM492" i="1" a="1"/>
  <c r="AM537" i="1" a="1"/>
  <c r="AM576" i="1" a="1"/>
  <c r="AM170" i="1" a="1"/>
  <c r="AM234" i="1" a="1"/>
  <c r="AM330" i="1" a="1"/>
  <c r="AM442" i="1" a="1"/>
  <c r="AM62" i="1" a="1"/>
  <c r="AM154" i="1" a="1"/>
  <c r="AM315" i="1" a="1"/>
  <c r="AM404" i="1" a="1"/>
  <c r="AM463" i="1" a="1"/>
  <c r="AM524" i="1" a="1"/>
  <c r="AM282" i="1" a="1"/>
  <c r="AM337" i="1" a="1"/>
  <c r="AM410" i="1" a="1"/>
  <c r="AM494" i="1" a="1"/>
  <c r="AM156" i="1" a="1"/>
  <c r="AM264" i="1" a="1"/>
  <c r="AM316" i="1" a="1"/>
  <c r="AM481" i="1" a="1"/>
  <c r="AM529" i="1" a="1"/>
  <c r="AM578" i="1" a="1"/>
  <c r="AM88" i="1" a="1"/>
  <c r="AM220" i="1" a="1"/>
  <c r="AM372" i="1" a="1"/>
  <c r="AM495" i="1" a="1"/>
  <c r="AM43" i="1" a="1"/>
  <c r="AM201" i="1" a="1"/>
  <c r="AM320" i="1" a="1"/>
  <c r="AM393" i="1" a="1"/>
  <c r="AM482" i="1" a="1"/>
  <c r="AM68" i="1" a="1"/>
  <c r="AM224" i="1" a="1"/>
  <c r="AM360" i="1" a="1"/>
  <c r="AM452" i="1" a="1"/>
  <c r="AM570" i="1" a="1"/>
  <c r="AM51" i="1" a="1"/>
  <c r="AM123" i="1" a="1"/>
  <c r="AM165" i="1" a="1"/>
  <c r="AM288" i="1" a="1"/>
  <c r="AM307" i="1" a="1"/>
  <c r="AM380" i="1" a="1"/>
  <c r="AM400" i="1" a="1"/>
  <c r="AM416" i="1" a="1"/>
  <c r="AM453" i="1" a="1"/>
  <c r="AM485" i="1" a="1"/>
  <c r="AM502" i="1" a="1"/>
  <c r="AM533" i="1" a="1"/>
  <c r="AM547" i="1" a="1"/>
  <c r="AM560" i="1" a="1"/>
  <c r="AM584" i="1" a="1"/>
  <c r="AM76" i="1" a="1"/>
  <c r="AM146" i="1" a="1"/>
  <c r="AM188" i="1" a="1"/>
  <c r="AM273" i="1" a="1"/>
  <c r="AM346" i="1" a="1"/>
  <c r="AM420" i="1" a="1"/>
  <c r="AM472" i="1" a="1"/>
  <c r="AM521" i="1" a="1"/>
  <c r="AM384" i="1" a="1"/>
  <c r="AM473" i="1" a="1"/>
  <c r="AM523" i="1" a="1"/>
  <c r="AM563" i="1" a="1"/>
  <c r="AM32" i="1" a="1"/>
  <c r="AM128" i="1" a="1"/>
  <c r="AM212" i="1" a="1"/>
  <c r="AM296" i="1" a="1"/>
  <c r="AM369" i="1" a="1"/>
  <c r="AM474" i="1" a="1"/>
  <c r="AM539" i="1" a="1"/>
  <c r="AM111" i="1" a="1"/>
  <c r="AM241" i="1" a="1"/>
  <c r="AM276" i="1" a="1"/>
  <c r="AM388" i="1" a="1"/>
  <c r="AM475" i="1" a="1"/>
  <c r="AM510" i="1" a="1"/>
  <c r="AM564" i="1" a="1"/>
  <c r="AM177" i="1" a="1"/>
  <c r="AM261" i="1" a="1"/>
  <c r="AM370" i="1" a="1"/>
  <c r="AM444" i="1" a="1"/>
  <c r="AM511" i="1" a="1"/>
  <c r="AM40" i="1" a="1"/>
  <c r="AM200" i="1" a="1"/>
  <c r="AM392" i="1" a="1"/>
  <c r="AM464" i="1" a="1"/>
  <c r="AM513" i="1" a="1"/>
  <c r="AM567" i="1" a="1"/>
  <c r="AM67" i="1" a="1"/>
  <c r="AM157" i="1" a="1"/>
  <c r="AM338" i="1" a="1"/>
  <c r="AM411" i="1" a="1"/>
  <c r="AM569" i="1" a="1"/>
  <c r="AM115" i="1" a="1"/>
  <c r="AM304" i="1" a="1"/>
  <c r="AM357" i="1" a="1"/>
  <c r="AM465" i="1" a="1"/>
  <c r="AM514" i="1" a="1"/>
  <c r="AM138" i="1" a="1"/>
  <c r="AM324" i="1" a="1"/>
  <c r="AM484" i="1" a="1"/>
  <c r="AM546" i="1" a="1"/>
  <c r="AM581" i="1" a="1"/>
  <c r="AM493" i="1" a="1"/>
  <c r="AM577" i="1" a="1"/>
  <c r="AM426" i="1" a="1"/>
  <c r="AM284" i="1" a="1"/>
  <c r="AM555" i="1" a="1"/>
  <c r="AM379" i="1" a="1"/>
  <c r="AM594" i="1" a="1"/>
  <c r="AM31" i="1" a="1"/>
  <c r="AM52" i="1" a="1"/>
  <c r="AM103" i="1" a="1"/>
  <c r="AM124" i="1" a="1"/>
  <c r="AM169" i="1" a="1"/>
  <c r="AM211" i="1" a="1"/>
  <c r="AM232" i="1" a="1"/>
  <c r="AM253" i="1" a="1"/>
  <c r="AM292" i="1" a="1"/>
  <c r="AM308" i="1" a="1"/>
  <c r="AM328" i="1" a="1"/>
  <c r="AM368" i="1" a="1"/>
  <c r="AM381" i="1" a="1"/>
  <c r="AM402" i="1" a="1"/>
  <c r="AM421" i="1" a="1"/>
  <c r="AM456" i="1" a="1"/>
  <c r="AM491" i="1" a="1"/>
  <c r="AM503" i="1" a="1"/>
  <c r="AM522" i="1" a="1"/>
  <c r="AM548" i="1" a="1"/>
  <c r="AM561" i="1" a="1"/>
  <c r="AM572" i="1" a="1"/>
  <c r="AM585" i="1" a="1"/>
  <c r="AM596" i="1" a="1"/>
  <c r="AM79" i="1" a="1"/>
  <c r="AM147" i="1" a="1"/>
  <c r="AM189" i="1" a="1"/>
  <c r="AM274" i="1" a="1"/>
  <c r="AM314" i="1" a="1"/>
  <c r="AM348" i="1" a="1"/>
  <c r="AM457" i="1" a="1"/>
  <c r="AM506" i="1" a="1"/>
  <c r="AM552" i="1" a="1"/>
  <c r="AM587" i="1" a="1"/>
  <c r="AM104" i="1" a="1"/>
  <c r="AM192" i="1" a="1"/>
  <c r="AM349" i="1" a="1"/>
  <c r="AM509" i="1" a="1"/>
  <c r="AM39" i="1" a="1"/>
  <c r="AM133" i="1" a="1"/>
  <c r="AM196" i="1" a="1"/>
  <c r="AM336" i="1" a="1"/>
  <c r="AM424" i="1" a="1"/>
  <c r="AM553" i="1" a="1"/>
  <c r="AM588" i="1" a="1"/>
  <c r="AM87" i="1" a="1"/>
  <c r="AM219" i="1" a="1"/>
  <c r="AM297" i="1" a="1"/>
  <c r="AM477" i="1" a="1"/>
  <c r="AM540" i="1" a="1"/>
  <c r="AM112" i="1" a="1"/>
  <c r="AM242" i="1" a="1"/>
  <c r="AM283" i="1" a="1"/>
  <c r="AM356" i="1" a="1"/>
  <c r="AM445" i="1" a="1"/>
  <c r="AM554" i="1" a="1"/>
  <c r="AM591" i="1" a="1"/>
  <c r="AM136" i="1" a="1"/>
  <c r="AM178" i="1" a="1"/>
  <c r="AM265" i="1" a="1"/>
  <c r="AM432" i="1" a="1"/>
  <c r="AM545" i="1" a="1"/>
  <c r="AM593" i="1" a="1"/>
  <c r="AM243" i="1" a="1"/>
  <c r="AM378" i="1" a="1"/>
  <c r="AM433" i="1" a="1"/>
  <c r="AM530" i="1" a="1"/>
  <c r="AM579" i="1" a="1"/>
  <c r="AM180" i="1" a="1"/>
  <c r="AM266" i="1" a="1"/>
  <c r="AM339" i="1" a="1"/>
  <c r="AM412" i="1" a="1"/>
  <c r="AM501" i="1" a="1"/>
  <c r="AM557" i="1" a="1"/>
  <c r="AM10" i="1" a="1"/>
  <c r="AM16" i="1" a="1"/>
  <c r="AM12" i="1" a="1"/>
  <c r="AM13" i="1" a="1"/>
  <c r="AM14" i="1" a="1"/>
  <c r="AM11" i="1" a="1"/>
  <c r="AM15" i="1" a="1"/>
  <c r="AM9" i="1" a="1"/>
  <c r="Z9" i="1" a="1"/>
  <c r="Z21" i="1" a="1"/>
  <c r="Z27" i="1" a="1"/>
  <c r="Z10" i="1" a="1"/>
  <c r="Z22" i="1" a="1"/>
  <c r="Z40" i="1" a="1"/>
  <c r="Z19" i="1" a="1"/>
  <c r="Z29" i="1" a="1"/>
  <c r="Z34" i="1" a="1"/>
  <c r="Z26" i="1" a="1"/>
  <c r="Z30" i="1" a="1"/>
  <c r="Z33" i="1" a="1"/>
  <c r="Z35" i="1" a="1"/>
  <c r="Z37" i="1" a="1"/>
  <c r="Z39" i="1" a="1"/>
  <c r="Z41" i="1" a="1"/>
  <c r="Z43" i="1" a="1"/>
  <c r="Z47" i="1" a="1"/>
  <c r="Z51" i="1" a="1"/>
  <c r="Z56" i="1" a="1"/>
  <c r="Z45" i="1" a="1"/>
  <c r="Z66" i="1" a="1"/>
  <c r="Z72" i="1" a="1"/>
  <c r="Z50" i="1" a="1"/>
  <c r="Z55" i="1" a="1"/>
  <c r="Z60" i="1" a="1"/>
  <c r="Z61" i="1" a="1"/>
  <c r="Z67" i="1" a="1"/>
  <c r="Z73" i="1" a="1"/>
  <c r="Z28" i="1" a="1"/>
  <c r="Z62" i="1" a="1"/>
  <c r="Z68" i="1" a="1"/>
  <c r="Z74" i="1" a="1"/>
  <c r="Z36" i="1" a="1"/>
  <c r="Z44" i="1" a="1"/>
  <c r="Z86" i="1" a="1"/>
  <c r="Z92" i="1" a="1"/>
  <c r="Z98" i="1" a="1"/>
  <c r="Z104" i="1" a="1"/>
  <c r="Z58" i="1" a="1"/>
  <c r="Z59" i="1" a="1"/>
  <c r="Z80" i="1" a="1"/>
  <c r="Z85" i="1" a="1"/>
  <c r="Z23" i="1" a="1"/>
  <c r="Z57" i="1" a="1"/>
  <c r="Z71" i="1" a="1"/>
  <c r="Z75" i="1" a="1"/>
  <c r="Z87" i="1" a="1"/>
  <c r="Z93" i="1" a="1"/>
  <c r="Z99" i="1" a="1"/>
  <c r="Z42" i="1" a="1"/>
  <c r="Z64" i="1" a="1"/>
  <c r="Z79" i="1" a="1"/>
  <c r="Z20" i="1" a="1"/>
  <c r="Z84" i="1" a="1"/>
  <c r="Z88" i="1" a="1"/>
  <c r="Z94" i="1" a="1"/>
  <c r="Z46" i="1" a="1"/>
  <c r="Z53" i="1" a="1"/>
  <c r="Z65" i="1" a="1"/>
  <c r="Z90" i="1" a="1"/>
  <c r="Z102" i="1" a="1"/>
  <c r="Z121" i="1" a="1"/>
  <c r="Z127" i="1" a="1"/>
  <c r="Z133" i="1" a="1"/>
  <c r="Z107" i="1" a="1"/>
  <c r="Z111" i="1" a="1"/>
  <c r="Z116" i="1" a="1"/>
  <c r="Z122" i="1" a="1"/>
  <c r="Z128" i="1" a="1"/>
  <c r="Z134" i="1" a="1"/>
  <c r="Z95" i="1" a="1"/>
  <c r="Z24" i="1" a="1"/>
  <c r="Z31" i="1" a="1"/>
  <c r="Z78" i="1" a="1"/>
  <c r="Z106" i="1" a="1"/>
  <c r="Z96" i="1" a="1"/>
  <c r="Z100" i="1" a="1"/>
  <c r="Z137" i="1" a="1"/>
  <c r="Z144" i="1" a="1"/>
  <c r="Z152" i="1" a="1"/>
  <c r="Z77" i="1" a="1"/>
  <c r="Z118" i="1" a="1"/>
  <c r="Z130" i="1" a="1"/>
  <c r="Z141" i="1" a="1"/>
  <c r="Z149" i="1" a="1"/>
  <c r="Z160" i="1" a="1"/>
  <c r="Z166" i="1" a="1"/>
  <c r="Z48" i="1" a="1"/>
  <c r="Z117" i="1" a="1"/>
  <c r="Z126" i="1" a="1"/>
  <c r="Z154" i="1" a="1"/>
  <c r="Z157" i="1" a="1"/>
  <c r="Z38" i="1" a="1"/>
  <c r="Z82" i="1" a="1"/>
  <c r="Z119" i="1" a="1"/>
  <c r="Z123" i="1" a="1"/>
  <c r="Z146" i="1" a="1"/>
  <c r="Z161" i="1" a="1"/>
  <c r="Z167" i="1" a="1"/>
  <c r="Z49" i="1" a="1"/>
  <c r="Z131" i="1" a="1"/>
  <c r="Z135" i="1" a="1"/>
  <c r="Z148" i="1" a="1"/>
  <c r="Z151" i="1" a="1"/>
  <c r="Z162" i="1" a="1"/>
  <c r="Z168" i="1" a="1"/>
  <c r="Z52" i="1" a="1"/>
  <c r="Z113" i="1" a="1"/>
  <c r="Z165" i="1" a="1"/>
  <c r="Z202" i="1" a="1"/>
  <c r="Z208" i="1" a="1"/>
  <c r="Z214" i="1" a="1"/>
  <c r="Z220" i="1" a="1"/>
  <c r="Z226" i="1" a="1"/>
  <c r="Z232" i="1" a="1"/>
  <c r="Z238" i="1" a="1"/>
  <c r="Z244" i="1" a="1"/>
  <c r="Z250" i="1" a="1"/>
  <c r="Z101" i="1" a="1"/>
  <c r="Z110" i="1" a="1"/>
  <c r="Z129" i="1" a="1"/>
  <c r="Z150" i="1" a="1"/>
  <c r="Z170" i="1" a="1"/>
  <c r="Z175" i="1" a="1"/>
  <c r="Z180" i="1" a="1"/>
  <c r="Z185" i="1" a="1"/>
  <c r="Z196" i="1" a="1"/>
  <c r="Z125" i="1" a="1"/>
  <c r="Z136" i="1" a="1"/>
  <c r="Z190" i="1" a="1"/>
  <c r="Z197" i="1" a="1"/>
  <c r="Z203" i="1" a="1"/>
  <c r="Z209" i="1" a="1"/>
  <c r="Z215" i="1" a="1"/>
  <c r="Z221" i="1" a="1"/>
  <c r="Z227" i="1" a="1"/>
  <c r="Z233" i="1" a="1"/>
  <c r="Z239" i="1" a="1"/>
  <c r="Z103" i="1" a="1"/>
  <c r="Z115" i="1" a="1"/>
  <c r="Z124" i="1" a="1"/>
  <c r="Z147" i="1" a="1"/>
  <c r="Z174" i="1" a="1"/>
  <c r="Z179" i="1" a="1"/>
  <c r="Z195" i="1" a="1"/>
  <c r="Z70" i="1" a="1"/>
  <c r="Z97" i="1" a="1"/>
  <c r="Z105" i="1" a="1"/>
  <c r="Z132" i="1" a="1"/>
  <c r="Z143" i="1" a="1"/>
  <c r="Z145" i="1" a="1"/>
  <c r="Z163" i="1" a="1"/>
  <c r="Z169" i="1" a="1"/>
  <c r="Z184" i="1" a="1"/>
  <c r="Z198" i="1" a="1"/>
  <c r="Z204" i="1" a="1"/>
  <c r="Z210" i="1" a="1"/>
  <c r="Z216" i="1" a="1"/>
  <c r="Z222" i="1" a="1"/>
  <c r="Z228" i="1" a="1"/>
  <c r="Z234" i="1" a="1"/>
  <c r="Z91" i="1" a="1"/>
  <c r="Z156" i="1" a="1"/>
  <c r="Z217" i="1" a="1"/>
  <c r="Z241" i="1" a="1"/>
  <c r="Z253" i="1" a="1"/>
  <c r="Z258" i="1" a="1"/>
  <c r="Z274" i="1" a="1"/>
  <c r="Z279" i="1" a="1"/>
  <c r="Z284" i="1" a="1"/>
  <c r="Z289" i="1" a="1"/>
  <c r="Z295" i="1" a="1"/>
  <c r="Z301" i="1" a="1"/>
  <c r="Z307" i="1" a="1"/>
  <c r="Z108" i="1" a="1"/>
  <c r="Z114" i="1" a="1"/>
  <c r="Z138" i="1" a="1"/>
  <c r="Z140" i="1" a="1"/>
  <c r="Z186" i="1" a="1"/>
  <c r="Z187" i="1" a="1"/>
  <c r="Z188" i="1" a="1"/>
  <c r="Z189" i="1" a="1"/>
  <c r="Z213" i="1" a="1"/>
  <c r="Z236" i="1" a="1"/>
  <c r="Z246" i="1" a="1"/>
  <c r="Z249" i="1" a="1"/>
  <c r="Z263" i="1" a="1"/>
  <c r="Z32" i="1" a="1"/>
  <c r="Z83" i="1" a="1"/>
  <c r="Z109" i="1" a="1"/>
  <c r="Z142" i="1" a="1"/>
  <c r="Z158" i="1" a="1"/>
  <c r="Z173" i="1" a="1"/>
  <c r="Z206" i="1" a="1"/>
  <c r="Z229" i="1" a="1"/>
  <c r="Z252" i="1" a="1"/>
  <c r="Z268" i="1" a="1"/>
  <c r="Z273" i="1" a="1"/>
  <c r="Z278" i="1" a="1"/>
  <c r="Z283" i="1" a="1"/>
  <c r="Z290" i="1" a="1"/>
  <c r="Z296" i="1" a="1"/>
  <c r="Z302" i="1" a="1"/>
  <c r="Z120" i="1" a="1"/>
  <c r="Z164" i="1" a="1"/>
  <c r="Z172" i="1" a="1"/>
  <c r="Z199" i="1" a="1"/>
  <c r="Z225" i="1" a="1"/>
  <c r="Z257" i="1" a="1"/>
  <c r="Z171" i="1" a="1"/>
  <c r="Z191" i="1" a="1"/>
  <c r="Z194" i="1" a="1"/>
  <c r="Z218" i="1" a="1"/>
  <c r="Z219" i="1" a="1"/>
  <c r="Z242" i="1" a="1"/>
  <c r="Z243" i="1" a="1"/>
  <c r="Z262" i="1" a="1"/>
  <c r="Z267" i="1" a="1"/>
  <c r="Z272" i="1" a="1"/>
  <c r="Z277" i="1" a="1"/>
  <c r="Z76" i="1" a="1"/>
  <c r="Z139" i="1" a="1"/>
  <c r="Z153" i="1" a="1"/>
  <c r="Z235" i="1" a="1"/>
  <c r="Z247" i="1" a="1"/>
  <c r="Z248" i="1" a="1"/>
  <c r="Z320" i="1" a="1"/>
  <c r="Z356" i="1" a="1"/>
  <c r="Z112" i="1" a="1"/>
  <c r="Z245" i="1" a="1"/>
  <c r="Z280" i="1" a="1"/>
  <c r="Z281" i="1" a="1"/>
  <c r="Z282" i="1" a="1"/>
  <c r="Z291" i="1" a="1"/>
  <c r="Z306" i="1" a="1"/>
  <c r="Z310" i="1" a="1"/>
  <c r="Z313" i="1" a="1"/>
  <c r="Z333" i="1" a="1"/>
  <c r="Z342" i="1" a="1"/>
  <c r="Z402" i="1" a="1"/>
  <c r="Z403" i="1" a="1"/>
  <c r="Z404" i="1" a="1"/>
  <c r="Z405" i="1" a="1"/>
  <c r="Z406" i="1" a="1"/>
  <c r="Z192" i="1" a="1"/>
  <c r="Z294" i="1" a="1"/>
  <c r="Z300" i="1" a="1"/>
  <c r="Z327" i="1" a="1"/>
  <c r="Z330" i="1" a="1"/>
  <c r="Z336" i="1" a="1"/>
  <c r="Z359" i="1" a="1"/>
  <c r="Z396" i="1" a="1"/>
  <c r="Z397" i="1" a="1"/>
  <c r="Z398" i="1" a="1"/>
  <c r="Z399" i="1" a="1"/>
  <c r="Z400" i="1" a="1"/>
  <c r="Z401" i="1" a="1"/>
  <c r="Z407" i="1" a="1"/>
  <c r="Z413" i="1" a="1"/>
  <c r="Z419" i="1" a="1"/>
  <c r="Z425" i="1" a="1"/>
  <c r="Z431" i="1" a="1"/>
  <c r="Z437" i="1" a="1"/>
  <c r="Z443" i="1" a="1"/>
  <c r="Z449" i="1" a="1"/>
  <c r="Z455" i="1" a="1"/>
  <c r="Z461" i="1" a="1"/>
  <c r="Z467" i="1" a="1"/>
  <c r="Z473" i="1" a="1"/>
  <c r="Z479" i="1" a="1"/>
  <c r="Z485" i="1" a="1"/>
  <c r="Z491" i="1" a="1"/>
  <c r="Z497" i="1" a="1"/>
  <c r="Z503" i="1" a="1"/>
  <c r="Z509" i="1" a="1"/>
  <c r="Z515" i="1" a="1"/>
  <c r="Z521" i="1" a="1"/>
  <c r="Z527" i="1" a="1"/>
  <c r="Z533" i="1" a="1"/>
  <c r="Z177" i="1" a="1"/>
  <c r="Z182" i="1" a="1"/>
  <c r="Z223" i="1" a="1"/>
  <c r="Z240" i="1" a="1"/>
  <c r="Z329" i="1" a="1"/>
  <c r="Z332" i="1" a="1"/>
  <c r="Z358" i="1" a="1"/>
  <c r="Z372" i="1" a="1"/>
  <c r="Z373" i="1" a="1"/>
  <c r="Z374" i="1" a="1"/>
  <c r="Z375" i="1" a="1"/>
  <c r="Z376" i="1" a="1"/>
  <c r="Z377" i="1" a="1"/>
  <c r="Z409" i="1" a="1"/>
  <c r="Z415" i="1" a="1"/>
  <c r="Z421" i="1" a="1"/>
  <c r="Z427" i="1" a="1"/>
  <c r="Z433" i="1" a="1"/>
  <c r="Z439" i="1" a="1"/>
  <c r="Z445" i="1" a="1"/>
  <c r="Z451" i="1" a="1"/>
  <c r="Z457" i="1" a="1"/>
  <c r="Z463" i="1" a="1"/>
  <c r="Z469" i="1" a="1"/>
  <c r="Z475" i="1" a="1"/>
  <c r="Z481" i="1" a="1"/>
  <c r="Z487" i="1" a="1"/>
  <c r="Z493" i="1" a="1"/>
  <c r="Z499" i="1" a="1"/>
  <c r="Z323" i="1" a="1"/>
  <c r="Z352" i="1" a="1"/>
  <c r="Z360" i="1" a="1"/>
  <c r="Z391" i="1" a="1"/>
  <c r="Z393" i="1" a="1"/>
  <c r="Z395" i="1" a="1"/>
  <c r="Z423" i="1" a="1"/>
  <c r="Z466" i="1" a="1"/>
  <c r="Z471" i="1" a="1"/>
  <c r="Z476" i="1" a="1"/>
  <c r="Z504" i="1" a="1"/>
  <c r="Z505" i="1" a="1"/>
  <c r="Z506" i="1" a="1"/>
  <c r="Z507" i="1" a="1"/>
  <c r="Z508" i="1" a="1"/>
  <c r="Z25" i="1" a="1"/>
  <c r="Z54" i="1" a="1"/>
  <c r="Z69" i="1" a="1"/>
  <c r="Z176" i="1" a="1"/>
  <c r="Z261" i="1" a="1"/>
  <c r="Z265" i="1" a="1"/>
  <c r="Z315" i="1" a="1"/>
  <c r="Z331" i="1" a="1"/>
  <c r="Z340" i="1" a="1"/>
  <c r="Z344" i="1" a="1"/>
  <c r="Z385" i="1" a="1"/>
  <c r="Z387" i="1" a="1"/>
  <c r="Z389" i="1" a="1"/>
  <c r="Z420" i="1" a="1"/>
  <c r="Z428" i="1" a="1"/>
  <c r="Z450" i="1" a="1"/>
  <c r="Z183" i="1" a="1"/>
  <c r="Z269" i="1" a="1"/>
  <c r="Z311" i="1" a="1"/>
  <c r="Z319" i="1" a="1"/>
  <c r="Z348" i="1" a="1"/>
  <c r="Z379" i="1" a="1"/>
  <c r="Z381" i="1" a="1"/>
  <c r="Z383" i="1" a="1"/>
  <c r="Z412" i="1" a="1"/>
  <c r="Z436" i="1" a="1"/>
  <c r="Z460" i="1" a="1"/>
  <c r="Z465" i="1" a="1"/>
  <c r="Z470" i="1" a="1"/>
  <c r="Z496" i="1" a="1"/>
  <c r="Z501" i="1" a="1"/>
  <c r="Z159" i="1" a="1"/>
  <c r="Z212" i="1" a="1"/>
  <c r="Z231" i="1" a="1"/>
  <c r="Z324" i="1" a="1"/>
  <c r="Z328" i="1" a="1"/>
  <c r="Z353" i="1" a="1"/>
  <c r="Z357" i="1" a="1"/>
  <c r="Z367" i="1" a="1"/>
  <c r="Z369" i="1" a="1"/>
  <c r="Z371" i="1" a="1"/>
  <c r="Z417" i="1" a="1"/>
  <c r="Z441" i="1" a="1"/>
  <c r="Z444" i="1" a="1"/>
  <c r="Z480" i="1" a="1"/>
  <c r="Z538" i="1" a="1"/>
  <c r="Z230" i="1" a="1"/>
  <c r="Z256" i="1" a="1"/>
  <c r="Z260" i="1" a="1"/>
  <c r="Z264" i="1" a="1"/>
  <c r="Z276" i="1" a="1"/>
  <c r="Z338" i="1" a="1"/>
  <c r="Z349" i="1" a="1"/>
  <c r="Z361" i="1" a="1"/>
  <c r="Z363" i="1" a="1"/>
  <c r="Z365" i="1" a="1"/>
  <c r="Z378" i="1" a="1"/>
  <c r="Z380" i="1" a="1"/>
  <c r="Z382" i="1" a="1"/>
  <c r="Z422" i="1" a="1"/>
  <c r="Z454" i="1" a="1"/>
  <c r="Z459" i="1" a="1"/>
  <c r="Z464" i="1" a="1"/>
  <c r="Z478" i="1" a="1"/>
  <c r="Z492" i="1" a="1"/>
  <c r="Z516" i="1" a="1"/>
  <c r="Z519" i="1" a="1"/>
  <c r="Z529" i="1" a="1"/>
  <c r="Z539" i="1" a="1"/>
  <c r="Z540" i="1" a="1"/>
  <c r="Z541" i="1" a="1"/>
  <c r="Z547" i="1" a="1"/>
  <c r="Z553" i="1" a="1"/>
  <c r="Z559" i="1" a="1"/>
  <c r="Z565" i="1" a="1"/>
  <c r="Z571" i="1" a="1"/>
  <c r="Z577" i="1" a="1"/>
  <c r="Z583" i="1" a="1"/>
  <c r="Z589" i="1" a="1"/>
  <c r="Z595" i="1" a="1"/>
  <c r="Z522" i="1" a="1"/>
  <c r="Z304" i="1" a="1"/>
  <c r="Z414" i="1" a="1"/>
  <c r="Z549" i="1" a="1"/>
  <c r="Z567" i="1" a="1"/>
  <c r="Z579" i="1" a="1"/>
  <c r="Z312" i="1" a="1"/>
  <c r="Z512" i="1" a="1"/>
  <c r="Z193" i="1" a="1"/>
  <c r="Z285" i="1" a="1"/>
  <c r="Z299" i="1" a="1"/>
  <c r="Z305" i="1" a="1"/>
  <c r="Z308" i="1" a="1"/>
  <c r="Z326" i="1" a="1"/>
  <c r="Z355" i="1" a="1"/>
  <c r="Z366" i="1" a="1"/>
  <c r="Z368" i="1" a="1"/>
  <c r="Z370" i="1" a="1"/>
  <c r="Z474" i="1" a="1"/>
  <c r="Z484" i="1" a="1"/>
  <c r="Z498" i="1" a="1"/>
  <c r="Z510" i="1" a="1"/>
  <c r="Z513" i="1" a="1"/>
  <c r="Z523" i="1" a="1"/>
  <c r="Z534" i="1" a="1"/>
  <c r="Z535" i="1" a="1"/>
  <c r="Z536" i="1" a="1"/>
  <c r="Z537" i="1" a="1"/>
  <c r="Z596" i="1" a="1"/>
  <c r="Z354" i="1" a="1"/>
  <c r="Z543" i="1" a="1"/>
  <c r="Z561" i="1" a="1"/>
  <c r="Z585" i="1" a="1"/>
  <c r="Z292" i="1" a="1"/>
  <c r="Z298" i="1" a="1"/>
  <c r="Z341" i="1" a="1"/>
  <c r="Z89" i="1" a="1"/>
  <c r="Z254" i="1" a="1"/>
  <c r="Z266" i="1" a="1"/>
  <c r="Z270" i="1" a="1"/>
  <c r="Z293" i="1" a="1"/>
  <c r="Z314" i="1" a="1"/>
  <c r="Z337" i="1" a="1"/>
  <c r="Z362" i="1" a="1"/>
  <c r="Z364" i="1" a="1"/>
  <c r="Z410" i="1" a="1"/>
  <c r="Z411" i="1" a="1"/>
  <c r="Z434" i="1" a="1"/>
  <c r="Z435" i="1" a="1"/>
  <c r="Z490" i="1" a="1"/>
  <c r="Z528" i="1" a="1"/>
  <c r="Z542" i="1" a="1"/>
  <c r="Z548" i="1" a="1"/>
  <c r="Z554" i="1" a="1"/>
  <c r="Z560" i="1" a="1"/>
  <c r="Z566" i="1" a="1"/>
  <c r="Z572" i="1" a="1"/>
  <c r="Z578" i="1" a="1"/>
  <c r="Z584" i="1" a="1"/>
  <c r="Z590" i="1" a="1"/>
  <c r="Z205" i="1" a="1"/>
  <c r="Z287" i="1" a="1"/>
  <c r="Z325" i="1" a="1"/>
  <c r="Z343" i="1" a="1"/>
  <c r="Z211" i="1" a="1"/>
  <c r="Z237" i="1" a="1"/>
  <c r="Z424" i="1" a="1"/>
  <c r="Z438" i="1" a="1"/>
  <c r="Z518" i="1" a="1"/>
  <c r="Z555" i="1" a="1"/>
  <c r="Z573" i="1" a="1"/>
  <c r="Z591" i="1" a="1"/>
  <c r="Z597" i="1" a="1"/>
  <c r="Z482" i="1" a="1"/>
  <c r="Z318" i="1" a="1"/>
  <c r="Z347" i="1" a="1"/>
  <c r="Z426" i="1" a="1"/>
  <c r="Z446" i="1" a="1"/>
  <c r="Z488" i="1" a="1"/>
  <c r="Z532" i="1" a="1"/>
  <c r="Z544" i="1" a="1"/>
  <c r="Z556" i="1" a="1"/>
  <c r="Z568" i="1" a="1"/>
  <c r="Z580" i="1" a="1"/>
  <c r="Z514" i="1" a="1"/>
  <c r="Z321" i="1" a="1"/>
  <c r="Z558" i="1" a="1"/>
  <c r="Z570" i="1" a="1"/>
  <c r="Z582" i="1" a="1"/>
  <c r="Z388" i="1" a="1"/>
  <c r="Z408" i="1" a="1"/>
  <c r="Z594" i="1" a="1"/>
  <c r="Z574" i="1" a="1"/>
  <c r="Z346" i="1" a="1"/>
  <c r="Z416" i="1" a="1"/>
  <c r="Z440" i="1" a="1"/>
  <c r="Z502" i="1" a="1"/>
  <c r="Z452" i="1" a="1"/>
  <c r="Z517" i="1" a="1"/>
  <c r="Z563" i="1" a="1"/>
  <c r="Z483" i="1" a="1"/>
  <c r="Z525" i="1" a="1"/>
  <c r="Z81" i="1" a="1"/>
  <c r="Z322" i="1" a="1"/>
  <c r="Z351" i="1" a="1"/>
  <c r="Z477" i="1" a="1"/>
  <c r="Z486" i="1" a="1"/>
  <c r="Z339" i="1" a="1"/>
  <c r="Z418" i="1" a="1"/>
  <c r="Z524" i="1" a="1"/>
  <c r="Z200" i="1" a="1"/>
  <c r="Z335" i="1" a="1"/>
  <c r="Z456" i="1" a="1"/>
  <c r="Z494" i="1" a="1"/>
  <c r="Z592" i="1" a="1"/>
  <c r="Z557" i="1" a="1"/>
  <c r="Z593" i="1" a="1"/>
  <c r="Z155" i="1" a="1"/>
  <c r="Z390" i="1" a="1"/>
  <c r="Z448" i="1" a="1"/>
  <c r="Z453" i="1" a="1"/>
  <c r="Z530" i="1" a="1"/>
  <c r="Z546" i="1" a="1"/>
  <c r="Z386" i="1" a="1"/>
  <c r="Z468" i="1" a="1"/>
  <c r="Z562" i="1" a="1"/>
  <c r="Z255" i="1" a="1"/>
  <c r="Z271" i="1" a="1"/>
  <c r="Z317" i="1" a="1"/>
  <c r="Z334" i="1" a="1"/>
  <c r="Z551" i="1" a="1"/>
  <c r="Z511" i="1" a="1"/>
  <c r="Z587" i="1" a="1"/>
  <c r="Z489" i="1" a="1"/>
  <c r="Z576" i="1" a="1"/>
  <c r="Z178" i="1" a="1"/>
  <c r="Z442" i="1" a="1"/>
  <c r="Z495" i="1" a="1"/>
  <c r="Z588" i="1" a="1"/>
  <c r="Z181" i="1" a="1"/>
  <c r="Z345" i="1" a="1"/>
  <c r="Z500" i="1" a="1"/>
  <c r="Z520" i="1" a="1"/>
  <c r="Z531" i="1" a="1"/>
  <c r="Z545" i="1" a="1"/>
  <c r="Z569" i="1" a="1"/>
  <c r="Z581" i="1" a="1"/>
  <c r="Z394" i="1" a="1"/>
  <c r="Z550" i="1" a="1"/>
  <c r="Z564" i="1" a="1"/>
  <c r="Z599" i="1" a="1"/>
  <c r="Z297" i="1" a="1"/>
  <c r="Z303" i="1" a="1"/>
  <c r="Z316" i="1" a="1"/>
  <c r="Z430" i="1" a="1"/>
  <c r="Z201" i="1" a="1"/>
  <c r="Z288" i="1" a="1"/>
  <c r="Z350" i="1" a="1"/>
  <c r="Z392" i="1" a="1"/>
  <c r="Z458" i="1" a="1"/>
  <c r="Z63" i="1" a="1"/>
  <c r="Z207" i="1" a="1"/>
  <c r="Z224" i="1" a="1"/>
  <c r="Z309" i="1" a="1"/>
  <c r="Z384" i="1" a="1"/>
  <c r="Z432" i="1" a="1"/>
  <c r="Z251" i="1" a="1"/>
  <c r="Z586" i="1" a="1"/>
  <c r="Z259" i="1" a="1"/>
  <c r="Z286" i="1" a="1"/>
  <c r="Z526" i="1" a="1"/>
  <c r="Z598" i="1" a="1"/>
  <c r="Z275" i="1" a="1"/>
  <c r="Z447" i="1" a="1"/>
  <c r="Z575" i="1" a="1"/>
  <c r="Z429" i="1" a="1"/>
  <c r="Z462" i="1" a="1"/>
  <c r="Z472" i="1" a="1"/>
  <c r="Z552" i="1" a="1"/>
  <c r="Y10" i="1" a="1"/>
  <c r="Y16" i="1" a="1"/>
  <c r="Y22" i="1" a="1"/>
  <c r="Y28" i="1" a="1"/>
  <c r="Y34" i="1" a="1"/>
  <c r="Y40" i="1" a="1"/>
  <c r="Y46" i="1" a="1"/>
  <c r="Y52" i="1" a="1"/>
  <c r="Y58" i="1" a="1"/>
  <c r="Y64" i="1" a="1"/>
  <c r="Y70" i="1" a="1"/>
  <c r="Y76" i="1" a="1"/>
  <c r="Y82" i="1" a="1"/>
  <c r="Y88" i="1" a="1"/>
  <c r="Y94" i="1" a="1"/>
  <c r="Y100" i="1" a="1"/>
  <c r="Y106" i="1" a="1"/>
  <c r="Y112" i="1" a="1"/>
  <c r="Y118" i="1" a="1"/>
  <c r="Y124" i="1" a="1"/>
  <c r="Y130" i="1" a="1"/>
  <c r="Y136" i="1" a="1"/>
  <c r="Y142" i="1" a="1"/>
  <c r="Y11" i="1" a="1"/>
  <c r="Y17" i="1" a="1"/>
  <c r="Y23" i="1" a="1"/>
  <c r="Y29" i="1" a="1"/>
  <c r="Y35" i="1" a="1"/>
  <c r="Y41" i="1" a="1"/>
  <c r="Y47" i="1" a="1"/>
  <c r="Y53" i="1" a="1"/>
  <c r="Y59" i="1" a="1"/>
  <c r="Y65" i="1" a="1"/>
  <c r="Y71" i="1" a="1"/>
  <c r="Y77" i="1" a="1"/>
  <c r="Y83" i="1" a="1"/>
  <c r="Y89" i="1" a="1"/>
  <c r="Y95" i="1" a="1"/>
  <c r="Y101" i="1" a="1"/>
  <c r="Y107" i="1" a="1"/>
  <c r="Y113" i="1" a="1"/>
  <c r="Y119" i="1" a="1"/>
  <c r="Y125" i="1" a="1"/>
  <c r="Y131" i="1" a="1"/>
  <c r="Y137" i="1" a="1"/>
  <c r="Y143" i="1" a="1"/>
  <c r="Y149" i="1" a="1"/>
  <c r="Y12" i="1" a="1"/>
  <c r="Y21" i="1" a="1"/>
  <c r="Y32" i="1" a="1"/>
  <c r="Y43" i="1" a="1"/>
  <c r="Y84" i="1" a="1"/>
  <c r="Y93" i="1" a="1"/>
  <c r="Y104" i="1" a="1"/>
  <c r="Y115" i="1" a="1"/>
  <c r="Y162" i="1" a="1"/>
  <c r="Y170" i="1" a="1"/>
  <c r="Y186" i="1" a="1"/>
  <c r="Y194" i="1" a="1"/>
  <c r="Y210" i="1" a="1"/>
  <c r="Y218" i="1" a="1"/>
  <c r="Y234" i="1" a="1"/>
  <c r="Y242" i="1" a="1"/>
  <c r="Y258" i="1" a="1"/>
  <c r="Y266" i="1" a="1"/>
  <c r="Y282" i="1" a="1"/>
  <c r="Y290" i="1" a="1"/>
  <c r="Y306" i="1" a="1"/>
  <c r="Y314" i="1" a="1"/>
  <c r="Y330" i="1" a="1"/>
  <c r="Y338" i="1" a="1"/>
  <c r="Y354" i="1" a="1"/>
  <c r="Y362" i="1" a="1"/>
  <c r="Y378" i="1" a="1"/>
  <c r="Y386" i="1" a="1"/>
  <c r="Y402" i="1" a="1"/>
  <c r="Y410" i="1" a="1"/>
  <c r="Y426" i="1" a="1"/>
  <c r="Y434" i="1" a="1"/>
  <c r="Y450" i="1" a="1"/>
  <c r="Y458" i="1" a="1"/>
  <c r="Y474" i="1" a="1"/>
  <c r="Y482" i="1" a="1"/>
  <c r="Y498" i="1" a="1"/>
  <c r="Y506" i="1" a="1"/>
  <c r="Y521" i="1" a="1"/>
  <c r="Y527" i="1" a="1"/>
  <c r="Y533" i="1" a="1"/>
  <c r="Y539" i="1" a="1"/>
  <c r="Y545" i="1" a="1"/>
  <c r="Y551" i="1" a="1"/>
  <c r="Y557" i="1" a="1"/>
  <c r="Y563" i="1" a="1"/>
  <c r="Y569" i="1" a="1"/>
  <c r="Y575" i="1" a="1"/>
  <c r="Y581" i="1" a="1"/>
  <c r="Y587" i="1" a="1"/>
  <c r="Y593" i="1" a="1"/>
  <c r="Y599" i="1" a="1"/>
  <c r="Y220" i="1" a="1"/>
  <c r="Y277" i="1" a="1"/>
  <c r="Y301" i="1" a="1"/>
  <c r="Y340" i="1" a="1"/>
  <c r="Y388" i="1" a="1"/>
  <c r="Y469" i="1" a="1"/>
  <c r="Y493" i="1" a="1"/>
  <c r="Y529" i="1" a="1"/>
  <c r="Y553" i="1" a="1"/>
  <c r="Y577" i="1" a="1"/>
  <c r="Y366" i="1" a="1"/>
  <c r="Y446" i="1" a="1"/>
  <c r="Y530" i="1" a="1"/>
  <c r="Y548" i="1" a="1"/>
  <c r="Y578" i="1" a="1"/>
  <c r="Y27" i="1" a="1"/>
  <c r="Y99" i="1" a="1"/>
  <c r="Y166" i="1" a="1"/>
  <c r="Y214" i="1" a="1"/>
  <c r="Y310" i="1" a="1"/>
  <c r="Y367" i="1" a="1"/>
  <c r="Y415" i="1" a="1"/>
  <c r="Y454" i="1" a="1"/>
  <c r="Y13" i="1" a="1"/>
  <c r="Y54" i="1" a="1"/>
  <c r="Y63" i="1" a="1"/>
  <c r="Y74" i="1" a="1"/>
  <c r="Y85" i="1" a="1"/>
  <c r="Y126" i="1" a="1"/>
  <c r="Y135" i="1" a="1"/>
  <c r="Y146" i="1" a="1"/>
  <c r="Y154" i="1" a="1"/>
  <c r="Y163" i="1" a="1"/>
  <c r="Y178" i="1" a="1"/>
  <c r="Y187" i="1" a="1"/>
  <c r="Y202" i="1" a="1"/>
  <c r="Y211" i="1" a="1"/>
  <c r="Y226" i="1" a="1"/>
  <c r="Y235" i="1" a="1"/>
  <c r="Y250" i="1" a="1"/>
  <c r="Y259" i="1" a="1"/>
  <c r="Y274" i="1" a="1"/>
  <c r="Y283" i="1" a="1"/>
  <c r="Y298" i="1" a="1"/>
  <c r="Y307" i="1" a="1"/>
  <c r="Y322" i="1" a="1"/>
  <c r="Y331" i="1" a="1"/>
  <c r="Y346" i="1" a="1"/>
  <c r="Y355" i="1" a="1"/>
  <c r="Y370" i="1" a="1"/>
  <c r="Y379" i="1" a="1"/>
  <c r="Y394" i="1" a="1"/>
  <c r="Y403" i="1" a="1"/>
  <c r="Y418" i="1" a="1"/>
  <c r="Y427" i="1" a="1"/>
  <c r="Y442" i="1" a="1"/>
  <c r="Y451" i="1" a="1"/>
  <c r="Y466" i="1" a="1"/>
  <c r="Y475" i="1" a="1"/>
  <c r="Y490" i="1" a="1"/>
  <c r="Y499" i="1" a="1"/>
  <c r="Y514" i="1" a="1"/>
  <c r="Y515" i="1" a="1"/>
  <c r="Y528" i="1" a="1"/>
  <c r="Y540" i="1" a="1"/>
  <c r="Y552" i="1" a="1"/>
  <c r="Y564" i="1" a="1"/>
  <c r="Y570" i="1" a="1"/>
  <c r="Y582" i="1" a="1"/>
  <c r="Y594" i="1" a="1"/>
  <c r="Y67" i="1" a="1"/>
  <c r="Y253" i="1" a="1"/>
  <c r="Y292" i="1" a="1"/>
  <c r="Y373" i="1" a="1"/>
  <c r="Y421" i="1" a="1"/>
  <c r="Y445" i="1" a="1"/>
  <c r="Y484" i="1" a="1"/>
  <c r="Y523" i="1" a="1"/>
  <c r="Y541" i="1" a="1"/>
  <c r="Y565" i="1" a="1"/>
  <c r="Y583" i="1" a="1"/>
  <c r="Y374" i="1" a="1"/>
  <c r="Y486" i="1" a="1"/>
  <c r="Y536" i="1" a="1"/>
  <c r="Y554" i="1" a="1"/>
  <c r="Y584" i="1" a="1"/>
  <c r="Y38" i="1" a="1"/>
  <c r="Y110" i="1" a="1"/>
  <c r="Y238" i="1" a="1"/>
  <c r="Y286" i="1" a="1"/>
  <c r="Y334" i="1" a="1"/>
  <c r="Y391" i="1" a="1"/>
  <c r="Y487" i="1" a="1"/>
  <c r="Y24" i="1" a="1"/>
  <c r="Y33" i="1" a="1"/>
  <c r="Y44" i="1" a="1"/>
  <c r="Y55" i="1" a="1"/>
  <c r="Y96" i="1" a="1"/>
  <c r="Y105" i="1" a="1"/>
  <c r="Y116" i="1" a="1"/>
  <c r="Y127" i="1" a="1"/>
  <c r="Y155" i="1" a="1"/>
  <c r="Y171" i="1" a="1"/>
  <c r="Y179" i="1" a="1"/>
  <c r="Y195" i="1" a="1"/>
  <c r="Y203" i="1" a="1"/>
  <c r="Y219" i="1" a="1"/>
  <c r="Y227" i="1" a="1"/>
  <c r="Y243" i="1" a="1"/>
  <c r="Y251" i="1" a="1"/>
  <c r="Y267" i="1" a="1"/>
  <c r="Y275" i="1" a="1"/>
  <c r="Y291" i="1" a="1"/>
  <c r="Y299" i="1" a="1"/>
  <c r="Y315" i="1" a="1"/>
  <c r="Y323" i="1" a="1"/>
  <c r="Y339" i="1" a="1"/>
  <c r="Y347" i="1" a="1"/>
  <c r="Y363" i="1" a="1"/>
  <c r="Y371" i="1" a="1"/>
  <c r="Y387" i="1" a="1"/>
  <c r="Y395" i="1" a="1"/>
  <c r="Y411" i="1" a="1"/>
  <c r="Y419" i="1" a="1"/>
  <c r="Y435" i="1" a="1"/>
  <c r="Y443" i="1" a="1"/>
  <c r="Y459" i="1" a="1"/>
  <c r="Y467" i="1" a="1"/>
  <c r="Y483" i="1" a="1"/>
  <c r="Y491" i="1" a="1"/>
  <c r="Y507" i="1" a="1"/>
  <c r="Y522" i="1" a="1"/>
  <c r="Y534" i="1" a="1"/>
  <c r="Y546" i="1" a="1"/>
  <c r="Y558" i="1" a="1"/>
  <c r="Y576" i="1" a="1"/>
  <c r="Y588" i="1" a="1"/>
  <c r="Y181" i="1" a="1"/>
  <c r="Y205" i="1" a="1"/>
  <c r="Y268" i="1" a="1"/>
  <c r="Y316" i="1" a="1"/>
  <c r="Y364" i="1" a="1"/>
  <c r="Y412" i="1" a="1"/>
  <c r="Y460" i="1" a="1"/>
  <c r="Y508" i="1" a="1"/>
  <c r="Y547" i="1" a="1"/>
  <c r="Y571" i="1" a="1"/>
  <c r="Y595" i="1" a="1"/>
  <c r="Y398" i="1" a="1"/>
  <c r="Y470" i="1" a="1"/>
  <c r="Y518" i="1" a="1"/>
  <c r="Y560" i="1" a="1"/>
  <c r="Y596" i="1" a="1"/>
  <c r="Y90" i="1" a="1"/>
  <c r="Y190" i="1" a="1"/>
  <c r="Y223" i="1" a="1"/>
  <c r="Y262" i="1" a="1"/>
  <c r="Y319" i="1" a="1"/>
  <c r="Y382" i="1" a="1"/>
  <c r="Y430" i="1" a="1"/>
  <c r="Y502" i="1" a="1"/>
  <c r="Y14" i="1" a="1"/>
  <c r="Y25" i="1" a="1"/>
  <c r="Y66" i="1" a="1"/>
  <c r="Y75" i="1" a="1"/>
  <c r="Y86" i="1" a="1"/>
  <c r="Y97" i="1" a="1"/>
  <c r="Y138" i="1" a="1"/>
  <c r="Y147" i="1" a="1"/>
  <c r="Y156" i="1" a="1"/>
  <c r="Y164" i="1" a="1"/>
  <c r="Y180" i="1" a="1"/>
  <c r="Y188" i="1" a="1"/>
  <c r="Y204" i="1" a="1"/>
  <c r="Y212" i="1" a="1"/>
  <c r="Y228" i="1" a="1"/>
  <c r="Y236" i="1" a="1"/>
  <c r="Y252" i="1" a="1"/>
  <c r="Y260" i="1" a="1"/>
  <c r="Y276" i="1" a="1"/>
  <c r="Y284" i="1" a="1"/>
  <c r="Y300" i="1" a="1"/>
  <c r="Y308" i="1" a="1"/>
  <c r="Y324" i="1" a="1"/>
  <c r="Y332" i="1" a="1"/>
  <c r="Y348" i="1" a="1"/>
  <c r="Y356" i="1" a="1"/>
  <c r="Y372" i="1" a="1"/>
  <c r="Y380" i="1" a="1"/>
  <c r="Y396" i="1" a="1"/>
  <c r="Y404" i="1" a="1"/>
  <c r="Y420" i="1" a="1"/>
  <c r="Y428" i="1" a="1"/>
  <c r="Y444" i="1" a="1"/>
  <c r="Y452" i="1" a="1"/>
  <c r="Y468" i="1" a="1"/>
  <c r="Y476" i="1" a="1"/>
  <c r="Y492" i="1" a="1"/>
  <c r="Y500" i="1" a="1"/>
  <c r="Y516" i="1" a="1"/>
  <c r="Y36" i="1" a="1"/>
  <c r="Y45" i="1" a="1"/>
  <c r="Y56" i="1" a="1"/>
  <c r="Y108" i="1" a="1"/>
  <c r="Y117" i="1" a="1"/>
  <c r="Y128" i="1" a="1"/>
  <c r="Y139" i="1" a="1"/>
  <c r="Y157" i="1" a="1"/>
  <c r="Y172" i="1" a="1"/>
  <c r="Y196" i="1" a="1"/>
  <c r="Y229" i="1" a="1"/>
  <c r="Y244" i="1" a="1"/>
  <c r="Y325" i="1" a="1"/>
  <c r="Y349" i="1" a="1"/>
  <c r="Y397" i="1" a="1"/>
  <c r="Y436" i="1" a="1"/>
  <c r="Y517" i="1" a="1"/>
  <c r="Y535" i="1" a="1"/>
  <c r="Y559" i="1" a="1"/>
  <c r="Y589" i="1" a="1"/>
  <c r="Y438" i="1" a="1"/>
  <c r="Y494" i="1" a="1"/>
  <c r="Y524" i="1" a="1"/>
  <c r="Y566" i="1" a="1"/>
  <c r="Y18" i="1" a="1"/>
  <c r="Y121" i="1" a="1"/>
  <c r="Y175" i="1" a="1"/>
  <c r="Y271" i="1" a="1"/>
  <c r="Y343" i="1" a="1"/>
  <c r="Y406" i="1" a="1"/>
  <c r="Y439" i="1" a="1"/>
  <c r="Y478" i="1" a="1"/>
  <c r="Y15" i="1" a="1"/>
  <c r="Y26" i="1" a="1"/>
  <c r="Y37" i="1" a="1"/>
  <c r="Y78" i="1" a="1"/>
  <c r="Y87" i="1" a="1"/>
  <c r="Y98" i="1" a="1"/>
  <c r="Y109" i="1" a="1"/>
  <c r="Y148" i="1" a="1"/>
  <c r="Y165" i="1" a="1"/>
  <c r="Y173" i="1" a="1"/>
  <c r="Y189" i="1" a="1"/>
  <c r="Y197" i="1" a="1"/>
  <c r="Y213" i="1" a="1"/>
  <c r="Y221" i="1" a="1"/>
  <c r="Y237" i="1" a="1"/>
  <c r="Y245" i="1" a="1"/>
  <c r="Y261" i="1" a="1"/>
  <c r="Y269" i="1" a="1"/>
  <c r="Y285" i="1" a="1"/>
  <c r="Y293" i="1" a="1"/>
  <c r="Y309" i="1" a="1"/>
  <c r="Y317" i="1" a="1"/>
  <c r="Y333" i="1" a="1"/>
  <c r="Y341" i="1" a="1"/>
  <c r="Y357" i="1" a="1"/>
  <c r="Y365" i="1" a="1"/>
  <c r="Y381" i="1" a="1"/>
  <c r="Y389" i="1" a="1"/>
  <c r="Y405" i="1" a="1"/>
  <c r="Y413" i="1" a="1"/>
  <c r="Y429" i="1" a="1"/>
  <c r="Y437" i="1" a="1"/>
  <c r="Y453" i="1" a="1"/>
  <c r="Y461" i="1" a="1"/>
  <c r="Y477" i="1" a="1"/>
  <c r="Y485" i="1" a="1"/>
  <c r="Y501" i="1" a="1"/>
  <c r="Y509" i="1" a="1"/>
  <c r="Y48" i="1" a="1"/>
  <c r="Y57" i="1" a="1"/>
  <c r="Y68" i="1" a="1"/>
  <c r="Y79" i="1" a="1"/>
  <c r="Y120" i="1" a="1"/>
  <c r="Y129" i="1" a="1"/>
  <c r="Y140" i="1" a="1"/>
  <c r="Y150" i="1" a="1"/>
  <c r="Y158" i="1" a="1"/>
  <c r="Y174" i="1" a="1"/>
  <c r="Y182" i="1" a="1"/>
  <c r="Y198" i="1" a="1"/>
  <c r="Y206" i="1" a="1"/>
  <c r="Y222" i="1" a="1"/>
  <c r="Y230" i="1" a="1"/>
  <c r="Y246" i="1" a="1"/>
  <c r="Y254" i="1" a="1"/>
  <c r="Y270" i="1" a="1"/>
  <c r="Y278" i="1" a="1"/>
  <c r="Y294" i="1" a="1"/>
  <c r="Y302" i="1" a="1"/>
  <c r="Y318" i="1" a="1"/>
  <c r="Y326" i="1" a="1"/>
  <c r="Y342" i="1" a="1"/>
  <c r="Y350" i="1" a="1"/>
  <c r="Y390" i="1" a="1"/>
  <c r="Y414" i="1" a="1"/>
  <c r="Y422" i="1" a="1"/>
  <c r="Y462" i="1" a="1"/>
  <c r="Y510" i="1" a="1"/>
  <c r="Y542" i="1" a="1"/>
  <c r="Y572" i="1" a="1"/>
  <c r="Y590" i="1" a="1"/>
  <c r="Y49" i="1" a="1"/>
  <c r="Y151" i="1" a="1"/>
  <c r="Y199" i="1" a="1"/>
  <c r="Y247" i="1" a="1"/>
  <c r="Y295" i="1" a="1"/>
  <c r="Y358" i="1" a="1"/>
  <c r="Y463" i="1" a="1"/>
  <c r="Y511" i="1" a="1"/>
  <c r="Y19" i="1" a="1"/>
  <c r="Y80" i="1" a="1"/>
  <c r="Y141" i="1" a="1"/>
  <c r="Y167" i="1" a="1"/>
  <c r="Y191" i="1" a="1"/>
  <c r="Y215" i="1" a="1"/>
  <c r="Y239" i="1" a="1"/>
  <c r="Y263" i="1" a="1"/>
  <c r="Y287" i="1" a="1"/>
  <c r="Y311" i="1" a="1"/>
  <c r="Y335" i="1" a="1"/>
  <c r="Y359" i="1" a="1"/>
  <c r="Y383" i="1" a="1"/>
  <c r="Y407" i="1" a="1"/>
  <c r="Y431" i="1" a="1"/>
  <c r="Y455" i="1" a="1"/>
  <c r="Y479" i="1" a="1"/>
  <c r="Y503" i="1" a="1"/>
  <c r="Y525" i="1" a="1"/>
  <c r="Y543" i="1" a="1"/>
  <c r="Y561" i="1" a="1"/>
  <c r="Y579" i="1" a="1"/>
  <c r="Y597" i="1" a="1"/>
  <c r="Y409" i="1" a="1"/>
  <c r="Y481" i="1" a="1"/>
  <c r="Y526" i="1" a="1"/>
  <c r="Y580" i="1" a="1"/>
  <c r="Y567" i="1" a="1"/>
  <c r="Y176" i="1" a="1"/>
  <c r="Y272" i="1" a="1"/>
  <c r="Y344" i="1" a="1"/>
  <c r="Y464" i="1" a="1"/>
  <c r="Y31" i="1" a="1"/>
  <c r="Y550" i="1" a="1"/>
  <c r="Y153" i="1" a="1"/>
  <c r="Y297" i="1" a="1"/>
  <c r="Y417" i="1" a="1"/>
  <c r="Y586" i="1" a="1"/>
  <c r="Y159" i="1" a="1"/>
  <c r="Y327" i="1" a="1"/>
  <c r="Y423" i="1" a="1"/>
  <c r="Y519" i="1" a="1"/>
  <c r="Y133" i="1" a="1"/>
  <c r="Y103" i="1" a="1"/>
  <c r="Y256" i="1" a="1"/>
  <c r="Y376" i="1" a="1"/>
  <c r="Y496" i="1" a="1"/>
  <c r="Y574" i="1" a="1"/>
  <c r="Y134" i="1" a="1"/>
  <c r="Y305" i="1" a="1"/>
  <c r="Y401" i="1" a="1"/>
  <c r="Y50" i="1" a="1"/>
  <c r="Y111" i="1" a="1"/>
  <c r="Y168" i="1" a="1"/>
  <c r="Y192" i="1" a="1"/>
  <c r="Y216" i="1" a="1"/>
  <c r="Y240" i="1" a="1"/>
  <c r="Y264" i="1" a="1"/>
  <c r="Y288" i="1" a="1"/>
  <c r="Y312" i="1" a="1"/>
  <c r="Y336" i="1" a="1"/>
  <c r="Y360" i="1" a="1"/>
  <c r="Y384" i="1" a="1"/>
  <c r="Y408" i="1" a="1"/>
  <c r="Y432" i="1" a="1"/>
  <c r="Y456" i="1" a="1"/>
  <c r="Y480" i="1" a="1"/>
  <c r="Y504" i="1" a="1"/>
  <c r="Y433" i="1" a="1"/>
  <c r="Y505" i="1" a="1"/>
  <c r="Y562" i="1" a="1"/>
  <c r="Y549" i="1" a="1"/>
  <c r="Y122" i="1" a="1"/>
  <c r="Y296" i="1" a="1"/>
  <c r="Y440" i="1" a="1"/>
  <c r="Y585" i="1" a="1"/>
  <c r="Y62" i="1" a="1"/>
  <c r="Y225" i="1" a="1"/>
  <c r="Y345" i="1" a="1"/>
  <c r="Y489" i="1" a="1"/>
  <c r="Y69" i="1" a="1"/>
  <c r="Y255" i="1" a="1"/>
  <c r="Y399" i="1" a="1"/>
  <c r="Y537" i="1" a="1"/>
  <c r="Y591" i="1" a="1"/>
  <c r="Y160" i="1" a="1"/>
  <c r="Y328" i="1" a="1"/>
  <c r="Y448" i="1" a="1"/>
  <c r="Y556" i="1" a="1"/>
  <c r="Y161" i="1" a="1"/>
  <c r="Y257" i="1" a="1"/>
  <c r="Y377" i="1" a="1"/>
  <c r="Y497" i="1" a="1"/>
  <c r="Y20" i="1" a="1"/>
  <c r="Y81" i="1" a="1"/>
  <c r="Y144" i="1" a="1"/>
  <c r="Y169" i="1" a="1"/>
  <c r="Y193" i="1" a="1"/>
  <c r="Y217" i="1" a="1"/>
  <c r="Y241" i="1" a="1"/>
  <c r="Y265" i="1" a="1"/>
  <c r="Y289" i="1" a="1"/>
  <c r="Y313" i="1" a="1"/>
  <c r="Y337" i="1" a="1"/>
  <c r="Y361" i="1" a="1"/>
  <c r="Y385" i="1" a="1"/>
  <c r="Y457" i="1" a="1"/>
  <c r="Y544" i="1" a="1"/>
  <c r="Y30" i="1" a="1"/>
  <c r="Y248" i="1" a="1"/>
  <c r="Y392" i="1" a="1"/>
  <c r="Y177" i="1" a="1"/>
  <c r="Y273" i="1" a="1"/>
  <c r="Y369" i="1" a="1"/>
  <c r="Y465" i="1" a="1"/>
  <c r="Y183" i="1" a="1"/>
  <c r="Y231" i="1" a="1"/>
  <c r="Y351" i="1" a="1"/>
  <c r="Y471" i="1" a="1"/>
  <c r="Y573" i="1" a="1"/>
  <c r="Y184" i="1" a="1"/>
  <c r="Y280" i="1" a="1"/>
  <c r="Y400" i="1" a="1"/>
  <c r="Y538" i="1" a="1"/>
  <c r="Y73" i="1" a="1"/>
  <c r="Y281" i="1" a="1"/>
  <c r="Y425" i="1" a="1"/>
  <c r="Y51" i="1" a="1"/>
  <c r="Y114" i="1" a="1"/>
  <c r="Y145" i="1" a="1"/>
  <c r="Y598" i="1" a="1"/>
  <c r="Y91" i="1" a="1"/>
  <c r="Y61" i="1" a="1"/>
  <c r="Y200" i="1" a="1"/>
  <c r="Y320" i="1" a="1"/>
  <c r="Y416" i="1" a="1"/>
  <c r="Y488" i="1" a="1"/>
  <c r="Y92" i="1" a="1"/>
  <c r="Y568" i="1" a="1"/>
  <c r="Y123" i="1" a="1"/>
  <c r="Y249" i="1" a="1"/>
  <c r="Y393" i="1" a="1"/>
  <c r="Y513" i="1" a="1"/>
  <c r="Y132" i="1" a="1"/>
  <c r="Y303" i="1" a="1"/>
  <c r="Y447" i="1" a="1"/>
  <c r="Y555" i="1" a="1"/>
  <c r="Y102" i="1" a="1"/>
  <c r="Y208" i="1" a="1"/>
  <c r="Y304" i="1" a="1"/>
  <c r="Y424" i="1" a="1"/>
  <c r="Y520" i="1" a="1"/>
  <c r="Y185" i="1" a="1"/>
  <c r="Y233" i="1" a="1"/>
  <c r="Y353" i="1" a="1"/>
  <c r="Y473" i="1" a="1"/>
  <c r="Y592" i="1" a="1"/>
  <c r="Y60" i="1" a="1"/>
  <c r="Y531" i="1" a="1"/>
  <c r="Y152" i="1" a="1"/>
  <c r="Y224" i="1" a="1"/>
  <c r="Y368" i="1" a="1"/>
  <c r="Y512" i="1" a="1"/>
  <c r="Y532" i="1" a="1"/>
  <c r="Y201" i="1" a="1"/>
  <c r="Y321" i="1" a="1"/>
  <c r="Y441" i="1" a="1"/>
  <c r="Y207" i="1" a="1"/>
  <c r="Y279" i="1" a="1"/>
  <c r="Y375" i="1" a="1"/>
  <c r="Y495" i="1" a="1"/>
  <c r="Y39" i="1" a="1"/>
  <c r="Y72" i="1" a="1"/>
  <c r="Y232" i="1" a="1"/>
  <c r="Y352" i="1" a="1"/>
  <c r="Y472" i="1" a="1"/>
  <c r="Y42" i="1" a="1"/>
  <c r="Y209" i="1" a="1"/>
  <c r="Y329" i="1" a="1"/>
  <c r="Y449" i="1" a="1"/>
  <c r="Y9" i="1" a="1"/>
  <c r="AM557" i="1" l="1"/>
  <c r="AM501" i="1"/>
  <c r="AM412" i="1"/>
  <c r="AM339" i="1"/>
  <c r="AM266" i="1"/>
  <c r="AM180" i="1"/>
  <c r="AM579" i="1"/>
  <c r="AM530" i="1"/>
  <c r="AM433" i="1"/>
  <c r="AM378" i="1"/>
  <c r="AM243" i="1"/>
  <c r="AM593" i="1"/>
  <c r="AM545" i="1"/>
  <c r="AM432" i="1"/>
  <c r="AM265" i="1"/>
  <c r="AM178" i="1"/>
  <c r="AM136" i="1"/>
  <c r="AM591" i="1"/>
  <c r="AM554" i="1"/>
  <c r="AM445" i="1"/>
  <c r="AM356" i="1"/>
  <c r="AM283" i="1"/>
  <c r="AM242" i="1"/>
  <c r="AM112" i="1"/>
  <c r="AM540" i="1"/>
  <c r="AM477" i="1"/>
  <c r="AM297" i="1"/>
  <c r="AM219" i="1"/>
  <c r="AM87" i="1"/>
  <c r="AM588" i="1"/>
  <c r="AM553" i="1"/>
  <c r="AM424" i="1"/>
  <c r="AM336" i="1"/>
  <c r="AM196" i="1"/>
  <c r="AM133" i="1"/>
  <c r="AM39" i="1"/>
  <c r="AM509" i="1"/>
  <c r="AM349" i="1"/>
  <c r="AM192" i="1"/>
  <c r="AM104" i="1"/>
  <c r="AM587" i="1"/>
  <c r="AM552" i="1"/>
  <c r="AM506" i="1"/>
  <c r="AM457" i="1"/>
  <c r="AM348" i="1"/>
  <c r="AM314" i="1"/>
  <c r="AM274" i="1"/>
  <c r="AM189" i="1"/>
  <c r="AM147" i="1"/>
  <c r="AM79" i="1"/>
  <c r="AM596" i="1"/>
  <c r="AM585" i="1"/>
  <c r="AM572" i="1"/>
  <c r="AM561" i="1"/>
  <c r="AM548" i="1"/>
  <c r="AM522" i="1"/>
  <c r="AM503" i="1"/>
  <c r="AM491" i="1"/>
  <c r="AM456" i="1"/>
  <c r="AM421" i="1"/>
  <c r="AM402" i="1"/>
  <c r="AM381" i="1"/>
  <c r="AM368" i="1"/>
  <c r="AM328" i="1"/>
  <c r="AM308" i="1"/>
  <c r="AM292" i="1"/>
  <c r="AM253" i="1"/>
  <c r="AM232" i="1"/>
  <c r="AM211" i="1"/>
  <c r="AM169" i="1"/>
  <c r="AM124" i="1"/>
  <c r="AM103" i="1"/>
  <c r="AM52" i="1"/>
  <c r="AM31" i="1"/>
  <c r="AM594" i="1"/>
  <c r="AM379" i="1"/>
  <c r="AM555" i="1"/>
  <c r="AM284" i="1"/>
  <c r="AM426" i="1"/>
  <c r="AM577" i="1"/>
  <c r="AM493" i="1"/>
  <c r="AM581" i="1"/>
  <c r="AM546" i="1"/>
  <c r="AM484" i="1"/>
  <c r="AM324" i="1"/>
  <c r="AM138" i="1"/>
  <c r="AM514" i="1"/>
  <c r="AM465" i="1"/>
  <c r="AM357" i="1"/>
  <c r="AM304" i="1"/>
  <c r="AM115" i="1"/>
  <c r="AM569" i="1"/>
  <c r="AM411" i="1"/>
  <c r="AM338" i="1"/>
  <c r="AM157" i="1"/>
  <c r="AM67" i="1"/>
  <c r="AM567" i="1"/>
  <c r="AM513" i="1"/>
  <c r="AM464" i="1"/>
  <c r="AM392" i="1"/>
  <c r="AM200" i="1"/>
  <c r="AM40" i="1"/>
  <c r="AM511" i="1"/>
  <c r="AM444" i="1"/>
  <c r="AM370" i="1"/>
  <c r="AM261" i="1"/>
  <c r="AM177" i="1"/>
  <c r="AM564" i="1"/>
  <c r="AM510" i="1"/>
  <c r="AM475" i="1"/>
  <c r="AM388" i="1"/>
  <c r="AM276" i="1"/>
  <c r="AM241" i="1"/>
  <c r="AM111" i="1"/>
  <c r="AM539" i="1"/>
  <c r="AM474" i="1"/>
  <c r="AM369" i="1"/>
  <c r="AM296" i="1"/>
  <c r="AM212" i="1"/>
  <c r="AM128" i="1"/>
  <c r="AM32" i="1"/>
  <c r="AM563" i="1"/>
  <c r="AM523" i="1"/>
  <c r="AM473" i="1"/>
  <c r="AM384" i="1"/>
  <c r="AM521" i="1"/>
  <c r="AM472" i="1"/>
  <c r="AM420" i="1"/>
  <c r="AM346" i="1"/>
  <c r="AM273" i="1"/>
  <c r="AM188" i="1"/>
  <c r="AM146" i="1"/>
  <c r="AM76" i="1"/>
  <c r="AM584" i="1"/>
  <c r="AM560" i="1"/>
  <c r="AM547" i="1"/>
  <c r="AM533" i="1"/>
  <c r="AM502" i="1"/>
  <c r="AM485" i="1"/>
  <c r="AM453" i="1"/>
  <c r="AM416" i="1"/>
  <c r="AM400" i="1"/>
  <c r="AM380" i="1"/>
  <c r="AM307" i="1"/>
  <c r="AM288" i="1"/>
  <c r="AM165" i="1"/>
  <c r="AM123" i="1"/>
  <c r="AM51" i="1"/>
  <c r="AM570" i="1"/>
  <c r="AM452" i="1"/>
  <c r="AM360" i="1"/>
  <c r="AM224" i="1"/>
  <c r="AM68" i="1"/>
  <c r="AM482" i="1"/>
  <c r="AM393" i="1"/>
  <c r="AM320" i="1"/>
  <c r="AM201" i="1"/>
  <c r="AM43" i="1"/>
  <c r="AM495" i="1"/>
  <c r="AM372" i="1"/>
  <c r="AM220" i="1"/>
  <c r="AM88" i="1"/>
  <c r="AM578" i="1"/>
  <c r="AM529" i="1"/>
  <c r="AM481" i="1"/>
  <c r="AM316" i="1"/>
  <c r="AM264" i="1"/>
  <c r="AM156" i="1"/>
  <c r="AM494" i="1"/>
  <c r="AM410" i="1"/>
  <c r="AM337" i="1"/>
  <c r="AM282" i="1"/>
  <c r="AM524" i="1"/>
  <c r="AM463" i="1"/>
  <c r="AM404" i="1"/>
  <c r="AM315" i="1"/>
  <c r="AM154" i="1"/>
  <c r="AM62" i="1"/>
  <c r="AM442" i="1"/>
  <c r="AM330" i="1"/>
  <c r="AM234" i="1"/>
  <c r="AM170" i="1"/>
  <c r="AM576" i="1"/>
  <c r="AM537" i="1"/>
  <c r="AM492" i="1"/>
  <c r="AM403" i="1"/>
  <c r="AM536" i="1"/>
  <c r="AM486" i="1"/>
  <c r="AM455" i="1"/>
  <c r="AM435" i="1"/>
  <c r="AM362" i="1"/>
  <c r="AM252" i="1"/>
  <c r="AM210" i="1"/>
  <c r="AM168" i="1"/>
  <c r="AM595" i="1"/>
  <c r="AM571" i="1"/>
  <c r="AM531" i="1"/>
  <c r="AM520" i="1"/>
  <c r="AM466" i="1"/>
  <c r="AM434" i="1"/>
  <c r="AM361" i="1"/>
  <c r="AM325" i="1"/>
  <c r="AM306" i="1"/>
  <c r="AM285" i="1"/>
  <c r="AM272" i="1"/>
  <c r="AM250" i="1"/>
  <c r="AM229" i="1"/>
  <c r="AM208" i="1"/>
  <c r="AM187" i="1"/>
  <c r="AM145" i="1"/>
  <c r="AM98" i="1"/>
  <c r="AM75" i="1"/>
  <c r="AM26" i="1"/>
  <c r="AM260" i="1"/>
  <c r="AM240" i="1"/>
  <c r="AM228" i="1"/>
  <c r="AM218" i="1"/>
  <c r="AM186" i="1"/>
  <c r="AM176" i="1"/>
  <c r="AM164" i="1"/>
  <c r="AM144" i="1"/>
  <c r="AM132" i="1"/>
  <c r="AM122" i="1"/>
  <c r="AM86" i="1"/>
  <c r="AM50" i="1"/>
  <c r="AM518" i="1"/>
  <c r="AM500" i="1"/>
  <c r="AM480" i="1"/>
  <c r="AM460" i="1"/>
  <c r="AM441" i="1"/>
  <c r="AM387" i="1"/>
  <c r="AM345" i="1"/>
  <c r="AM249" i="1"/>
  <c r="AM195" i="1"/>
  <c r="AM153" i="1"/>
  <c r="AM97" i="1"/>
  <c r="AM61" i="1"/>
  <c r="AM25" i="1"/>
  <c r="AM559" i="1"/>
  <c r="AM508" i="1"/>
  <c r="AM451" i="1"/>
  <c r="AM418" i="1"/>
  <c r="AM397" i="1"/>
  <c r="AM364" i="1"/>
  <c r="AM322" i="1"/>
  <c r="AM301" i="1"/>
  <c r="AM268" i="1"/>
  <c r="AM217" i="1"/>
  <c r="AM184" i="1"/>
  <c r="AM163" i="1"/>
  <c r="AM121" i="1"/>
  <c r="AM70" i="1"/>
  <c r="AM49" i="1"/>
  <c r="AM34" i="1"/>
  <c r="AM590" i="1"/>
  <c r="AM575" i="1"/>
  <c r="AM542" i="1"/>
  <c r="AM527" i="1"/>
  <c r="AM499" i="1"/>
  <c r="AM488" i="1"/>
  <c r="AM470" i="1"/>
  <c r="AM459" i="1"/>
  <c r="AM450" i="1"/>
  <c r="AM440" i="1"/>
  <c r="AM428" i="1"/>
  <c r="AM408" i="1"/>
  <c r="AM396" i="1"/>
  <c r="AM386" i="1"/>
  <c r="AM354" i="1"/>
  <c r="AM344" i="1"/>
  <c r="AM332" i="1"/>
  <c r="AM312" i="1"/>
  <c r="AM300" i="1"/>
  <c r="AM290" i="1"/>
  <c r="AM258" i="1"/>
  <c r="AM248" i="1"/>
  <c r="AM236" i="1"/>
  <c r="AM216" i="1"/>
  <c r="AM204" i="1"/>
  <c r="AM194" i="1"/>
  <c r="AM162" i="1"/>
  <c r="AM152" i="1"/>
  <c r="AM140" i="1"/>
  <c r="AM94" i="1"/>
  <c r="AM58" i="1"/>
  <c r="AM22" i="1"/>
  <c r="AM543" i="1"/>
  <c r="AM528" i="1"/>
  <c r="AM489" i="1"/>
  <c r="AM471" i="1"/>
  <c r="AM429" i="1"/>
  <c r="AM333" i="1"/>
  <c r="AM291" i="1"/>
  <c r="AM237" i="1"/>
  <c r="AM141" i="1"/>
  <c r="AM583" i="1"/>
  <c r="AM535" i="1"/>
  <c r="AM479" i="1"/>
  <c r="AM409" i="1"/>
  <c r="AM376" i="1"/>
  <c r="AM355" i="1"/>
  <c r="AM313" i="1"/>
  <c r="AM280" i="1"/>
  <c r="AM259" i="1"/>
  <c r="AM226" i="1"/>
  <c r="AM205" i="1"/>
  <c r="AM172" i="1"/>
  <c r="AM130" i="1"/>
  <c r="AM106" i="1"/>
  <c r="AM85" i="1"/>
  <c r="AM599" i="1"/>
  <c r="AM566" i="1"/>
  <c r="AM551" i="1"/>
  <c r="AM517" i="1"/>
  <c r="AM597" i="1"/>
  <c r="AM582" i="1"/>
  <c r="AM573" i="1"/>
  <c r="AM558" i="1"/>
  <c r="AM549" i="1"/>
  <c r="AM534" i="1"/>
  <c r="AM525" i="1"/>
  <c r="AM516" i="1"/>
  <c r="AM507" i="1"/>
  <c r="AM496" i="1"/>
  <c r="AM478" i="1"/>
  <c r="AM467" i="1"/>
  <c r="AM417" i="1"/>
  <c r="AM405" i="1"/>
  <c r="AM363" i="1"/>
  <c r="AM321" i="1"/>
  <c r="AM309" i="1"/>
  <c r="AM267" i="1"/>
  <c r="AM225" i="1"/>
  <c r="AM213" i="1"/>
  <c r="AM171" i="1"/>
  <c r="AM129" i="1"/>
  <c r="AM105" i="1"/>
  <c r="AM69" i="1"/>
  <c r="AM33" i="1"/>
  <c r="AM589" i="1"/>
  <c r="AM565" i="1"/>
  <c r="AM541" i="1"/>
  <c r="AM515" i="1"/>
  <c r="AM487" i="1"/>
  <c r="AM458" i="1"/>
  <c r="AM448" i="1"/>
  <c r="AM436" i="1"/>
  <c r="AM427" i="1"/>
  <c r="AM394" i="1"/>
  <c r="AM385" i="1"/>
  <c r="AM373" i="1"/>
  <c r="AM352" i="1"/>
  <c r="AM340" i="1"/>
  <c r="AM331" i="1"/>
  <c r="AM298" i="1"/>
  <c r="AM289" i="1"/>
  <c r="AM277" i="1"/>
  <c r="AM256" i="1"/>
  <c r="AM244" i="1"/>
  <c r="AM235" i="1"/>
  <c r="AM202" i="1"/>
  <c r="AM193" i="1"/>
  <c r="AM181" i="1"/>
  <c r="AM160" i="1"/>
  <c r="AM148" i="1"/>
  <c r="AM139" i="1"/>
  <c r="AM116" i="1"/>
  <c r="AM93" i="1"/>
  <c r="AM80" i="1"/>
  <c r="AM57" i="1"/>
  <c r="AM44" i="1"/>
  <c r="AM21" i="1"/>
  <c r="AM498" i="1"/>
  <c r="AM327" i="1"/>
  <c r="AM303" i="1"/>
  <c r="AM255" i="1"/>
  <c r="AM231" i="1"/>
  <c r="AM207" i="1"/>
  <c r="AM183" i="1"/>
  <c r="AM159" i="1"/>
  <c r="AM135" i="1"/>
  <c r="AM118" i="1"/>
  <c r="AM110" i="1"/>
  <c r="AM100" i="1"/>
  <c r="AM92" i="1"/>
  <c r="AM82" i="1"/>
  <c r="AM74" i="1"/>
  <c r="AM64" i="1"/>
  <c r="AM56" i="1"/>
  <c r="AM46" i="1"/>
  <c r="AM38" i="1"/>
  <c r="AM28" i="1"/>
  <c r="AM20" i="1"/>
  <c r="AM462" i="1"/>
  <c r="AM447" i="1"/>
  <c r="AM279" i="1"/>
  <c r="AM592" i="1"/>
  <c r="AM586" i="1"/>
  <c r="AM580" i="1"/>
  <c r="AM574" i="1"/>
  <c r="AM568" i="1"/>
  <c r="AM562" i="1"/>
  <c r="AM556" i="1"/>
  <c r="AM550" i="1"/>
  <c r="AM544" i="1"/>
  <c r="AM538" i="1"/>
  <c r="AM532" i="1"/>
  <c r="AM526" i="1"/>
  <c r="AM519" i="1"/>
  <c r="AM512" i="1"/>
  <c r="AM505" i="1"/>
  <c r="AM497" i="1"/>
  <c r="AM490" i="1"/>
  <c r="AM483" i="1"/>
  <c r="AM476" i="1"/>
  <c r="AM469" i="1"/>
  <c r="AM461" i="1"/>
  <c r="AM454" i="1"/>
  <c r="AM439" i="1"/>
  <c r="AM430" i="1"/>
  <c r="AM415" i="1"/>
  <c r="AM406" i="1"/>
  <c r="AM391" i="1"/>
  <c r="AM382" i="1"/>
  <c r="AM367" i="1"/>
  <c r="AM358" i="1"/>
  <c r="AM343" i="1"/>
  <c r="AM334" i="1"/>
  <c r="AM319" i="1"/>
  <c r="AM310" i="1"/>
  <c r="AM295" i="1"/>
  <c r="AM286" i="1"/>
  <c r="AM271" i="1"/>
  <c r="AM262" i="1"/>
  <c r="AM247" i="1"/>
  <c r="AM238" i="1"/>
  <c r="AM223" i="1"/>
  <c r="AM214" i="1"/>
  <c r="AM199" i="1"/>
  <c r="AM190" i="1"/>
  <c r="AM175" i="1"/>
  <c r="AM166" i="1"/>
  <c r="AM151" i="1"/>
  <c r="AM142" i="1"/>
  <c r="AM127" i="1"/>
  <c r="AM423" i="1"/>
  <c r="AM399" i="1"/>
  <c r="AM375" i="1"/>
  <c r="AM351" i="1"/>
  <c r="AM598" i="1"/>
  <c r="AM504" i="1"/>
  <c r="AM468" i="1"/>
  <c r="AM446" i="1"/>
  <c r="AM438" i="1"/>
  <c r="AM422" i="1"/>
  <c r="AM414" i="1"/>
  <c r="AM398" i="1"/>
  <c r="AM390" i="1"/>
  <c r="AM374" i="1"/>
  <c r="AM366" i="1"/>
  <c r="AM350" i="1"/>
  <c r="AM342" i="1"/>
  <c r="AM326" i="1"/>
  <c r="AM318" i="1"/>
  <c r="AM302" i="1"/>
  <c r="AM294" i="1"/>
  <c r="AM278" i="1"/>
  <c r="AM270" i="1"/>
  <c r="AM254" i="1"/>
  <c r="AM246" i="1"/>
  <c r="AM230" i="1"/>
  <c r="AM222" i="1"/>
  <c r="AM206" i="1"/>
  <c r="AM198" i="1"/>
  <c r="AM182" i="1"/>
  <c r="AM174" i="1"/>
  <c r="AM158" i="1"/>
  <c r="AM150" i="1"/>
  <c r="AM134" i="1"/>
  <c r="AM126" i="1"/>
  <c r="AM117" i="1"/>
  <c r="AM109" i="1"/>
  <c r="AM99" i="1"/>
  <c r="AM91" i="1"/>
  <c r="AM81" i="1"/>
  <c r="AM73" i="1"/>
  <c r="AM63" i="1"/>
  <c r="AM55" i="1"/>
  <c r="AM45" i="1"/>
  <c r="AM37" i="1"/>
  <c r="AM27" i="1"/>
  <c r="AM19" i="1"/>
  <c r="AM120" i="1"/>
  <c r="AM114" i="1"/>
  <c r="AM108" i="1"/>
  <c r="AM102" i="1"/>
  <c r="AM96" i="1"/>
  <c r="AM90" i="1"/>
  <c r="AM84" i="1"/>
  <c r="AM78" i="1"/>
  <c r="AM72" i="1"/>
  <c r="AM66" i="1"/>
  <c r="AM60" i="1"/>
  <c r="AM54" i="1"/>
  <c r="AM48" i="1"/>
  <c r="AM42" i="1"/>
  <c r="AM36" i="1"/>
  <c r="AM30" i="1"/>
  <c r="AM24" i="1"/>
  <c r="AM18" i="1"/>
  <c r="AM449" i="1"/>
  <c r="AM443" i="1"/>
  <c r="AM437" i="1"/>
  <c r="AM431" i="1"/>
  <c r="AM425" i="1"/>
  <c r="AM419" i="1"/>
  <c r="AM413" i="1"/>
  <c r="AM407" i="1"/>
  <c r="AM401" i="1"/>
  <c r="AM395" i="1"/>
  <c r="AM389" i="1"/>
  <c r="AM383" i="1"/>
  <c r="AM377" i="1"/>
  <c r="AM371" i="1"/>
  <c r="AM365" i="1"/>
  <c r="AM359" i="1"/>
  <c r="AM353" i="1"/>
  <c r="AM347" i="1"/>
  <c r="AM341" i="1"/>
  <c r="AM335" i="1"/>
  <c r="AM329" i="1"/>
  <c r="AM323" i="1"/>
  <c r="AM317" i="1"/>
  <c r="AM311" i="1"/>
  <c r="AM305" i="1"/>
  <c r="AM299" i="1"/>
  <c r="AM293" i="1"/>
  <c r="AM287" i="1"/>
  <c r="AM281" i="1"/>
  <c r="AM275" i="1"/>
  <c r="AM269" i="1"/>
  <c r="AM263" i="1"/>
  <c r="AM257" i="1"/>
  <c r="AM251" i="1"/>
  <c r="AM245" i="1"/>
  <c r="AM239" i="1"/>
  <c r="AM233" i="1"/>
  <c r="AM227" i="1"/>
  <c r="AM221" i="1"/>
  <c r="AM215" i="1"/>
  <c r="AM209" i="1"/>
  <c r="AM203" i="1"/>
  <c r="AM197" i="1"/>
  <c r="AM191" i="1"/>
  <c r="AM185" i="1"/>
  <c r="AM179" i="1"/>
  <c r="AM173" i="1"/>
  <c r="AM167" i="1"/>
  <c r="AM161" i="1"/>
  <c r="AM155" i="1"/>
  <c r="AM149" i="1"/>
  <c r="AM143" i="1"/>
  <c r="AM137" i="1"/>
  <c r="AM131" i="1"/>
  <c r="AM125" i="1"/>
  <c r="AM119" i="1"/>
  <c r="AM113" i="1"/>
  <c r="AM107" i="1"/>
  <c r="AM101" i="1"/>
  <c r="AM95" i="1"/>
  <c r="AM89" i="1"/>
  <c r="AM83" i="1"/>
  <c r="AM77" i="1"/>
  <c r="AM71" i="1"/>
  <c r="AM65" i="1"/>
  <c r="AM59" i="1"/>
  <c r="AM53" i="1"/>
  <c r="AM47" i="1"/>
  <c r="AM41" i="1"/>
  <c r="AM35" i="1"/>
  <c r="AM29" i="1"/>
  <c r="AM23" i="1"/>
  <c r="AM17" i="1"/>
  <c r="AM15" i="1"/>
  <c r="AM11" i="1"/>
  <c r="AM14" i="1"/>
  <c r="AM13" i="1"/>
  <c r="AM12" i="1"/>
  <c r="AM16" i="1"/>
  <c r="AM10" i="1"/>
  <c r="AM9" i="1"/>
  <c r="Z552" i="1"/>
  <c r="Z472" i="1"/>
  <c r="Z462" i="1"/>
  <c r="Z429" i="1"/>
  <c r="Z575" i="1"/>
  <c r="Z447" i="1"/>
  <c r="Z275" i="1"/>
  <c r="Z598" i="1"/>
  <c r="Z526" i="1"/>
  <c r="Z286" i="1"/>
  <c r="Z259" i="1"/>
  <c r="Z586" i="1"/>
  <c r="Z251" i="1"/>
  <c r="Z432" i="1"/>
  <c r="Z384" i="1"/>
  <c r="Z309" i="1"/>
  <c r="Z224" i="1"/>
  <c r="Z207" i="1"/>
  <c r="Z63" i="1"/>
  <c r="Z458" i="1"/>
  <c r="Z392" i="1"/>
  <c r="Z350" i="1"/>
  <c r="Z288" i="1"/>
  <c r="Z201" i="1"/>
  <c r="Z430" i="1"/>
  <c r="Z316" i="1"/>
  <c r="Z303" i="1"/>
  <c r="Z297" i="1"/>
  <c r="Z599" i="1"/>
  <c r="Z564" i="1"/>
  <c r="Z550" i="1"/>
  <c r="Z394" i="1"/>
  <c r="Z581" i="1"/>
  <c r="Z569" i="1"/>
  <c r="Z545" i="1"/>
  <c r="Z531" i="1"/>
  <c r="Z520" i="1"/>
  <c r="Z500" i="1"/>
  <c r="Z345" i="1"/>
  <c r="Z181" i="1"/>
  <c r="Z588" i="1"/>
  <c r="Z495" i="1"/>
  <c r="Z442" i="1"/>
  <c r="Z178" i="1"/>
  <c r="Z576" i="1"/>
  <c r="Z489" i="1"/>
  <c r="Z587" i="1"/>
  <c r="Z511" i="1"/>
  <c r="Z551" i="1"/>
  <c r="Z334" i="1"/>
  <c r="Z317" i="1"/>
  <c r="Z271" i="1"/>
  <c r="Z255" i="1"/>
  <c r="Z562" i="1"/>
  <c r="Z468" i="1"/>
  <c r="Z386" i="1"/>
  <c r="Z546" i="1"/>
  <c r="Z530" i="1"/>
  <c r="Z453" i="1"/>
  <c r="Z448" i="1"/>
  <c r="Z390" i="1"/>
  <c r="Z155" i="1"/>
  <c r="Z593" i="1"/>
  <c r="Z557" i="1"/>
  <c r="Z592" i="1"/>
  <c r="Z494" i="1"/>
  <c r="Z456" i="1"/>
  <c r="Z335" i="1"/>
  <c r="Z200" i="1"/>
  <c r="Z524" i="1"/>
  <c r="Z418" i="1"/>
  <c r="Z339" i="1"/>
  <c r="Z486" i="1"/>
  <c r="Z477" i="1"/>
  <c r="Z351" i="1"/>
  <c r="Z322" i="1"/>
  <c r="Z81" i="1"/>
  <c r="Z525" i="1"/>
  <c r="Z483" i="1"/>
  <c r="Z563" i="1"/>
  <c r="Z517" i="1"/>
  <c r="Z452" i="1"/>
  <c r="Z502" i="1"/>
  <c r="Z440" i="1"/>
  <c r="Z416" i="1"/>
  <c r="Z346" i="1"/>
  <c r="Z574" i="1"/>
  <c r="Z594" i="1"/>
  <c r="Z408" i="1"/>
  <c r="Z388" i="1"/>
  <c r="Z582" i="1"/>
  <c r="Z570" i="1"/>
  <c r="Z558" i="1"/>
  <c r="Z321" i="1"/>
  <c r="Z514" i="1"/>
  <c r="Z580" i="1"/>
  <c r="Z568" i="1"/>
  <c r="Z556" i="1"/>
  <c r="Z544" i="1"/>
  <c r="Z532" i="1"/>
  <c r="Z488" i="1"/>
  <c r="Z446" i="1"/>
  <c r="Z426" i="1"/>
  <c r="Z347" i="1"/>
  <c r="Z318" i="1"/>
  <c r="Z482" i="1"/>
  <c r="Z597" i="1"/>
  <c r="Z591" i="1"/>
  <c r="Z573" i="1"/>
  <c r="Z555" i="1"/>
  <c r="Z518" i="1"/>
  <c r="Z438" i="1"/>
  <c r="Z424" i="1"/>
  <c r="Z237" i="1"/>
  <c r="Z211" i="1"/>
  <c r="Z343" i="1"/>
  <c r="Z325" i="1"/>
  <c r="Z287" i="1"/>
  <c r="Z205" i="1"/>
  <c r="Z590" i="1"/>
  <c r="Z584" i="1"/>
  <c r="Z578" i="1"/>
  <c r="Z572" i="1"/>
  <c r="Z566" i="1"/>
  <c r="Z560" i="1"/>
  <c r="Z554" i="1"/>
  <c r="Z548" i="1"/>
  <c r="Z542" i="1"/>
  <c r="Z528" i="1"/>
  <c r="Z490" i="1"/>
  <c r="Z435" i="1"/>
  <c r="Z434" i="1"/>
  <c r="Z411" i="1"/>
  <c r="Z410" i="1"/>
  <c r="Z364" i="1"/>
  <c r="Z362" i="1"/>
  <c r="Z337" i="1"/>
  <c r="Z314" i="1"/>
  <c r="Z293" i="1"/>
  <c r="Z270" i="1"/>
  <c r="Z266" i="1"/>
  <c r="Z254" i="1"/>
  <c r="Z89" i="1"/>
  <c r="Z341" i="1"/>
  <c r="Z298" i="1"/>
  <c r="Z292" i="1"/>
  <c r="Z585" i="1"/>
  <c r="Z561" i="1"/>
  <c r="Z543" i="1"/>
  <c r="Z354" i="1"/>
  <c r="Z596" i="1"/>
  <c r="Z537" i="1"/>
  <c r="Z536" i="1"/>
  <c r="Z535" i="1"/>
  <c r="Z534" i="1"/>
  <c r="Z523" i="1"/>
  <c r="Z513" i="1"/>
  <c r="Z510" i="1"/>
  <c r="Z498" i="1"/>
  <c r="Z484" i="1"/>
  <c r="Z474" i="1"/>
  <c r="Z370" i="1"/>
  <c r="Z368" i="1"/>
  <c r="Z366" i="1"/>
  <c r="Z355" i="1"/>
  <c r="Z326" i="1"/>
  <c r="Z308" i="1"/>
  <c r="Z305" i="1"/>
  <c r="Z299" i="1"/>
  <c r="Z285" i="1"/>
  <c r="Z193" i="1"/>
  <c r="Z512" i="1"/>
  <c r="Z312" i="1"/>
  <c r="Z579" i="1"/>
  <c r="Z567" i="1"/>
  <c r="Z549" i="1"/>
  <c r="Z414" i="1"/>
  <c r="Z304" i="1"/>
  <c r="Z522" i="1"/>
  <c r="Z595" i="1"/>
  <c r="Z589" i="1"/>
  <c r="Z583" i="1"/>
  <c r="Z577" i="1"/>
  <c r="Z571" i="1"/>
  <c r="Z565" i="1"/>
  <c r="Z559" i="1"/>
  <c r="Z553" i="1"/>
  <c r="Z547" i="1"/>
  <c r="Z541" i="1"/>
  <c r="Z540" i="1"/>
  <c r="Z539" i="1"/>
  <c r="Z529" i="1"/>
  <c r="Z519" i="1"/>
  <c r="Z516" i="1"/>
  <c r="Z492" i="1"/>
  <c r="Z478" i="1"/>
  <c r="Z464" i="1"/>
  <c r="Z459" i="1"/>
  <c r="Z454" i="1"/>
  <c r="Z422" i="1"/>
  <c r="Z382" i="1"/>
  <c r="Z380" i="1"/>
  <c r="Z378" i="1"/>
  <c r="Z365" i="1"/>
  <c r="Z363" i="1"/>
  <c r="Z361" i="1"/>
  <c r="Z349" i="1"/>
  <c r="Z338" i="1"/>
  <c r="Z276" i="1"/>
  <c r="Z264" i="1"/>
  <c r="Z260" i="1"/>
  <c r="Z256" i="1"/>
  <c r="Z230" i="1"/>
  <c r="Z538" i="1"/>
  <c r="Z480" i="1"/>
  <c r="Z444" i="1"/>
  <c r="Z441" i="1"/>
  <c r="Z417" i="1"/>
  <c r="Z371" i="1"/>
  <c r="Z369" i="1"/>
  <c r="Z367" i="1"/>
  <c r="Z357" i="1"/>
  <c r="Z353" i="1"/>
  <c r="Z328" i="1"/>
  <c r="Z324" i="1"/>
  <c r="Z231" i="1"/>
  <c r="Z212" i="1"/>
  <c r="Z159" i="1"/>
  <c r="Z501" i="1"/>
  <c r="Z496" i="1"/>
  <c r="Z470" i="1"/>
  <c r="Z465" i="1"/>
  <c r="Z460" i="1"/>
  <c r="Z436" i="1"/>
  <c r="Z412" i="1"/>
  <c r="Z383" i="1"/>
  <c r="Z381" i="1"/>
  <c r="Z379" i="1"/>
  <c r="Z348" i="1"/>
  <c r="Z319" i="1"/>
  <c r="Z311" i="1"/>
  <c r="Z269" i="1"/>
  <c r="Z183" i="1"/>
  <c r="Z450" i="1"/>
  <c r="Z428" i="1"/>
  <c r="Z420" i="1"/>
  <c r="Z389" i="1"/>
  <c r="Z387" i="1"/>
  <c r="Z385" i="1"/>
  <c r="Z344" i="1"/>
  <c r="Z340" i="1"/>
  <c r="Z331" i="1"/>
  <c r="Z315" i="1"/>
  <c r="Z265" i="1"/>
  <c r="Z261" i="1"/>
  <c r="Z176" i="1"/>
  <c r="Z69" i="1"/>
  <c r="Z54" i="1"/>
  <c r="Z25" i="1"/>
  <c r="Z508" i="1"/>
  <c r="Z507" i="1"/>
  <c r="Z506" i="1"/>
  <c r="Z505" i="1"/>
  <c r="Z504" i="1"/>
  <c r="Z476" i="1"/>
  <c r="Z471" i="1"/>
  <c r="Z466" i="1"/>
  <c r="Z423" i="1"/>
  <c r="Z395" i="1"/>
  <c r="Z393" i="1"/>
  <c r="Z391" i="1"/>
  <c r="Z360" i="1"/>
  <c r="Z352" i="1"/>
  <c r="Z323" i="1"/>
  <c r="Z499" i="1"/>
  <c r="Z493" i="1"/>
  <c r="Z487" i="1"/>
  <c r="Z481" i="1"/>
  <c r="Z475" i="1"/>
  <c r="Z469" i="1"/>
  <c r="Z463" i="1"/>
  <c r="Z457" i="1"/>
  <c r="Z451" i="1"/>
  <c r="Z445" i="1"/>
  <c r="Z439" i="1"/>
  <c r="Z433" i="1"/>
  <c r="Z427" i="1"/>
  <c r="Z421" i="1"/>
  <c r="Z415" i="1"/>
  <c r="Z409" i="1"/>
  <c r="Z377" i="1"/>
  <c r="Z376" i="1"/>
  <c r="Z375" i="1"/>
  <c r="Z374" i="1"/>
  <c r="Z373" i="1"/>
  <c r="Z372" i="1"/>
  <c r="Z358" i="1"/>
  <c r="Z332" i="1"/>
  <c r="Z329" i="1"/>
  <c r="Z240" i="1"/>
  <c r="Z223" i="1"/>
  <c r="Z182" i="1"/>
  <c r="Z177" i="1"/>
  <c r="Z533" i="1"/>
  <c r="Z527" i="1"/>
  <c r="Z521" i="1"/>
  <c r="Z515" i="1"/>
  <c r="Z509" i="1"/>
  <c r="Z503" i="1"/>
  <c r="Z497" i="1"/>
  <c r="Z491" i="1"/>
  <c r="Z485" i="1"/>
  <c r="Z479" i="1"/>
  <c r="Z473" i="1"/>
  <c r="Z467" i="1"/>
  <c r="Z461" i="1"/>
  <c r="Z455" i="1"/>
  <c r="Z449" i="1"/>
  <c r="Z443" i="1"/>
  <c r="Z437" i="1"/>
  <c r="Z431" i="1"/>
  <c r="Z425" i="1"/>
  <c r="Z419" i="1"/>
  <c r="Z413" i="1"/>
  <c r="Z407" i="1"/>
  <c r="Z401" i="1"/>
  <c r="Z400" i="1"/>
  <c r="Z399" i="1"/>
  <c r="Z398" i="1"/>
  <c r="Z397" i="1"/>
  <c r="Z396" i="1"/>
  <c r="Z359" i="1"/>
  <c r="Z336" i="1"/>
  <c r="Z330" i="1"/>
  <c r="Z327" i="1"/>
  <c r="Z300" i="1"/>
  <c r="Z294" i="1"/>
  <c r="Z192" i="1"/>
  <c r="Z406" i="1"/>
  <c r="Z405" i="1"/>
  <c r="Z404" i="1"/>
  <c r="Z403" i="1"/>
  <c r="Z402" i="1"/>
  <c r="Z342" i="1"/>
  <c r="Z333" i="1"/>
  <c r="Z313" i="1"/>
  <c r="Z310" i="1"/>
  <c r="Z306" i="1"/>
  <c r="Z291" i="1"/>
  <c r="Z282" i="1"/>
  <c r="Z281" i="1"/>
  <c r="Z280" i="1"/>
  <c r="Z245" i="1"/>
  <c r="Z112" i="1"/>
  <c r="Z356" i="1"/>
  <c r="Z320" i="1"/>
  <c r="Z248" i="1"/>
  <c r="Z247" i="1"/>
  <c r="Z235" i="1"/>
  <c r="Z153" i="1"/>
  <c r="Z139" i="1"/>
  <c r="Z76" i="1"/>
  <c r="Z277" i="1"/>
  <c r="Z272" i="1"/>
  <c r="Z267" i="1"/>
  <c r="Z262" i="1"/>
  <c r="Z243" i="1"/>
  <c r="Z242" i="1"/>
  <c r="Z219" i="1"/>
  <c r="Z218" i="1"/>
  <c r="Z194" i="1"/>
  <c r="Z191" i="1"/>
  <c r="Z171" i="1"/>
  <c r="Z257" i="1"/>
  <c r="Z225" i="1"/>
  <c r="Z199" i="1"/>
  <c r="Z172" i="1"/>
  <c r="Z164" i="1"/>
  <c r="Z120" i="1"/>
  <c r="Z302" i="1"/>
  <c r="Z296" i="1"/>
  <c r="Z290" i="1"/>
  <c r="Z283" i="1"/>
  <c r="Z278" i="1"/>
  <c r="Z273" i="1"/>
  <c r="Z268" i="1"/>
  <c r="Z252" i="1"/>
  <c r="Z229" i="1"/>
  <c r="Z206" i="1"/>
  <c r="Z173" i="1"/>
  <c r="Z158" i="1"/>
  <c r="Z142" i="1"/>
  <c r="Z109" i="1"/>
  <c r="Z83" i="1"/>
  <c r="Z32" i="1"/>
  <c r="Z263" i="1"/>
  <c r="Z249" i="1"/>
  <c r="Z246" i="1"/>
  <c r="Z236" i="1"/>
  <c r="Z213" i="1"/>
  <c r="Z189" i="1"/>
  <c r="Z188" i="1"/>
  <c r="Z187" i="1"/>
  <c r="Z186" i="1"/>
  <c r="Z140" i="1"/>
  <c r="Z138" i="1"/>
  <c r="Z114" i="1"/>
  <c r="Z108" i="1"/>
  <c r="Z307" i="1"/>
  <c r="Z301" i="1"/>
  <c r="Z295" i="1"/>
  <c r="Z289" i="1"/>
  <c r="Z284" i="1"/>
  <c r="Z279" i="1"/>
  <c r="Z274" i="1"/>
  <c r="Z258" i="1"/>
  <c r="Z253" i="1"/>
  <c r="Z241" i="1"/>
  <c r="Z217" i="1"/>
  <c r="Z156" i="1"/>
  <c r="Z91" i="1"/>
  <c r="Z234" i="1"/>
  <c r="Z228" i="1"/>
  <c r="Z222" i="1"/>
  <c r="Z216" i="1"/>
  <c r="Z210" i="1"/>
  <c r="Z204" i="1"/>
  <c r="Z198" i="1"/>
  <c r="Z184" i="1"/>
  <c r="Z169" i="1"/>
  <c r="Z163" i="1"/>
  <c r="Z145" i="1"/>
  <c r="Z143" i="1"/>
  <c r="Z132" i="1"/>
  <c r="Z105" i="1"/>
  <c r="Z97" i="1"/>
  <c r="Z70" i="1"/>
  <c r="Z195" i="1"/>
  <c r="Z179" i="1"/>
  <c r="Z174" i="1"/>
  <c r="Z147" i="1"/>
  <c r="Z124" i="1"/>
  <c r="Z115" i="1"/>
  <c r="Z103" i="1"/>
  <c r="Z239" i="1"/>
  <c r="Z233" i="1"/>
  <c r="Z227" i="1"/>
  <c r="Z221" i="1"/>
  <c r="Z215" i="1"/>
  <c r="Z209" i="1"/>
  <c r="Z203" i="1"/>
  <c r="Z197" i="1"/>
  <c r="Z190" i="1"/>
  <c r="Z136" i="1"/>
  <c r="Z125" i="1"/>
  <c r="Z196" i="1"/>
  <c r="Z185" i="1"/>
  <c r="Z180" i="1"/>
  <c r="Z175" i="1"/>
  <c r="Z170" i="1"/>
  <c r="Z150" i="1"/>
  <c r="Z129" i="1"/>
  <c r="Z110" i="1"/>
  <c r="Z101" i="1"/>
  <c r="Z250" i="1"/>
  <c r="Z244" i="1"/>
  <c r="Z238" i="1"/>
  <c r="Z232" i="1"/>
  <c r="Z226" i="1"/>
  <c r="Z220" i="1"/>
  <c r="Z214" i="1"/>
  <c r="Z208" i="1"/>
  <c r="Z202" i="1"/>
  <c r="Z165" i="1"/>
  <c r="Z113" i="1"/>
  <c r="Z52" i="1"/>
  <c r="Z168" i="1"/>
  <c r="Z162" i="1"/>
  <c r="Z151" i="1"/>
  <c r="Z148" i="1"/>
  <c r="Z135" i="1"/>
  <c r="Z131" i="1"/>
  <c r="Z49" i="1"/>
  <c r="Z167" i="1"/>
  <c r="Z161" i="1"/>
  <c r="Z146" i="1"/>
  <c r="Z123" i="1"/>
  <c r="Z119" i="1"/>
  <c r="Z82" i="1"/>
  <c r="Z38" i="1"/>
  <c r="Z157" i="1"/>
  <c r="Z154" i="1"/>
  <c r="Z126" i="1"/>
  <c r="Z117" i="1"/>
  <c r="Z48" i="1"/>
  <c r="Z166" i="1"/>
  <c r="Z160" i="1"/>
  <c r="Z149" i="1"/>
  <c r="Z141" i="1"/>
  <c r="Z130" i="1"/>
  <c r="Z118" i="1"/>
  <c r="Z77" i="1"/>
  <c r="Z152" i="1"/>
  <c r="Z144" i="1"/>
  <c r="Z137" i="1"/>
  <c r="Z100" i="1"/>
  <c r="Z96" i="1"/>
  <c r="Z106" i="1"/>
  <c r="Z78" i="1"/>
  <c r="Z31" i="1"/>
  <c r="Z24" i="1"/>
  <c r="Z95" i="1"/>
  <c r="Z134" i="1"/>
  <c r="Z128" i="1"/>
  <c r="Z122" i="1"/>
  <c r="Z116" i="1"/>
  <c r="Z111" i="1"/>
  <c r="Z107" i="1"/>
  <c r="Z133" i="1"/>
  <c r="Z127" i="1"/>
  <c r="Z121" i="1"/>
  <c r="Z102" i="1"/>
  <c r="Z90" i="1"/>
  <c r="Z65" i="1"/>
  <c r="Z53" i="1"/>
  <c r="Z46" i="1"/>
  <c r="Z94" i="1"/>
  <c r="Z88" i="1"/>
  <c r="Z84" i="1"/>
  <c r="Z20" i="1"/>
  <c r="Z79" i="1"/>
  <c r="Z64" i="1"/>
  <c r="Z42" i="1"/>
  <c r="Z99" i="1"/>
  <c r="Z93" i="1"/>
  <c r="Z87" i="1"/>
  <c r="Z75" i="1"/>
  <c r="Z71" i="1"/>
  <c r="Z57" i="1"/>
  <c r="Z23" i="1"/>
  <c r="Z85" i="1"/>
  <c r="Z80" i="1"/>
  <c r="Z59" i="1"/>
  <c r="Z58" i="1"/>
  <c r="Z104" i="1"/>
  <c r="Z98" i="1"/>
  <c r="Z92" i="1"/>
  <c r="Z86" i="1"/>
  <c r="Z44" i="1"/>
  <c r="Z36" i="1"/>
  <c r="Z74" i="1"/>
  <c r="Z68" i="1"/>
  <c r="Z62" i="1"/>
  <c r="Z28" i="1"/>
  <c r="Z73" i="1"/>
  <c r="Z67" i="1"/>
  <c r="Z61" i="1"/>
  <c r="Z60" i="1"/>
  <c r="Z55" i="1"/>
  <c r="Z50" i="1"/>
  <c r="Z72" i="1"/>
  <c r="Z66" i="1"/>
  <c r="Z45" i="1"/>
  <c r="Z56" i="1"/>
  <c r="Z51" i="1"/>
  <c r="Z47" i="1"/>
  <c r="Z43" i="1"/>
  <c r="Z41" i="1"/>
  <c r="Z39" i="1"/>
  <c r="Z37" i="1"/>
  <c r="Z35" i="1"/>
  <c r="Z33" i="1"/>
  <c r="Z30" i="1"/>
  <c r="Z26" i="1"/>
  <c r="Z34" i="1"/>
  <c r="Z29" i="1"/>
  <c r="Z19" i="1"/>
  <c r="Z40" i="1"/>
  <c r="Z22" i="1"/>
  <c r="Z10" i="1"/>
  <c r="Z27" i="1"/>
  <c r="Z21" i="1"/>
  <c r="Z9" i="1"/>
  <c r="Y449" i="1"/>
  <c r="Y329" i="1"/>
  <c r="Y209" i="1"/>
  <c r="Y42" i="1"/>
  <c r="Y472" i="1"/>
  <c r="Y352" i="1"/>
  <c r="Y232" i="1"/>
  <c r="Y72" i="1"/>
  <c r="Y39" i="1"/>
  <c r="Y495" i="1"/>
  <c r="Y375" i="1"/>
  <c r="Y279" i="1"/>
  <c r="Y207" i="1"/>
  <c r="Y441" i="1"/>
  <c r="Y321" i="1"/>
  <c r="Y201" i="1"/>
  <c r="Y532" i="1"/>
  <c r="Y512" i="1"/>
  <c r="Y368" i="1"/>
  <c r="Y224" i="1"/>
  <c r="Y152" i="1"/>
  <c r="Y531" i="1"/>
  <c r="Y60" i="1"/>
  <c r="Y592" i="1"/>
  <c r="Y473" i="1"/>
  <c r="Y353" i="1"/>
  <c r="Y233" i="1"/>
  <c r="Y185" i="1"/>
  <c r="Y520" i="1"/>
  <c r="Y424" i="1"/>
  <c r="Y304" i="1"/>
  <c r="Y208" i="1"/>
  <c r="Y102" i="1"/>
  <c r="Y555" i="1"/>
  <c r="Y447" i="1"/>
  <c r="Y303" i="1"/>
  <c r="Y132" i="1"/>
  <c r="Y513" i="1"/>
  <c r="Y393" i="1"/>
  <c r="Y249" i="1"/>
  <c r="Y123" i="1"/>
  <c r="Y568" i="1"/>
  <c r="Y92" i="1"/>
  <c r="Y488" i="1"/>
  <c r="Y416" i="1"/>
  <c r="Y320" i="1"/>
  <c r="Y200" i="1"/>
  <c r="Y61" i="1"/>
  <c r="Y91" i="1"/>
  <c r="Y598" i="1"/>
  <c r="Y145" i="1"/>
  <c r="Y114" i="1"/>
  <c r="Y51" i="1"/>
  <c r="Y425" i="1"/>
  <c r="Y281" i="1"/>
  <c r="Y73" i="1"/>
  <c r="Y538" i="1"/>
  <c r="Y400" i="1"/>
  <c r="Y280" i="1"/>
  <c r="Y184" i="1"/>
  <c r="Y573" i="1"/>
  <c r="Y471" i="1"/>
  <c r="Y351" i="1"/>
  <c r="Y231" i="1"/>
  <c r="Y183" i="1"/>
  <c r="Y465" i="1"/>
  <c r="Y369" i="1"/>
  <c r="Y273" i="1"/>
  <c r="Y177" i="1"/>
  <c r="Y392" i="1"/>
  <c r="Y248" i="1"/>
  <c r="Y30" i="1"/>
  <c r="Y544" i="1"/>
  <c r="Y457" i="1"/>
  <c r="Y385" i="1"/>
  <c r="Y361" i="1"/>
  <c r="Y337" i="1"/>
  <c r="Y313" i="1"/>
  <c r="Y289" i="1"/>
  <c r="Y265" i="1"/>
  <c r="Y241" i="1"/>
  <c r="Y217" i="1"/>
  <c r="Y193" i="1"/>
  <c r="Y169" i="1"/>
  <c r="Y144" i="1"/>
  <c r="Y81" i="1"/>
  <c r="Y20" i="1"/>
  <c r="Y497" i="1"/>
  <c r="Y377" i="1"/>
  <c r="Y257" i="1"/>
  <c r="Y161" i="1"/>
  <c r="Y556" i="1"/>
  <c r="Y448" i="1"/>
  <c r="Y328" i="1"/>
  <c r="Y160" i="1"/>
  <c r="Y591" i="1"/>
  <c r="Y537" i="1"/>
  <c r="Y399" i="1"/>
  <c r="Y255" i="1"/>
  <c r="Y69" i="1"/>
  <c r="Y489" i="1"/>
  <c r="Y345" i="1"/>
  <c r="Y225" i="1"/>
  <c r="Y62" i="1"/>
  <c r="Y585" i="1"/>
  <c r="Y440" i="1"/>
  <c r="Y296" i="1"/>
  <c r="Y122" i="1"/>
  <c r="Y549" i="1"/>
  <c r="Y562" i="1"/>
  <c r="Y505" i="1"/>
  <c r="Y433" i="1"/>
  <c r="Y504" i="1"/>
  <c r="Y480" i="1"/>
  <c r="Y456" i="1"/>
  <c r="Y432" i="1"/>
  <c r="Y408" i="1"/>
  <c r="Y384" i="1"/>
  <c r="Y360" i="1"/>
  <c r="Y336" i="1"/>
  <c r="Y312" i="1"/>
  <c r="Y288" i="1"/>
  <c r="Y264" i="1"/>
  <c r="Y240" i="1"/>
  <c r="Y216" i="1"/>
  <c r="Y192" i="1"/>
  <c r="Y168" i="1"/>
  <c r="Y111" i="1"/>
  <c r="Y50" i="1"/>
  <c r="Y401" i="1"/>
  <c r="Y305" i="1"/>
  <c r="Y134" i="1"/>
  <c r="Y574" i="1"/>
  <c r="Y496" i="1"/>
  <c r="Y376" i="1"/>
  <c r="Y256" i="1"/>
  <c r="Y103" i="1"/>
  <c r="Y133" i="1"/>
  <c r="Y519" i="1"/>
  <c r="Y423" i="1"/>
  <c r="Y327" i="1"/>
  <c r="Y159" i="1"/>
  <c r="Y586" i="1"/>
  <c r="Y417" i="1"/>
  <c r="Y297" i="1"/>
  <c r="Y153" i="1"/>
  <c r="Y550" i="1"/>
  <c r="Y31" i="1"/>
  <c r="Y464" i="1"/>
  <c r="Y344" i="1"/>
  <c r="Y272" i="1"/>
  <c r="Y176" i="1"/>
  <c r="Y567" i="1"/>
  <c r="Y580" i="1"/>
  <c r="Y526" i="1"/>
  <c r="Y481" i="1"/>
  <c r="Y409" i="1"/>
  <c r="Y597" i="1"/>
  <c r="Y579" i="1"/>
  <c r="Y561" i="1"/>
  <c r="Y543" i="1"/>
  <c r="Y525" i="1"/>
  <c r="Y503" i="1"/>
  <c r="Y479" i="1"/>
  <c r="Y455" i="1"/>
  <c r="Y431" i="1"/>
  <c r="Y407" i="1"/>
  <c r="Y383" i="1"/>
  <c r="Y359" i="1"/>
  <c r="Y335" i="1"/>
  <c r="Y311" i="1"/>
  <c r="Y287" i="1"/>
  <c r="Y263" i="1"/>
  <c r="Y239" i="1"/>
  <c r="Y215" i="1"/>
  <c r="Y191" i="1"/>
  <c r="Y167" i="1"/>
  <c r="Y141" i="1"/>
  <c r="Y80" i="1"/>
  <c r="Y19" i="1"/>
  <c r="Y511" i="1"/>
  <c r="Y463" i="1"/>
  <c r="Y358" i="1"/>
  <c r="Y295" i="1"/>
  <c r="Y247" i="1"/>
  <c r="Y199" i="1"/>
  <c r="Y151" i="1"/>
  <c r="Y49" i="1"/>
  <c r="Y590" i="1"/>
  <c r="Y572" i="1"/>
  <c r="Y542" i="1"/>
  <c r="Y510" i="1"/>
  <c r="Y462" i="1"/>
  <c r="Y422" i="1"/>
  <c r="Y414" i="1"/>
  <c r="Y390" i="1"/>
  <c r="Y350" i="1"/>
  <c r="Y342" i="1"/>
  <c r="Y326" i="1"/>
  <c r="Y318" i="1"/>
  <c r="Y302" i="1"/>
  <c r="Y294" i="1"/>
  <c r="Y278" i="1"/>
  <c r="Y270" i="1"/>
  <c r="Y254" i="1"/>
  <c r="Y246" i="1"/>
  <c r="Y230" i="1"/>
  <c r="Y222" i="1"/>
  <c r="Y206" i="1"/>
  <c r="Y198" i="1"/>
  <c r="Y182" i="1"/>
  <c r="Y174" i="1"/>
  <c r="Y158" i="1"/>
  <c r="Y150" i="1"/>
  <c r="Y140" i="1"/>
  <c r="Y129" i="1"/>
  <c r="Y120" i="1"/>
  <c r="Y79" i="1"/>
  <c r="Y68" i="1"/>
  <c r="Y57" i="1"/>
  <c r="Y48" i="1"/>
  <c r="Y509" i="1"/>
  <c r="Y501" i="1"/>
  <c r="Y485" i="1"/>
  <c r="Y477" i="1"/>
  <c r="Y461" i="1"/>
  <c r="Y453" i="1"/>
  <c r="Y437" i="1"/>
  <c r="Y429" i="1"/>
  <c r="Y413" i="1"/>
  <c r="Y405" i="1"/>
  <c r="Y389" i="1"/>
  <c r="Y381" i="1"/>
  <c r="Y365" i="1"/>
  <c r="Y357" i="1"/>
  <c r="Y341" i="1"/>
  <c r="Y333" i="1"/>
  <c r="Y317" i="1"/>
  <c r="Y309" i="1"/>
  <c r="Y293" i="1"/>
  <c r="Y285" i="1"/>
  <c r="Y269" i="1"/>
  <c r="Y261" i="1"/>
  <c r="Y245" i="1"/>
  <c r="Y237" i="1"/>
  <c r="Y221" i="1"/>
  <c r="Y213" i="1"/>
  <c r="Y197" i="1"/>
  <c r="Y189" i="1"/>
  <c r="Y173" i="1"/>
  <c r="Y165" i="1"/>
  <c r="Y148" i="1"/>
  <c r="Y109" i="1"/>
  <c r="Y98" i="1"/>
  <c r="Y87" i="1"/>
  <c r="Y78" i="1"/>
  <c r="Y37" i="1"/>
  <c r="Y26" i="1"/>
  <c r="Y15" i="1"/>
  <c r="Y478" i="1"/>
  <c r="Y439" i="1"/>
  <c r="Y406" i="1"/>
  <c r="Y343" i="1"/>
  <c r="Y271" i="1"/>
  <c r="Y175" i="1"/>
  <c r="Y121" i="1"/>
  <c r="Y18" i="1"/>
  <c r="Y566" i="1"/>
  <c r="Y524" i="1"/>
  <c r="Y494" i="1"/>
  <c r="Y438" i="1"/>
  <c r="Y589" i="1"/>
  <c r="Y559" i="1"/>
  <c r="Y535" i="1"/>
  <c r="Y517" i="1"/>
  <c r="Y436" i="1"/>
  <c r="Y397" i="1"/>
  <c r="Y349" i="1"/>
  <c r="Y325" i="1"/>
  <c r="Y244" i="1"/>
  <c r="Y229" i="1"/>
  <c r="Y196" i="1"/>
  <c r="Y172" i="1"/>
  <c r="Y157" i="1"/>
  <c r="Y139" i="1"/>
  <c r="Y128" i="1"/>
  <c r="Y117" i="1"/>
  <c r="Y108" i="1"/>
  <c r="Y56" i="1"/>
  <c r="Y45" i="1"/>
  <c r="Y36" i="1"/>
  <c r="Y516" i="1"/>
  <c r="Y500" i="1"/>
  <c r="Y492" i="1"/>
  <c r="Y476" i="1"/>
  <c r="Y468" i="1"/>
  <c r="Y452" i="1"/>
  <c r="Y444" i="1"/>
  <c r="Y428" i="1"/>
  <c r="Y420" i="1"/>
  <c r="Y404" i="1"/>
  <c r="Y396" i="1"/>
  <c r="Y380" i="1"/>
  <c r="Y372" i="1"/>
  <c r="Y356" i="1"/>
  <c r="Y348" i="1"/>
  <c r="Y332" i="1"/>
  <c r="Y324" i="1"/>
  <c r="Y308" i="1"/>
  <c r="Y300" i="1"/>
  <c r="Y284" i="1"/>
  <c r="Y276" i="1"/>
  <c r="Y260" i="1"/>
  <c r="Y252" i="1"/>
  <c r="Y236" i="1"/>
  <c r="Y228" i="1"/>
  <c r="Y212" i="1"/>
  <c r="Y204" i="1"/>
  <c r="Y188" i="1"/>
  <c r="Y180" i="1"/>
  <c r="Y164" i="1"/>
  <c r="Y156" i="1"/>
  <c r="Y147" i="1"/>
  <c r="Y138" i="1"/>
  <c r="Y97" i="1"/>
  <c r="Y86" i="1"/>
  <c r="Y75" i="1"/>
  <c r="Y66" i="1"/>
  <c r="Y25" i="1"/>
  <c r="Y14" i="1"/>
  <c r="Y502" i="1"/>
  <c r="Y430" i="1"/>
  <c r="Y382" i="1"/>
  <c r="Y319" i="1"/>
  <c r="Y262" i="1"/>
  <c r="Y223" i="1"/>
  <c r="Y190" i="1"/>
  <c r="Y90" i="1"/>
  <c r="Y596" i="1"/>
  <c r="Y560" i="1"/>
  <c r="Y518" i="1"/>
  <c r="Y470" i="1"/>
  <c r="Y398" i="1"/>
  <c r="Y595" i="1"/>
  <c r="Y571" i="1"/>
  <c r="Y547" i="1"/>
  <c r="Y508" i="1"/>
  <c r="Y460" i="1"/>
  <c r="Y412" i="1"/>
  <c r="Y364" i="1"/>
  <c r="Y316" i="1"/>
  <c r="Y268" i="1"/>
  <c r="Y205" i="1"/>
  <c r="Y181" i="1"/>
  <c r="Y588" i="1"/>
  <c r="Y576" i="1"/>
  <c r="Y558" i="1"/>
  <c r="Y546" i="1"/>
  <c r="Y534" i="1"/>
  <c r="Y522" i="1"/>
  <c r="Y507" i="1"/>
  <c r="Y491" i="1"/>
  <c r="Y483" i="1"/>
  <c r="Y467" i="1"/>
  <c r="Y459" i="1"/>
  <c r="Y443" i="1"/>
  <c r="Y435" i="1"/>
  <c r="Y419" i="1"/>
  <c r="Y411" i="1"/>
  <c r="Y395" i="1"/>
  <c r="Y387" i="1"/>
  <c r="Y371" i="1"/>
  <c r="Y363" i="1"/>
  <c r="Y347" i="1"/>
  <c r="Y339" i="1"/>
  <c r="Y323" i="1"/>
  <c r="Y315" i="1"/>
  <c r="Y299" i="1"/>
  <c r="Y291" i="1"/>
  <c r="Y275" i="1"/>
  <c r="Y267" i="1"/>
  <c r="Y251" i="1"/>
  <c r="Y243" i="1"/>
  <c r="Y227" i="1"/>
  <c r="Y219" i="1"/>
  <c r="Y203" i="1"/>
  <c r="Y195" i="1"/>
  <c r="Y179" i="1"/>
  <c r="Y171" i="1"/>
  <c r="Y155" i="1"/>
  <c r="Y127" i="1"/>
  <c r="Y116" i="1"/>
  <c r="Y105" i="1"/>
  <c r="Y96" i="1"/>
  <c r="Y55" i="1"/>
  <c r="Y44" i="1"/>
  <c r="Y33" i="1"/>
  <c r="Y24" i="1"/>
  <c r="Y487" i="1"/>
  <c r="Y391" i="1"/>
  <c r="Y334" i="1"/>
  <c r="Y286" i="1"/>
  <c r="Y238" i="1"/>
  <c r="Y110" i="1"/>
  <c r="Y38" i="1"/>
  <c r="Y584" i="1"/>
  <c r="Y554" i="1"/>
  <c r="Y536" i="1"/>
  <c r="Y486" i="1"/>
  <c r="Y374" i="1"/>
  <c r="Y583" i="1"/>
  <c r="Y565" i="1"/>
  <c r="Y541" i="1"/>
  <c r="Y523" i="1"/>
  <c r="Y484" i="1"/>
  <c r="Y445" i="1"/>
  <c r="Y421" i="1"/>
  <c r="Y373" i="1"/>
  <c r="Y292" i="1"/>
  <c r="Y253" i="1"/>
  <c r="Y67" i="1"/>
  <c r="Y594" i="1"/>
  <c r="Y582" i="1"/>
  <c r="Y570" i="1"/>
  <c r="Y564" i="1"/>
  <c r="Y552" i="1"/>
  <c r="Y540" i="1"/>
  <c r="Y528" i="1"/>
  <c r="Y515" i="1"/>
  <c r="Y514" i="1"/>
  <c r="Y499" i="1"/>
  <c r="Y490" i="1"/>
  <c r="Y475" i="1"/>
  <c r="Y466" i="1"/>
  <c r="Y451" i="1"/>
  <c r="Y442" i="1"/>
  <c r="Y427" i="1"/>
  <c r="Y418" i="1"/>
  <c r="Y403" i="1"/>
  <c r="Y394" i="1"/>
  <c r="Y379" i="1"/>
  <c r="Y370" i="1"/>
  <c r="Y355" i="1"/>
  <c r="Y346" i="1"/>
  <c r="Y331" i="1"/>
  <c r="Y322" i="1"/>
  <c r="Y307" i="1"/>
  <c r="Y298" i="1"/>
  <c r="Y283" i="1"/>
  <c r="Y274" i="1"/>
  <c r="Y259" i="1"/>
  <c r="Y250" i="1"/>
  <c r="Y235" i="1"/>
  <c r="Y226" i="1"/>
  <c r="Y211" i="1"/>
  <c r="Y202" i="1"/>
  <c r="Y187" i="1"/>
  <c r="Y178" i="1"/>
  <c r="Y163" i="1"/>
  <c r="Y154" i="1"/>
  <c r="Y146" i="1"/>
  <c r="Y135" i="1"/>
  <c r="Y126" i="1"/>
  <c r="Y85" i="1"/>
  <c r="Y74" i="1"/>
  <c r="Y63" i="1"/>
  <c r="Y54" i="1"/>
  <c r="Y13" i="1"/>
  <c r="Y454" i="1"/>
  <c r="Y415" i="1"/>
  <c r="Y367" i="1"/>
  <c r="Y310" i="1"/>
  <c r="Y214" i="1"/>
  <c r="Y166" i="1"/>
  <c r="Y99" i="1"/>
  <c r="Y27" i="1"/>
  <c r="Y578" i="1"/>
  <c r="Y548" i="1"/>
  <c r="Y530" i="1"/>
  <c r="Y446" i="1"/>
  <c r="Y366" i="1"/>
  <c r="Y577" i="1"/>
  <c r="Y553" i="1"/>
  <c r="Y529" i="1"/>
  <c r="Y493" i="1"/>
  <c r="Y469" i="1"/>
  <c r="Y388" i="1"/>
  <c r="Y340" i="1"/>
  <c r="Y301" i="1"/>
  <c r="Y277" i="1"/>
  <c r="Y220" i="1"/>
  <c r="Y599" i="1"/>
  <c r="Y593" i="1"/>
  <c r="Y587" i="1"/>
  <c r="Y581" i="1"/>
  <c r="Y575" i="1"/>
  <c r="Y569" i="1"/>
  <c r="Y563" i="1"/>
  <c r="Y557" i="1"/>
  <c r="Y551" i="1"/>
  <c r="Y545" i="1"/>
  <c r="Y539" i="1"/>
  <c r="Y533" i="1"/>
  <c r="Y527" i="1"/>
  <c r="Y521" i="1"/>
  <c r="Y506" i="1"/>
  <c r="Y498" i="1"/>
  <c r="Y482" i="1"/>
  <c r="Y474" i="1"/>
  <c r="Y458" i="1"/>
  <c r="Y450" i="1"/>
  <c r="Y434" i="1"/>
  <c r="Y426" i="1"/>
  <c r="Y410" i="1"/>
  <c r="Y402" i="1"/>
  <c r="Y386" i="1"/>
  <c r="Y378" i="1"/>
  <c r="Y362" i="1"/>
  <c r="Y354" i="1"/>
  <c r="Y338" i="1"/>
  <c r="Y330" i="1"/>
  <c r="Y314" i="1"/>
  <c r="Y306" i="1"/>
  <c r="Y290" i="1"/>
  <c r="Y282" i="1"/>
  <c r="Y266" i="1"/>
  <c r="Y258" i="1"/>
  <c r="Y242" i="1"/>
  <c r="Y234" i="1"/>
  <c r="Y218" i="1"/>
  <c r="Y210" i="1"/>
  <c r="Y194" i="1"/>
  <c r="Y186" i="1"/>
  <c r="Y170" i="1"/>
  <c r="Y162" i="1"/>
  <c r="Y115" i="1"/>
  <c r="Y104" i="1"/>
  <c r="Y93" i="1"/>
  <c r="Y84" i="1"/>
  <c r="Y43" i="1"/>
  <c r="Y32" i="1"/>
  <c r="Y21" i="1"/>
  <c r="Y12" i="1"/>
  <c r="Y149" i="1"/>
  <c r="Y143" i="1"/>
  <c r="Y137" i="1"/>
  <c r="Y131" i="1"/>
  <c r="Y125" i="1"/>
  <c r="Y119" i="1"/>
  <c r="Y113" i="1"/>
  <c r="Y107" i="1"/>
  <c r="Y101" i="1"/>
  <c r="Y95" i="1"/>
  <c r="Y89" i="1"/>
  <c r="Y83" i="1"/>
  <c r="Y77" i="1"/>
  <c r="Y71" i="1"/>
  <c r="Y65" i="1"/>
  <c r="Y59" i="1"/>
  <c r="Y53" i="1"/>
  <c r="Y47" i="1"/>
  <c r="Y41" i="1"/>
  <c r="Y35" i="1"/>
  <c r="Y29" i="1"/>
  <c r="Y23" i="1"/>
  <c r="Y17" i="1"/>
  <c r="Y11" i="1"/>
  <c r="Y142" i="1"/>
  <c r="Y136" i="1"/>
  <c r="Y130" i="1"/>
  <c r="Y124" i="1"/>
  <c r="Y118" i="1"/>
  <c r="Y112" i="1"/>
  <c r="Y106" i="1"/>
  <c r="Y100" i="1"/>
  <c r="Y94" i="1"/>
  <c r="Y88" i="1"/>
  <c r="Y82" i="1"/>
  <c r="Y76" i="1"/>
  <c r="Y70" i="1"/>
  <c r="Y64" i="1"/>
  <c r="Y58" i="1"/>
  <c r="Y52" i="1"/>
  <c r="Y46" i="1"/>
  <c r="Y40" i="1"/>
  <c r="Y34" i="1"/>
  <c r="Y28" i="1"/>
  <c r="Y22" i="1"/>
  <c r="Y16" i="1"/>
  <c r="Y10" i="1"/>
  <c r="N8" i="2"/>
  <c r="N7" i="2"/>
  <c r="L11" i="2"/>
  <c r="L10" i="2"/>
  <c r="L9" i="2"/>
  <c r="L8" i="2"/>
  <c r="L7" i="2"/>
  <c r="J11" i="2"/>
  <c r="J10" i="2"/>
  <c r="J9" i="2"/>
  <c r="J8" i="2"/>
  <c r="Y9" i="1"/>
  <c r="H6" i="2"/>
  <c r="H12" i="2"/>
  <c r="H16" i="2"/>
  <c r="H21" i="2"/>
  <c r="H25" i="2"/>
  <c r="H29" i="2"/>
  <c r="H33" i="2"/>
  <c r="H37" i="2"/>
  <c r="H41" i="2"/>
  <c r="H44" i="2"/>
  <c r="H51" i="2"/>
  <c r="H55" i="2"/>
  <c r="H56" i="2"/>
  <c r="H62" i="2"/>
  <c r="H66" i="2"/>
  <c r="H71" i="2"/>
  <c r="H76" i="2"/>
  <c r="H83" i="2"/>
  <c r="H87" i="2"/>
  <c r="H91" i="2"/>
  <c r="H97" i="2"/>
  <c r="H96" i="2" s="1"/>
  <c r="H105" i="2"/>
  <c r="H142" i="2"/>
  <c r="H116" i="2"/>
  <c r="H120" i="2"/>
  <c r="H124" i="2"/>
  <c r="H128" i="2"/>
  <c r="H132" i="2"/>
  <c r="H137" i="2"/>
  <c r="H146" i="2"/>
  <c r="H152" i="2"/>
  <c r="H158" i="2"/>
  <c r="H164" i="2"/>
  <c r="H169" i="2"/>
  <c r="H172" i="2"/>
  <c r="H176" i="2"/>
  <c r="H180" i="2"/>
  <c r="H187" i="2"/>
  <c r="H192" i="2"/>
  <c r="H201" i="2"/>
  <c r="H208" i="2"/>
  <c r="H215" i="2"/>
  <c r="H228" i="2"/>
  <c r="H240" i="2"/>
  <c r="H248" i="2"/>
  <c r="H257" i="2"/>
  <c r="H263" i="2"/>
  <c r="H269" i="2"/>
  <c r="H275" i="2"/>
  <c r="H292" i="2"/>
  <c r="H295" i="2"/>
  <c r="H298" i="2"/>
  <c r="H302" i="2"/>
  <c r="H306" i="2"/>
  <c r="H309" i="2"/>
  <c r="H313" i="2"/>
  <c r="H316" i="2"/>
  <c r="H319" i="2"/>
  <c r="H323" i="2"/>
  <c r="H327" i="2"/>
  <c r="H330" i="2"/>
  <c r="H334" i="2"/>
  <c r="H339" i="2"/>
  <c r="H343" i="2"/>
  <c r="H345" i="2"/>
  <c r="H349" i="2"/>
  <c r="H352" i="2"/>
  <c r="H357" i="2"/>
  <c r="H365" i="2"/>
  <c r="H368" i="2"/>
  <c r="H372" i="2"/>
  <c r="H375" i="2"/>
  <c r="H378" i="2"/>
  <c r="H381" i="2"/>
  <c r="H384" i="2"/>
  <c r="H387" i="2"/>
  <c r="H391" i="2"/>
  <c r="H394" i="2"/>
  <c r="H398" i="2"/>
  <c r="H402" i="2"/>
  <c r="H405" i="2"/>
  <c r="H409" i="2"/>
  <c r="H414" i="2"/>
  <c r="H418" i="2"/>
  <c r="H422" i="2"/>
  <c r="H430" i="2"/>
  <c r="H437" i="2"/>
  <c r="H446" i="2"/>
  <c r="H450" i="2"/>
  <c r="H459" i="2"/>
  <c r="H468" i="2"/>
  <c r="H472" i="2"/>
  <c r="H476" i="2"/>
  <c r="H482" i="2"/>
  <c r="J7" i="2" a="1"/>
  <c r="I6" i="2" a="1"/>
  <c r="Z18" i="1" a="1"/>
  <c r="Z17" i="1" a="1"/>
  <c r="Z16" i="1" a="1"/>
  <c r="Z13" i="1" a="1"/>
  <c r="Z15" i="1" a="1"/>
  <c r="Z14" i="1" a="1"/>
  <c r="Z12" i="1" a="1"/>
  <c r="Z11" i="1" a="1"/>
  <c r="AA552" i="1" a="1"/>
  <c r="AA251" i="1" a="1"/>
  <c r="AA430" i="1" a="1"/>
  <c r="AA520" i="1" a="1"/>
  <c r="AA551" i="1" a="1"/>
  <c r="AA390" i="1" a="1"/>
  <c r="AA486" i="1" a="1"/>
  <c r="AA416" i="1" a="1"/>
  <c r="AA568" i="1" a="1"/>
  <c r="AA573" i="1" a="1"/>
  <c r="AA584" i="1" a="1"/>
  <c r="AA411" i="1" a="1"/>
  <c r="AA298" i="1" a="1"/>
  <c r="AA513" i="1" a="1"/>
  <c r="AA299" i="1" a="1"/>
  <c r="AA589" i="1" a="1"/>
  <c r="AA519" i="1" a="1"/>
  <c r="AA363" i="1" a="1"/>
  <c r="AA441" i="1" a="1"/>
  <c r="AA501" i="1" a="1"/>
  <c r="AA311" i="1" a="1"/>
  <c r="AA315" i="1" a="1"/>
  <c r="AA476" i="1" a="1"/>
  <c r="AA487" i="1" a="1"/>
  <c r="AA415" i="1" a="1"/>
  <c r="AA223" i="1" a="1"/>
  <c r="AA479" i="1" a="1"/>
  <c r="AA407" i="1" a="1"/>
  <c r="AA294" i="1" a="1"/>
  <c r="AA291" i="1" a="1"/>
  <c r="AA139" i="1" a="1"/>
  <c r="AA171" i="1" a="1"/>
  <c r="AA273" i="1" a="1"/>
  <c r="AA249" i="1" a="1"/>
  <c r="AA307" i="1" a="1"/>
  <c r="AA91" i="1" a="1"/>
  <c r="AA143" i="1" a="1"/>
  <c r="AA239" i="1" a="1"/>
  <c r="AA185" i="1" a="1"/>
  <c r="AA226" i="1" a="1"/>
  <c r="AA135" i="1" a="1"/>
  <c r="AA126" i="1" a="1"/>
  <c r="AA137" i="1" a="1"/>
  <c r="AA111" i="1" a="1"/>
  <c r="AA84" i="1" a="1"/>
  <c r="AA68" i="1" a="1"/>
  <c r="AA66" i="1" a="1"/>
  <c r="AA26" i="1" a="1"/>
  <c r="AA21" i="1" a="1"/>
  <c r="AA588" i="1" a="1"/>
  <c r="AA172" i="1" a="1"/>
  <c r="AA67" i="1" a="1"/>
  <c r="AA495" i="1" a="1"/>
  <c r="AA525" i="1" a="1"/>
  <c r="AA446" i="1" a="1"/>
  <c r="AA554" i="1" a="1"/>
  <c r="AA314" i="1" a="1"/>
  <c r="AA370" i="1" a="1"/>
  <c r="AA559" i="1" a="1"/>
  <c r="AA436" i="1" a="1"/>
  <c r="AA54" i="1" a="1"/>
  <c r="AA374" i="1" a="1"/>
  <c r="AA112" i="1" a="1"/>
  <c r="AA173" i="1" a="1"/>
  <c r="AA195" i="1" a="1"/>
  <c r="AA165" i="1" a="1"/>
  <c r="AA31" i="1" a="1"/>
  <c r="AA104" i="1" a="1"/>
  <c r="AA63" i="1" a="1"/>
  <c r="AA368" i="1" a="1"/>
  <c r="AA389" i="1" a="1"/>
  <c r="AA515" i="1" a="1"/>
  <c r="AA243" i="1" a="1"/>
  <c r="AA204" i="1" a="1"/>
  <c r="AA123" i="1" a="1"/>
  <c r="AA93" i="1" a="1"/>
  <c r="AA41" i="1" a="1"/>
  <c r="AA178" i="1" a="1"/>
  <c r="AA563" i="1" a="1"/>
  <c r="AA343" i="1" a="1"/>
  <c r="AA537" i="1" a="1"/>
  <c r="AA256" i="1" a="1"/>
  <c r="AA509" i="1" a="1"/>
  <c r="AA142" i="1" a="1"/>
  <c r="AA197" i="1" a="1"/>
  <c r="AA65" i="1" a="1"/>
  <c r="AA581" i="1" a="1"/>
  <c r="AA318" i="1" a="1"/>
  <c r="AA536" i="1" a="1"/>
  <c r="AA541" i="1" a="1"/>
  <c r="AA324" i="1" a="1"/>
  <c r="AA507" i="1" a="1"/>
  <c r="AA439" i="1" a="1"/>
  <c r="AA336" i="1" a="1"/>
  <c r="AA248" i="1" a="1"/>
  <c r="AA109" i="1" a="1"/>
  <c r="AA184" i="1" a="1"/>
  <c r="AA250" i="1" a="1"/>
  <c r="AA134" i="1" a="1"/>
  <c r="AA75" i="1" a="1"/>
  <c r="AA22" i="1" a="1"/>
  <c r="AA569" i="1" a="1"/>
  <c r="AA326" i="1" a="1"/>
  <c r="AA344" i="1" a="1"/>
  <c r="AA330" i="1" a="1"/>
  <c r="AA83" i="1" a="1"/>
  <c r="AA136" i="1" a="1"/>
  <c r="AA46" i="1" a="1"/>
  <c r="AA35" i="1" a="1"/>
  <c r="AA259" i="1" a="1"/>
  <c r="AA418" i="1" a="1"/>
  <c r="AA597" i="1" a="1"/>
  <c r="AA89" i="1" a="1"/>
  <c r="AA522" i="1" a="1"/>
  <c r="AA378" i="1" a="1"/>
  <c r="AA212" i="1" a="1"/>
  <c r="AA499" i="1" a="1"/>
  <c r="AA491" i="1" a="1"/>
  <c r="AA194" i="1" a="1"/>
  <c r="AA217" i="1" a="1"/>
  <c r="AA238" i="1" a="1"/>
  <c r="AA122" i="1" a="1"/>
  <c r="AA57" i="1" a="1"/>
  <c r="AA10" i="1" a="1"/>
  <c r="AA586" i="1" a="1"/>
  <c r="AA590" i="1" a="1"/>
  <c r="AA529" i="1" a="1"/>
  <c r="AA331" i="1" a="1"/>
  <c r="AA485" i="1" a="1"/>
  <c r="AA153" i="1" a="1"/>
  <c r="AA263" i="1" a="1"/>
  <c r="AA103" i="1" a="1"/>
  <c r="AA154" i="1" a="1"/>
  <c r="AA88" i="1" a="1"/>
  <c r="AA30" i="1" a="1"/>
  <c r="AA472" i="1" a="1"/>
  <c r="AA432" i="1" a="1"/>
  <c r="AA316" i="1" a="1"/>
  <c r="AA500" i="1" a="1"/>
  <c r="AA334" i="1" a="1"/>
  <c r="AA155" i="1" a="1"/>
  <c r="AA477" i="1" a="1"/>
  <c r="AA346" i="1" a="1"/>
  <c r="AA556" i="1" a="1"/>
  <c r="AA555" i="1" a="1"/>
  <c r="AA578" i="1" a="1"/>
  <c r="AA410" i="1" a="1"/>
  <c r="AA292" i="1" a="1"/>
  <c r="AA510" i="1" a="1"/>
  <c r="AA285" i="1" a="1"/>
  <c r="AA583" i="1" a="1"/>
  <c r="AA516" i="1" a="1"/>
  <c r="AA361" i="1" a="1"/>
  <c r="AA417" i="1" a="1"/>
  <c r="AA496" i="1" a="1"/>
  <c r="AA269" i="1" a="1"/>
  <c r="AA265" i="1" a="1"/>
  <c r="AA471" i="1" a="1"/>
  <c r="AA481" i="1" a="1"/>
  <c r="AA409" i="1" a="1"/>
  <c r="AA182" i="1" a="1"/>
  <c r="AA473" i="1" a="1"/>
  <c r="AA401" i="1" a="1"/>
  <c r="AA192" i="1" a="1"/>
  <c r="AA282" i="1" a="1"/>
  <c r="AA76" i="1" a="1"/>
  <c r="AA257" i="1" a="1"/>
  <c r="AA268" i="1" a="1"/>
  <c r="AA246" i="1" a="1"/>
  <c r="AA301" i="1" a="1"/>
  <c r="AA234" i="1" a="1"/>
  <c r="AA132" i="1" a="1"/>
  <c r="AA233" i="1" a="1"/>
  <c r="AA180" i="1" a="1"/>
  <c r="AA220" i="1" a="1"/>
  <c r="AA131" i="1" a="1"/>
  <c r="AA117" i="1" a="1"/>
  <c r="AA100" i="1" a="1"/>
  <c r="AA107" i="1" a="1"/>
  <c r="AA20" i="1" a="1"/>
  <c r="AA85" i="1" a="1"/>
  <c r="AA62" i="1" a="1"/>
  <c r="AA45" i="1" a="1"/>
  <c r="AA599" i="1" a="1"/>
  <c r="AA189" i="1" a="1"/>
  <c r="AA47" i="1" a="1"/>
  <c r="AA564" i="1" a="1"/>
  <c r="AA562" i="1" a="1"/>
  <c r="AA494" i="1" a="1"/>
  <c r="AA388" i="1" a="1"/>
  <c r="AA237" i="1" a="1"/>
  <c r="AA354" i="1" a="1"/>
  <c r="AA579" i="1" a="1"/>
  <c r="AA357" i="1" a="1"/>
  <c r="AA420" i="1" a="1"/>
  <c r="AA393" i="1" a="1"/>
  <c r="AA457" i="1" a="1"/>
  <c r="AA521" i="1" a="1"/>
  <c r="AA397" i="1" a="1"/>
  <c r="AA262" i="1" a="1"/>
  <c r="AA164" i="1" a="1"/>
  <c r="AA188" i="1" a="1"/>
  <c r="AA210" i="1" a="1"/>
  <c r="AA129" i="1" a="1"/>
  <c r="AA146" i="1" a="1"/>
  <c r="AA102" i="1" a="1"/>
  <c r="AA61" i="1" a="1"/>
  <c r="AA550" i="1" a="1"/>
  <c r="AA548" i="1" a="1"/>
  <c r="AA260" i="1" a="1"/>
  <c r="AA373" i="1" a="1"/>
  <c r="AA120" i="1" a="1"/>
  <c r="AA179" i="1" a="1"/>
  <c r="AA141" i="1" a="1"/>
  <c r="AA98" i="1" a="1"/>
  <c r="AA40" i="1" a="1"/>
  <c r="AA458" i="1" a="1"/>
  <c r="AA347" i="1" a="1"/>
  <c r="AA366" i="1" a="1"/>
  <c r="AA328" i="1" a="1"/>
  <c r="AA372" i="1" a="1"/>
  <c r="AA320" i="1" a="1"/>
  <c r="AA198" i="1" a="1"/>
  <c r="AA119" i="1" a="1"/>
  <c r="AA92" i="1" a="1"/>
  <c r="AA392" i="1" a="1"/>
  <c r="AA546" i="1" a="1"/>
  <c r="AA200" i="1" a="1"/>
  <c r="AA517" i="1" a="1"/>
  <c r="AA558" i="1" a="1"/>
  <c r="AA325" i="1" a="1"/>
  <c r="AA528" i="1" a="1"/>
  <c r="AA266" i="1" a="1"/>
  <c r="AA414" i="1" a="1"/>
  <c r="AA382" i="1" a="1"/>
  <c r="AA381" i="1" a="1"/>
  <c r="AA352" i="1" a="1"/>
  <c r="AA358" i="1" a="1"/>
  <c r="AA333" i="1" a="1"/>
  <c r="AA296" i="1" a="1"/>
  <c r="AA253" i="1" a="1"/>
  <c r="AA190" i="1" a="1"/>
  <c r="AA82" i="1" a="1"/>
  <c r="AA53" i="1" a="1"/>
  <c r="AA37" i="1" a="1"/>
  <c r="AA286" i="1" a="1"/>
  <c r="AA380" i="1" a="1"/>
  <c r="AA332" i="1" a="1"/>
  <c r="AA218" i="1" a="1"/>
  <c r="AA124" i="1" a="1"/>
  <c r="AA77" i="1" a="1"/>
  <c r="AA71" i="1" a="1"/>
  <c r="AA545" i="1" a="1"/>
  <c r="AA453" i="1" a="1"/>
  <c r="AA502" i="1" a="1"/>
  <c r="AA205" i="1" a="1"/>
  <c r="AA308" i="1" a="1"/>
  <c r="AA505" i="1" a="1"/>
  <c r="AA235" i="1" a="1"/>
  <c r="AA115" i="1" a="1"/>
  <c r="AA152" i="1" a="1"/>
  <c r="AA36" i="1" a="1"/>
  <c r="AA531" i="1" a="1"/>
  <c r="AA339" i="1" a="1"/>
  <c r="AA580" i="1" a="1"/>
  <c r="AA523" i="1" a="1"/>
  <c r="AA159" i="1" a="1"/>
  <c r="AA421" i="1" a="1"/>
  <c r="AA413" i="1" a="1"/>
  <c r="AA191" i="1" a="1"/>
  <c r="AA156" i="1" a="1"/>
  <c r="AA196" i="1" a="1"/>
  <c r="AA144" i="1" a="1"/>
  <c r="AA74" i="1" a="1"/>
  <c r="AA27" i="1" a="1"/>
  <c r="AA462" i="1" a="1"/>
  <c r="AA384" i="1" a="1"/>
  <c r="AA303" i="1" a="1"/>
  <c r="AA345" i="1" a="1"/>
  <c r="AA317" i="1" a="1"/>
  <c r="AA593" i="1" a="1"/>
  <c r="AA351" i="1" a="1"/>
  <c r="AA574" i="1" a="1"/>
  <c r="AA544" i="1" a="1"/>
  <c r="AA518" i="1" a="1"/>
  <c r="AA572" i="1" a="1"/>
  <c r="AA364" i="1" a="1"/>
  <c r="AA585" i="1" a="1"/>
  <c r="AA498" i="1" a="1"/>
  <c r="AA193" i="1" a="1"/>
  <c r="AA577" i="1" a="1"/>
  <c r="AA492" i="1" a="1"/>
  <c r="AA349" i="1" a="1"/>
  <c r="AA371" i="1" a="1"/>
  <c r="AA470" i="1" a="1"/>
  <c r="AA183" i="1" a="1"/>
  <c r="AA261" i="1" a="1"/>
  <c r="AA466" i="1" a="1"/>
  <c r="AA475" i="1" a="1"/>
  <c r="AA377" i="1" a="1"/>
  <c r="AA177" i="1" a="1"/>
  <c r="AA467" i="1" a="1"/>
  <c r="AA400" i="1" a="1"/>
  <c r="AA406" i="1" a="1"/>
  <c r="AA281" i="1" a="1"/>
  <c r="AA277" i="1" a="1"/>
  <c r="AA225" i="1" a="1"/>
  <c r="AA252" i="1" a="1"/>
  <c r="AA236" i="1" a="1"/>
  <c r="AA295" i="1" a="1"/>
  <c r="AA228" i="1" a="1"/>
  <c r="AA105" i="1" a="1"/>
  <c r="AA227" i="1" a="1"/>
  <c r="AA175" i="1" a="1"/>
  <c r="AA214" i="1" a="1"/>
  <c r="AA49" i="1" a="1"/>
  <c r="AA48" i="1" a="1"/>
  <c r="AA96" i="1" a="1"/>
  <c r="AA133" i="1" a="1"/>
  <c r="AA79" i="1" a="1"/>
  <c r="AA80" i="1" a="1"/>
  <c r="AA28" i="1" a="1"/>
  <c r="AA56" i="1" a="1"/>
  <c r="AA34" i="1" a="1"/>
  <c r="AA9" i="1" a="1"/>
  <c r="AA224" i="1" a="1"/>
  <c r="AA592" i="1" a="1"/>
  <c r="AA81" i="1" a="1"/>
  <c r="AA488" i="1" a="1"/>
  <c r="AA424" i="1" a="1"/>
  <c r="AA337" i="1" a="1"/>
  <c r="AA474" i="1" a="1"/>
  <c r="AA565" i="1" a="1"/>
  <c r="AA276" i="1" a="1"/>
  <c r="AA460" i="1" a="1"/>
  <c r="AA69" i="1" a="1"/>
  <c r="AA463" i="1" a="1"/>
  <c r="AA527" i="1" a="1"/>
  <c r="AA398" i="1" a="1"/>
  <c r="AA245" i="1" a="1"/>
  <c r="AA206" i="1" a="1"/>
  <c r="AA216" i="1" a="1"/>
  <c r="AA215" i="1" a="1"/>
  <c r="AA202" i="1" a="1"/>
  <c r="AA160" i="1" a="1"/>
  <c r="AA121" i="1" a="1"/>
  <c r="AA58" i="1" a="1"/>
  <c r="AA207" i="1" a="1"/>
  <c r="AA459" i="1" a="1"/>
  <c r="AA449" i="1" a="1"/>
  <c r="AA279" i="1" a="1"/>
  <c r="AA149" i="1" a="1"/>
  <c r="AA43" i="1" a="1"/>
  <c r="AA275" i="1" a="1"/>
  <c r="AA468" i="1" a="1"/>
  <c r="AA456" i="1" a="1"/>
  <c r="AA582" i="1" a="1"/>
  <c r="AA211" i="1" a="1"/>
  <c r="AA596" i="1" a="1"/>
  <c r="AA567" i="1" a="1"/>
  <c r="AA454" i="1" a="1"/>
  <c r="AA412" i="1" a="1"/>
  <c r="AA391" i="1" a="1"/>
  <c r="AA451" i="1" a="1"/>
  <c r="AA443" i="1" a="1"/>
  <c r="AA402" i="1" a="1"/>
  <c r="AA356" i="1" a="1"/>
  <c r="AA158" i="1" a="1"/>
  <c r="AA274" i="1" a="1"/>
  <c r="AA203" i="1" a="1"/>
  <c r="AA113" i="1" a="1"/>
  <c r="AA24" i="1" a="1"/>
  <c r="AA60" i="1" a="1"/>
  <c r="AA598" i="1" a="1"/>
  <c r="AA335" i="1" a="1"/>
  <c r="AA542" i="1" a="1"/>
  <c r="AA547" i="1" a="1"/>
  <c r="AA387" i="1" a="1"/>
  <c r="AA360" i="1" a="1"/>
  <c r="AA359" i="1" a="1"/>
  <c r="AA302" i="1" a="1"/>
  <c r="AA258" i="1" a="1"/>
  <c r="AA101" i="1" a="1"/>
  <c r="AA95" i="1" a="1"/>
  <c r="AA55" i="1" a="1"/>
  <c r="AA526" i="1" a="1"/>
  <c r="AA230" i="1" a="1"/>
  <c r="AA431" i="1" a="1"/>
  <c r="AA140" i="1" a="1"/>
  <c r="AA168" i="1" a="1"/>
  <c r="AA86" i="1" a="1"/>
  <c r="AA489" i="1" a="1"/>
  <c r="AA524" i="1" a="1"/>
  <c r="AA321" i="1" a="1"/>
  <c r="AA287" i="1" a="1"/>
  <c r="AA535" i="1" a="1"/>
  <c r="AA540" i="1" a="1"/>
  <c r="AA538" i="1" a="1"/>
  <c r="AA379" i="1" a="1"/>
  <c r="AA506" i="1" a="1"/>
  <c r="AA433" i="1" a="1"/>
  <c r="AA425" i="1" a="1"/>
  <c r="AA247" i="1" a="1"/>
  <c r="AA138" i="1" a="1"/>
  <c r="AA169" i="1" a="1"/>
  <c r="AA162" i="1" a="1"/>
  <c r="AA128" i="1" a="1"/>
  <c r="AA44" i="1" a="1"/>
  <c r="AA587" i="1" a="1"/>
  <c r="AA514" i="1" a="1"/>
  <c r="AA534" i="1" a="1"/>
  <c r="AA539" i="1" a="1"/>
  <c r="AA480" i="1" a="1"/>
  <c r="AA340" i="1" a="1"/>
  <c r="AA427" i="1" a="1"/>
  <c r="AA329" i="1" a="1"/>
  <c r="AA419" i="1" a="1"/>
  <c r="AA310" i="1" a="1"/>
  <c r="AA283" i="1" a="1"/>
  <c r="AA32" i="1" a="1"/>
  <c r="AA163" i="1" a="1"/>
  <c r="AA125" i="1" a="1"/>
  <c r="AA157" i="1" a="1"/>
  <c r="AA94" i="1" a="1"/>
  <c r="AA33" i="1" a="1"/>
  <c r="AA201" i="1" a="1"/>
  <c r="AA448" i="1" a="1"/>
  <c r="AA434" i="1" a="1"/>
  <c r="AA365" i="1" a="1"/>
  <c r="AA504" i="1" a="1"/>
  <c r="AA300" i="1" a="1"/>
  <c r="AA108" i="1" a="1"/>
  <c r="AA148" i="1" a="1"/>
  <c r="AA23" i="1" a="1"/>
  <c r="AA429" i="1" a="1"/>
  <c r="AA309" i="1" a="1"/>
  <c r="AA297" i="1" a="1"/>
  <c r="AA181" i="1" a="1"/>
  <c r="AA271" i="1" a="1"/>
  <c r="AA557" i="1" a="1"/>
  <c r="AA322" i="1" a="1"/>
  <c r="AA594" i="1" a="1"/>
  <c r="AA532" i="1" a="1"/>
  <c r="AA438" i="1" a="1"/>
  <c r="AA566" i="1" a="1"/>
  <c r="AA362" i="1" a="1"/>
  <c r="AA561" i="1" a="1"/>
  <c r="AA484" i="1" a="1"/>
  <c r="AA512" i="1" a="1"/>
  <c r="AA571" i="1" a="1"/>
  <c r="AA478" i="1" a="1"/>
  <c r="AA338" i="1" a="1"/>
  <c r="AA369" i="1" a="1"/>
  <c r="AA465" i="1" a="1"/>
  <c r="AA450" i="1" a="1"/>
  <c r="AA176" i="1" a="1"/>
  <c r="AA423" i="1" a="1"/>
  <c r="AA469" i="1" a="1"/>
  <c r="AA376" i="1" a="1"/>
  <c r="AA533" i="1" a="1"/>
  <c r="AA461" i="1" a="1"/>
  <c r="AA399" i="1" a="1"/>
  <c r="AA405" i="1" a="1"/>
  <c r="AA280" i="1" a="1"/>
  <c r="AA272" i="1" a="1"/>
  <c r="AA199" i="1" a="1"/>
  <c r="AA229" i="1" a="1"/>
  <c r="AA213" i="1" a="1"/>
  <c r="AA289" i="1" a="1"/>
  <c r="AA222" i="1" a="1"/>
  <c r="AA97" i="1" a="1"/>
  <c r="AA221" i="1" a="1"/>
  <c r="AA170" i="1" a="1"/>
  <c r="AA208" i="1" a="1"/>
  <c r="AA167" i="1" a="1"/>
  <c r="AA166" i="1" a="1"/>
  <c r="AA106" i="1" a="1"/>
  <c r="AA127" i="1" a="1"/>
  <c r="AA64" i="1" a="1"/>
  <c r="AA59" i="1" a="1"/>
  <c r="AA73" i="1" a="1"/>
  <c r="AA51" i="1" a="1"/>
  <c r="AA29" i="1" a="1"/>
  <c r="AA575" i="1" a="1"/>
  <c r="AA255" i="1" a="1"/>
  <c r="AA408" i="1" a="1"/>
  <c r="AA560" i="1" a="1"/>
  <c r="AA543" i="1" a="1"/>
  <c r="AA312" i="1" a="1"/>
  <c r="AA464" i="1" a="1"/>
  <c r="AA367" i="1" a="1"/>
  <c r="AA428" i="1" a="1"/>
  <c r="AA395" i="1" a="1"/>
  <c r="AA375" i="1" a="1"/>
  <c r="AA455" i="1" a="1"/>
  <c r="AA404" i="1" a="1"/>
  <c r="AA267" i="1" a="1"/>
  <c r="AA284" i="1" a="1"/>
  <c r="AA70" i="1" a="1"/>
  <c r="AA150" i="1" a="1"/>
  <c r="AA161" i="1" a="1"/>
  <c r="AA78" i="1" a="1"/>
  <c r="AA42" i="1" a="1"/>
  <c r="AA19" i="1" a="1"/>
  <c r="AA447" i="1" a="1"/>
  <c r="AA264" i="1" a="1"/>
  <c r="AA403" i="1" a="1"/>
  <c r="AA209" i="1" a="1"/>
  <c r="AA99" i="1" a="1"/>
  <c r="AA442" i="1" a="1"/>
  <c r="AA483" i="1" a="1"/>
  <c r="AA426" i="1" a="1"/>
  <c r="AA293" i="1" a="1"/>
  <c r="AA553" i="1" a="1"/>
  <c r="AA353" i="1" a="1"/>
  <c r="AA25" i="1" a="1"/>
  <c r="AA396" i="1" a="1"/>
  <c r="AA187" i="1" a="1"/>
  <c r="AA110" i="1" a="1"/>
  <c r="AA90" i="1" a="1"/>
  <c r="AA394" i="1" a="1"/>
  <c r="AA386" i="1" a="1"/>
  <c r="AA570" i="1" a="1"/>
  <c r="AA270" i="1" a="1"/>
  <c r="AA549" i="1" a="1"/>
  <c r="AA422" i="1" a="1"/>
  <c r="AA383" i="1" a="1"/>
  <c r="AA508" i="1" a="1"/>
  <c r="AA445" i="1" a="1"/>
  <c r="AA437" i="1" a="1"/>
  <c r="AA342" i="1" a="1"/>
  <c r="AA242" i="1" a="1"/>
  <c r="AA186" i="1" a="1"/>
  <c r="AA174" i="1" a="1"/>
  <c r="AA52" i="1" a="1"/>
  <c r="AA130" i="1" a="1"/>
  <c r="AA87" i="1" a="1"/>
  <c r="AA39" i="1" a="1"/>
  <c r="AA576" i="1" a="1"/>
  <c r="AA355" i="1" a="1"/>
  <c r="AA385" i="1" a="1"/>
  <c r="AA503" i="1" a="1"/>
  <c r="AA219" i="1" a="1"/>
  <c r="AA147" i="1" a="1"/>
  <c r="AA118" i="1" a="1"/>
  <c r="AA50" i="1" a="1"/>
  <c r="AA350" i="1" a="1"/>
  <c r="AA530" i="1" a="1"/>
  <c r="AA452" i="1" a="1"/>
  <c r="AA482" i="1" a="1"/>
  <c r="AA490" i="1" a="1"/>
  <c r="AA254" i="1" a="1"/>
  <c r="AA304" i="1" a="1"/>
  <c r="AA231" i="1" a="1"/>
  <c r="AA323" i="1" a="1"/>
  <c r="AA497" i="1" a="1"/>
  <c r="AA313" i="1" a="1"/>
  <c r="AA290" i="1" a="1"/>
  <c r="AA241" i="1" a="1"/>
  <c r="AA244" i="1" a="1"/>
  <c r="AA38" i="1" a="1"/>
  <c r="AA288" i="1" a="1"/>
  <c r="AA435" i="1" a="1"/>
  <c r="AA348" i="1" a="1"/>
  <c r="AA327" i="1" a="1"/>
  <c r="AA114" i="1" a="1"/>
  <c r="AA151" i="1" a="1"/>
  <c r="AA511" i="1" a="1"/>
  <c r="AA440" i="1" a="1"/>
  <c r="AA591" i="1" a="1"/>
  <c r="AA341" i="1" a="1"/>
  <c r="AA305" i="1" a="1"/>
  <c r="AA595" i="1" a="1"/>
  <c r="AA444" i="1" a="1"/>
  <c r="AA319" i="1" a="1"/>
  <c r="AA493" i="1" a="1"/>
  <c r="AA240" i="1" a="1"/>
  <c r="AA306" i="1" a="1"/>
  <c r="AA278" i="1" a="1"/>
  <c r="AA145" i="1" a="1"/>
  <c r="AA232" i="1" a="1"/>
  <c r="AA116" i="1" a="1"/>
  <c r="AA72" i="1" a="1"/>
  <c r="J7" i="2" l="1"/>
  <c r="Z17" i="1"/>
  <c r="Z18" i="1"/>
  <c r="Z16" i="1"/>
  <c r="Z14" i="1"/>
  <c r="Z15" i="1"/>
  <c r="Z13" i="1"/>
  <c r="Z12" i="1"/>
  <c r="Z11" i="1"/>
  <c r="AA72" i="1"/>
  <c r="AA116" i="1"/>
  <c r="AA232" i="1"/>
  <c r="AA145" i="1"/>
  <c r="AA278" i="1"/>
  <c r="AA306" i="1"/>
  <c r="AA240" i="1"/>
  <c r="AA493" i="1"/>
  <c r="AA319" i="1"/>
  <c r="AA444" i="1"/>
  <c r="AA595" i="1"/>
  <c r="AA305" i="1"/>
  <c r="AA341" i="1"/>
  <c r="AA591" i="1"/>
  <c r="AA440" i="1"/>
  <c r="AA511" i="1"/>
  <c r="AA151" i="1"/>
  <c r="AA114" i="1"/>
  <c r="AA327" i="1"/>
  <c r="AA348" i="1"/>
  <c r="AA435" i="1"/>
  <c r="AA288" i="1"/>
  <c r="AA38" i="1"/>
  <c r="AA244" i="1"/>
  <c r="AA241" i="1"/>
  <c r="AA290" i="1"/>
  <c r="AA313" i="1"/>
  <c r="AA497" i="1"/>
  <c r="AA323" i="1"/>
  <c r="AA231" i="1"/>
  <c r="AA304" i="1"/>
  <c r="AA254" i="1"/>
  <c r="AA490" i="1"/>
  <c r="AA482" i="1"/>
  <c r="AA452" i="1"/>
  <c r="AA530" i="1"/>
  <c r="AA350" i="1"/>
  <c r="AA50" i="1"/>
  <c r="AA118" i="1"/>
  <c r="AA147" i="1"/>
  <c r="AA219" i="1"/>
  <c r="AA503" i="1"/>
  <c r="AA385" i="1"/>
  <c r="AA355" i="1"/>
  <c r="AA576" i="1"/>
  <c r="AA39" i="1"/>
  <c r="AA87" i="1"/>
  <c r="AA130" i="1"/>
  <c r="AA52" i="1"/>
  <c r="AA174" i="1"/>
  <c r="AA186" i="1"/>
  <c r="AA242" i="1"/>
  <c r="AA342" i="1"/>
  <c r="AA437" i="1"/>
  <c r="AA445" i="1"/>
  <c r="AA508" i="1"/>
  <c r="AA383" i="1"/>
  <c r="AA422" i="1"/>
  <c r="AA549" i="1"/>
  <c r="AA270" i="1"/>
  <c r="AA570" i="1"/>
  <c r="AA386" i="1"/>
  <c r="AA394" i="1"/>
  <c r="AA90" i="1"/>
  <c r="AA110" i="1"/>
  <c r="AA187" i="1"/>
  <c r="AA396" i="1"/>
  <c r="AA25" i="1"/>
  <c r="AA353" i="1"/>
  <c r="AA553" i="1"/>
  <c r="AA293" i="1"/>
  <c r="AA426" i="1"/>
  <c r="AA483" i="1"/>
  <c r="AA442" i="1"/>
  <c r="AA99" i="1"/>
  <c r="AA209" i="1"/>
  <c r="AA403" i="1"/>
  <c r="AA264" i="1"/>
  <c r="AA447" i="1"/>
  <c r="AA19" i="1"/>
  <c r="AA42" i="1"/>
  <c r="AA78" i="1"/>
  <c r="AA161" i="1"/>
  <c r="AA150" i="1"/>
  <c r="AA70" i="1"/>
  <c r="AA284" i="1"/>
  <c r="AA267" i="1"/>
  <c r="AA404" i="1"/>
  <c r="AA455" i="1"/>
  <c r="AA375" i="1"/>
  <c r="AA395" i="1"/>
  <c r="AA428" i="1"/>
  <c r="AA367" i="1"/>
  <c r="AA464" i="1"/>
  <c r="AA312" i="1"/>
  <c r="AA543" i="1"/>
  <c r="AA560" i="1"/>
  <c r="AA408" i="1"/>
  <c r="AA255" i="1"/>
  <c r="AA575" i="1"/>
  <c r="AA29" i="1"/>
  <c r="AA51" i="1"/>
  <c r="AA73" i="1"/>
  <c r="AA59" i="1"/>
  <c r="AA64" i="1"/>
  <c r="AA127" i="1"/>
  <c r="AA106" i="1"/>
  <c r="AA166" i="1"/>
  <c r="AA167" i="1"/>
  <c r="AA208" i="1"/>
  <c r="AA170" i="1"/>
  <c r="AA221" i="1"/>
  <c r="AA97" i="1"/>
  <c r="AA222" i="1"/>
  <c r="AA289" i="1"/>
  <c r="AA213" i="1"/>
  <c r="AA229" i="1"/>
  <c r="AA199" i="1"/>
  <c r="AA272" i="1"/>
  <c r="AA280" i="1"/>
  <c r="AA405" i="1"/>
  <c r="AA399" i="1"/>
  <c r="AA461" i="1"/>
  <c r="AA533" i="1"/>
  <c r="AA376" i="1"/>
  <c r="AA469" i="1"/>
  <c r="AA423" i="1"/>
  <c r="AA176" i="1"/>
  <c r="AA450" i="1"/>
  <c r="AA465" i="1"/>
  <c r="AA369" i="1"/>
  <c r="AA338" i="1"/>
  <c r="AA478" i="1"/>
  <c r="AA571" i="1"/>
  <c r="AA512" i="1"/>
  <c r="AA484" i="1"/>
  <c r="AA561" i="1"/>
  <c r="AA362" i="1"/>
  <c r="AA566" i="1"/>
  <c r="AA438" i="1"/>
  <c r="AA532" i="1"/>
  <c r="AA594" i="1"/>
  <c r="AA322" i="1"/>
  <c r="AA557" i="1"/>
  <c r="AA271" i="1"/>
  <c r="AA181" i="1"/>
  <c r="AA297" i="1"/>
  <c r="AA309" i="1"/>
  <c r="AA429" i="1"/>
  <c r="AA23" i="1"/>
  <c r="AA148" i="1"/>
  <c r="AA108" i="1"/>
  <c r="AA300" i="1"/>
  <c r="AA504" i="1"/>
  <c r="AA365" i="1"/>
  <c r="AA434" i="1"/>
  <c r="AA448" i="1"/>
  <c r="AA201" i="1"/>
  <c r="AA33" i="1"/>
  <c r="AA94" i="1"/>
  <c r="AA157" i="1"/>
  <c r="AA125" i="1"/>
  <c r="AA163" i="1"/>
  <c r="AA32" i="1"/>
  <c r="AA283" i="1"/>
  <c r="AA310" i="1"/>
  <c r="AA419" i="1"/>
  <c r="AA329" i="1"/>
  <c r="AA427" i="1"/>
  <c r="AA340" i="1"/>
  <c r="AA480" i="1"/>
  <c r="AA539" i="1"/>
  <c r="AA534" i="1"/>
  <c r="AA514" i="1"/>
  <c r="AA587" i="1"/>
  <c r="AA44" i="1"/>
  <c r="AA128" i="1"/>
  <c r="AA162" i="1"/>
  <c r="AA169" i="1"/>
  <c r="AA138" i="1"/>
  <c r="AA247" i="1"/>
  <c r="AA425" i="1"/>
  <c r="AA433" i="1"/>
  <c r="AA506" i="1"/>
  <c r="AA379" i="1"/>
  <c r="AA538" i="1"/>
  <c r="AA540" i="1"/>
  <c r="AA535" i="1"/>
  <c r="AA287" i="1"/>
  <c r="AA321" i="1"/>
  <c r="AA524" i="1"/>
  <c r="AA489" i="1"/>
  <c r="AA86" i="1"/>
  <c r="AA168" i="1"/>
  <c r="AA140" i="1"/>
  <c r="AA431" i="1"/>
  <c r="AA230" i="1"/>
  <c r="AA526" i="1"/>
  <c r="AA55" i="1"/>
  <c r="AA95" i="1"/>
  <c r="AA101" i="1"/>
  <c r="AA258" i="1"/>
  <c r="AA302" i="1"/>
  <c r="AA359" i="1"/>
  <c r="AA360" i="1"/>
  <c r="AA387" i="1"/>
  <c r="AA547" i="1"/>
  <c r="AA542" i="1"/>
  <c r="AA335" i="1"/>
  <c r="AA598" i="1"/>
  <c r="AA60" i="1"/>
  <c r="AA24" i="1"/>
  <c r="AA113" i="1"/>
  <c r="AA203" i="1"/>
  <c r="AA274" i="1"/>
  <c r="AA158" i="1"/>
  <c r="AA356" i="1"/>
  <c r="AA402" i="1"/>
  <c r="AA443" i="1"/>
  <c r="AA451" i="1"/>
  <c r="AA391" i="1"/>
  <c r="AA412" i="1"/>
  <c r="AA454" i="1"/>
  <c r="AA567" i="1"/>
  <c r="AA596" i="1"/>
  <c r="AA211" i="1"/>
  <c r="AA582" i="1"/>
  <c r="AA456" i="1"/>
  <c r="AA468" i="1"/>
  <c r="AA275" i="1"/>
  <c r="AA43" i="1"/>
  <c r="AA149" i="1"/>
  <c r="AA279" i="1"/>
  <c r="AA449" i="1"/>
  <c r="AA459" i="1"/>
  <c r="AA207" i="1"/>
  <c r="AA58" i="1"/>
  <c r="AA121" i="1"/>
  <c r="AA160" i="1"/>
  <c r="AA202" i="1"/>
  <c r="AA215" i="1"/>
  <c r="AA216" i="1"/>
  <c r="AA206" i="1"/>
  <c r="AA245" i="1"/>
  <c r="AA398" i="1"/>
  <c r="AA527" i="1"/>
  <c r="AA463" i="1"/>
  <c r="AA69" i="1"/>
  <c r="AA460" i="1"/>
  <c r="AA276" i="1"/>
  <c r="AA565" i="1"/>
  <c r="AA474" i="1"/>
  <c r="AA337" i="1"/>
  <c r="AA424" i="1"/>
  <c r="AA488" i="1"/>
  <c r="AA81" i="1"/>
  <c r="AA592" i="1"/>
  <c r="AA224" i="1"/>
  <c r="AA9" i="1"/>
  <c r="AA34" i="1"/>
  <c r="AA56" i="1"/>
  <c r="AA28" i="1"/>
  <c r="AA80" i="1"/>
  <c r="AA79" i="1"/>
  <c r="AA133" i="1"/>
  <c r="AA96" i="1"/>
  <c r="AA48" i="1"/>
  <c r="AA49" i="1"/>
  <c r="AA214" i="1"/>
  <c r="AA175" i="1"/>
  <c r="AA227" i="1"/>
  <c r="AA105" i="1"/>
  <c r="AA228" i="1"/>
  <c r="AA295" i="1"/>
  <c r="AA236" i="1"/>
  <c r="AA252" i="1"/>
  <c r="AA225" i="1"/>
  <c r="AA277" i="1"/>
  <c r="AA281" i="1"/>
  <c r="AA406" i="1"/>
  <c r="AA400" i="1"/>
  <c r="AA467" i="1"/>
  <c r="AA177" i="1"/>
  <c r="AA377" i="1"/>
  <c r="AA475" i="1"/>
  <c r="AA466" i="1"/>
  <c r="AA261" i="1"/>
  <c r="AA183" i="1"/>
  <c r="AA470" i="1"/>
  <c r="AA371" i="1"/>
  <c r="AA349" i="1"/>
  <c r="AA492" i="1"/>
  <c r="AA577" i="1"/>
  <c r="AA193" i="1"/>
  <c r="AA498" i="1"/>
  <c r="AA585" i="1"/>
  <c r="AA364" i="1"/>
  <c r="AA572" i="1"/>
  <c r="AA518" i="1"/>
  <c r="AA544" i="1"/>
  <c r="AA574" i="1"/>
  <c r="AA351" i="1"/>
  <c r="AA593" i="1"/>
  <c r="AA317" i="1"/>
  <c r="AA345" i="1"/>
  <c r="AA303" i="1"/>
  <c r="AA384" i="1"/>
  <c r="AA462" i="1"/>
  <c r="AA27" i="1"/>
  <c r="AA74" i="1"/>
  <c r="AA144" i="1"/>
  <c r="AA196" i="1"/>
  <c r="AA156" i="1"/>
  <c r="AA191" i="1"/>
  <c r="AA413" i="1"/>
  <c r="AA421" i="1"/>
  <c r="AA159" i="1"/>
  <c r="AA523" i="1"/>
  <c r="AA580" i="1"/>
  <c r="AA339" i="1"/>
  <c r="AA531" i="1"/>
  <c r="AA36" i="1"/>
  <c r="AA152" i="1"/>
  <c r="AA115" i="1"/>
  <c r="AA235" i="1"/>
  <c r="AA505" i="1"/>
  <c r="AA308" i="1"/>
  <c r="AA205" i="1"/>
  <c r="AA502" i="1"/>
  <c r="AA453" i="1"/>
  <c r="AA545" i="1"/>
  <c r="AA71" i="1"/>
  <c r="AA77" i="1"/>
  <c r="AA124" i="1"/>
  <c r="AA218" i="1"/>
  <c r="AA332" i="1"/>
  <c r="AA380" i="1"/>
  <c r="AA286" i="1"/>
  <c r="AA37" i="1"/>
  <c r="AA53" i="1"/>
  <c r="AA82" i="1"/>
  <c r="AA190" i="1"/>
  <c r="AA253" i="1"/>
  <c r="AA296" i="1"/>
  <c r="AA333" i="1"/>
  <c r="AA358" i="1"/>
  <c r="AA352" i="1"/>
  <c r="AA381" i="1"/>
  <c r="AA382" i="1"/>
  <c r="AA414" i="1"/>
  <c r="AA266" i="1"/>
  <c r="AA528" i="1"/>
  <c r="AA325" i="1"/>
  <c r="AA558" i="1"/>
  <c r="AA517" i="1"/>
  <c r="AA200" i="1"/>
  <c r="AA546" i="1"/>
  <c r="AA392" i="1"/>
  <c r="AA92" i="1"/>
  <c r="AA119" i="1"/>
  <c r="AA198" i="1"/>
  <c r="AA320" i="1"/>
  <c r="AA372" i="1"/>
  <c r="AA328" i="1"/>
  <c r="AA366" i="1"/>
  <c r="AA347" i="1"/>
  <c r="AA458" i="1"/>
  <c r="AA40" i="1"/>
  <c r="AA98" i="1"/>
  <c r="AA141" i="1"/>
  <c r="AA179" i="1"/>
  <c r="AA120" i="1"/>
  <c r="AA373" i="1"/>
  <c r="AA260" i="1"/>
  <c r="AA548" i="1"/>
  <c r="AA550" i="1"/>
  <c r="AA61" i="1"/>
  <c r="AA102" i="1"/>
  <c r="AA146" i="1"/>
  <c r="AA129" i="1"/>
  <c r="AA210" i="1"/>
  <c r="AA188" i="1"/>
  <c r="AA164" i="1"/>
  <c r="AA262" i="1"/>
  <c r="AA397" i="1"/>
  <c r="AA521" i="1"/>
  <c r="AA457" i="1"/>
  <c r="AA393" i="1"/>
  <c r="AA420" i="1"/>
  <c r="AA357" i="1"/>
  <c r="AA579" i="1"/>
  <c r="AA354" i="1"/>
  <c r="AA237" i="1"/>
  <c r="AA388" i="1"/>
  <c r="AA494" i="1"/>
  <c r="AA562" i="1"/>
  <c r="AA564" i="1"/>
  <c r="AA47" i="1"/>
  <c r="AA189" i="1"/>
  <c r="AA599" i="1"/>
  <c r="AA45" i="1"/>
  <c r="AA62" i="1"/>
  <c r="AA85" i="1"/>
  <c r="AA20" i="1"/>
  <c r="AA107" i="1"/>
  <c r="AA100" i="1"/>
  <c r="AA117" i="1"/>
  <c r="AA131" i="1"/>
  <c r="AA220" i="1"/>
  <c r="AA180" i="1"/>
  <c r="AA233" i="1"/>
  <c r="AA132" i="1"/>
  <c r="AA234" i="1"/>
  <c r="AA301" i="1"/>
  <c r="AA246" i="1"/>
  <c r="AA268" i="1"/>
  <c r="AA257" i="1"/>
  <c r="AA76" i="1"/>
  <c r="AA282" i="1"/>
  <c r="AA192" i="1"/>
  <c r="AA401" i="1"/>
  <c r="AA473" i="1"/>
  <c r="AA182" i="1"/>
  <c r="AA409" i="1"/>
  <c r="AA481" i="1"/>
  <c r="AA471" i="1"/>
  <c r="AA265" i="1"/>
  <c r="AA269" i="1"/>
  <c r="AA496" i="1"/>
  <c r="AA417" i="1"/>
  <c r="AA361" i="1"/>
  <c r="AA516" i="1"/>
  <c r="AA583" i="1"/>
  <c r="AA285" i="1"/>
  <c r="AA510" i="1"/>
  <c r="AA292" i="1"/>
  <c r="AA410" i="1"/>
  <c r="AA578" i="1"/>
  <c r="AA555" i="1"/>
  <c r="AA556" i="1"/>
  <c r="AA346" i="1"/>
  <c r="AA477" i="1"/>
  <c r="AA155" i="1"/>
  <c r="AA334" i="1"/>
  <c r="AA500" i="1"/>
  <c r="AA316" i="1"/>
  <c r="AA432" i="1"/>
  <c r="AA472" i="1"/>
  <c r="AA30" i="1"/>
  <c r="AA88" i="1"/>
  <c r="AA154" i="1"/>
  <c r="AA103" i="1"/>
  <c r="AA263" i="1"/>
  <c r="AA153" i="1"/>
  <c r="AA485" i="1"/>
  <c r="AA331" i="1"/>
  <c r="AA529" i="1"/>
  <c r="AA590" i="1"/>
  <c r="AA586" i="1"/>
  <c r="AA10" i="1"/>
  <c r="AA57" i="1"/>
  <c r="AA122" i="1"/>
  <c r="AA238" i="1"/>
  <c r="AA217" i="1"/>
  <c r="AA194" i="1"/>
  <c r="AA491" i="1"/>
  <c r="AA499" i="1"/>
  <c r="AA212" i="1"/>
  <c r="AA378" i="1"/>
  <c r="AA522" i="1"/>
  <c r="AA89" i="1"/>
  <c r="AA597" i="1"/>
  <c r="AA418" i="1"/>
  <c r="AA259" i="1"/>
  <c r="AA35" i="1"/>
  <c r="AA46" i="1"/>
  <c r="AA136" i="1"/>
  <c r="AA83" i="1"/>
  <c r="AA330" i="1"/>
  <c r="AA344" i="1"/>
  <c r="AA326" i="1"/>
  <c r="AA569" i="1"/>
  <c r="AA22" i="1"/>
  <c r="AA75" i="1"/>
  <c r="AA134" i="1"/>
  <c r="AA250" i="1"/>
  <c r="AA184" i="1"/>
  <c r="AA109" i="1"/>
  <c r="AA248" i="1"/>
  <c r="AA336" i="1"/>
  <c r="AA439" i="1"/>
  <c r="AA507" i="1"/>
  <c r="AA324" i="1"/>
  <c r="AA541" i="1"/>
  <c r="AA536" i="1"/>
  <c r="AA318" i="1"/>
  <c r="AA581" i="1"/>
  <c r="AA65" i="1"/>
  <c r="AA197" i="1"/>
  <c r="AA142" i="1"/>
  <c r="AA509" i="1"/>
  <c r="AA256" i="1"/>
  <c r="AA537" i="1"/>
  <c r="AA343" i="1"/>
  <c r="AA563" i="1"/>
  <c r="AA178" i="1"/>
  <c r="AA41" i="1"/>
  <c r="AA93" i="1"/>
  <c r="AA123" i="1"/>
  <c r="AA204" i="1"/>
  <c r="AA243" i="1"/>
  <c r="AA515" i="1"/>
  <c r="AA389" i="1"/>
  <c r="AA368" i="1"/>
  <c r="AA63" i="1"/>
  <c r="AA104" i="1"/>
  <c r="AA31" i="1"/>
  <c r="AA165" i="1"/>
  <c r="AA195" i="1"/>
  <c r="AA173" i="1"/>
  <c r="AA112" i="1"/>
  <c r="AA374" i="1"/>
  <c r="AA54" i="1"/>
  <c r="AA436" i="1"/>
  <c r="AA559" i="1"/>
  <c r="AA370" i="1"/>
  <c r="AA314" i="1"/>
  <c r="AA554" i="1"/>
  <c r="AA446" i="1"/>
  <c r="AA525" i="1"/>
  <c r="AA495" i="1"/>
  <c r="AA67" i="1"/>
  <c r="AA172" i="1"/>
  <c r="AA588" i="1"/>
  <c r="AA21" i="1"/>
  <c r="AA26" i="1"/>
  <c r="AA66" i="1"/>
  <c r="AA68" i="1"/>
  <c r="AA84" i="1"/>
  <c r="AA111" i="1"/>
  <c r="AA137" i="1"/>
  <c r="AA126" i="1"/>
  <c r="AA135" i="1"/>
  <c r="AA226" i="1"/>
  <c r="AA185" i="1"/>
  <c r="AA239" i="1"/>
  <c r="AA143" i="1"/>
  <c r="AA91" i="1"/>
  <c r="AA307" i="1"/>
  <c r="AA249" i="1"/>
  <c r="AA273" i="1"/>
  <c r="AA171" i="1"/>
  <c r="AA139" i="1"/>
  <c r="AA291" i="1"/>
  <c r="AA294" i="1"/>
  <c r="AA407" i="1"/>
  <c r="AA479" i="1"/>
  <c r="AA223" i="1"/>
  <c r="AA415" i="1"/>
  <c r="AA487" i="1"/>
  <c r="AA476" i="1"/>
  <c r="AA315" i="1"/>
  <c r="AA311" i="1"/>
  <c r="AA501" i="1"/>
  <c r="AA441" i="1"/>
  <c r="AA363" i="1"/>
  <c r="AA519" i="1"/>
  <c r="AA589" i="1"/>
  <c r="AA299" i="1"/>
  <c r="AA513" i="1"/>
  <c r="AA298" i="1"/>
  <c r="AA411" i="1"/>
  <c r="AA584" i="1"/>
  <c r="AA573" i="1"/>
  <c r="AA568" i="1"/>
  <c r="AA416" i="1"/>
  <c r="AA486" i="1"/>
  <c r="AA390" i="1"/>
  <c r="AA551" i="1"/>
  <c r="AA520" i="1"/>
  <c r="AA430" i="1"/>
  <c r="AA251" i="1"/>
  <c r="AA552" i="1"/>
  <c r="I6" i="2"/>
  <c r="E2" i="1" s="1"/>
  <c r="H5" i="2"/>
  <c r="H145" i="2"/>
  <c r="H186" i="2"/>
  <c r="H291" i="2"/>
  <c r="H290" i="2" s="1"/>
  <c r="H115" i="2"/>
  <c r="H95" i="2" s="1"/>
  <c r="H214" i="2"/>
  <c r="H185" i="2" s="1"/>
  <c r="H458" i="2"/>
  <c r="H364" i="2"/>
  <c r="H429" i="2"/>
  <c r="H397" i="2"/>
  <c r="H363" i="2" s="1"/>
  <c r="B431" i="1"/>
  <c r="B437" i="1" s="1"/>
  <c r="B343" i="1"/>
  <c r="B347" i="1" s="1"/>
  <c r="B351" i="1" s="1"/>
  <c r="B355" i="1" s="1"/>
  <c r="B359" i="1" s="1"/>
  <c r="B364" i="1" s="1"/>
  <c r="B368" i="1" s="1"/>
  <c r="B371" i="1" s="1"/>
  <c r="B375" i="1" s="1"/>
  <c r="B378" i="1" s="1"/>
  <c r="B383" i="1" s="1"/>
  <c r="Z5" i="1"/>
  <c r="AA5" i="1" s="1"/>
  <c r="AB5" i="1" s="1"/>
  <c r="AC5" i="1" s="1"/>
  <c r="AD5" i="1" s="1"/>
  <c r="AE5" i="1" s="1"/>
  <c r="AF5" i="1" s="1"/>
  <c r="AG5" i="1" s="1"/>
  <c r="AH5" i="1" s="1"/>
  <c r="AI5" i="1" s="1"/>
  <c r="AJ5" i="1" s="1"/>
  <c r="AK5" i="1" s="1"/>
  <c r="AL5" i="1" s="1"/>
  <c r="Z3" i="1"/>
  <c r="AA3" i="1" s="1"/>
  <c r="AB3" i="1" s="1"/>
  <c r="K5" i="1"/>
  <c r="L5" i="1" s="1"/>
  <c r="M5" i="1" s="1"/>
  <c r="N5" i="1" s="1"/>
  <c r="O5" i="1" s="1"/>
  <c r="P5" i="1" s="1"/>
  <c r="Q5" i="1" s="1"/>
  <c r="R5" i="1" s="1"/>
  <c r="S5" i="1" s="1"/>
  <c r="T5" i="1" s="1"/>
  <c r="U5" i="1" s="1"/>
  <c r="V5" i="1" s="1"/>
  <c r="W5" i="1" s="1"/>
  <c r="C2" i="1"/>
  <c r="C4" i="1" s="1"/>
  <c r="AA17" i="1" a="1"/>
  <c r="AA18" i="1" a="1"/>
  <c r="AA16" i="1" a="1"/>
  <c r="AA14" i="1" a="1"/>
  <c r="AA15" i="1" a="1"/>
  <c r="AA13" i="1" a="1"/>
  <c r="AA12" i="1" a="1"/>
  <c r="AA11" i="1" a="1"/>
  <c r="AB72" i="1" a="1"/>
  <c r="AB341" i="1" a="1"/>
  <c r="AB38" i="1" a="1"/>
  <c r="AB452" i="1" a="1"/>
  <c r="AB87" i="1" a="1"/>
  <c r="AB549" i="1" a="1"/>
  <c r="AB293" i="1" a="1"/>
  <c r="AB161" i="1" a="1"/>
  <c r="AB312" i="1" a="1"/>
  <c r="AB106" i="1" a="1"/>
  <c r="AB272" i="1" a="1"/>
  <c r="AB369" i="1" a="1"/>
  <c r="AB322" i="1" a="1"/>
  <c r="AB365" i="1" a="1"/>
  <c r="AB419" i="1" a="1"/>
  <c r="AB162" i="1" a="1"/>
  <c r="AB321" i="1" a="1"/>
  <c r="AB258" i="1" a="1"/>
  <c r="AB203" i="1" a="1"/>
  <c r="AB211" i="1" a="1"/>
  <c r="AB121" i="1" a="1"/>
  <c r="AB276" i="1" a="1"/>
  <c r="AB28" i="1" a="1"/>
  <c r="AB295" i="1" a="1"/>
  <c r="AB466" i="1" a="1"/>
  <c r="AB572" i="1" a="1"/>
  <c r="AB74" i="1" a="1"/>
  <c r="AB36" i="1" a="1"/>
  <c r="AB124" i="1" a="1"/>
  <c r="AB358" i="1" a="1"/>
  <c r="AB392" i="1" a="1"/>
  <c r="AB141" i="1" a="1"/>
  <c r="AB188" i="1" a="1"/>
  <c r="AB388" i="1" a="1"/>
  <c r="AB20" i="1" a="1"/>
  <c r="AB268" i="1" a="1"/>
  <c r="AB269" i="1" a="1"/>
  <c r="AB556" i="1" a="1"/>
  <c r="AB103" i="1" a="1"/>
  <c r="AB217" i="1" a="1"/>
  <c r="AB46" i="1" a="1"/>
  <c r="AB109" i="1" a="1"/>
  <c r="AB197" i="1" a="1"/>
  <c r="AB243" i="1" a="1"/>
  <c r="AB374" i="1" a="1"/>
  <c r="AB588" i="1" a="1"/>
  <c r="AB185" i="1" a="1"/>
  <c r="AB479" i="1" a="1"/>
  <c r="AB299" i="1" a="1"/>
  <c r="AB430" i="1" a="1"/>
  <c r="AB118" i="1" a="1"/>
  <c r="AB186" i="1" a="1"/>
  <c r="AB394" i="1" a="1"/>
  <c r="AB267" i="1" a="1"/>
  <c r="AB170" i="1" a="1"/>
  <c r="AB512" i="1" a="1"/>
  <c r="AB297" i="1" a="1"/>
  <c r="AB480" i="1" a="1"/>
  <c r="AB168" i="1" a="1"/>
  <c r="AB402" i="1" a="1"/>
  <c r="AB216" i="1" a="1"/>
  <c r="AB96" i="1" a="1"/>
  <c r="AB371" i="1" a="1"/>
  <c r="AB505" i="1" a="1"/>
  <c r="AB320" i="1" a="1"/>
  <c r="AB521" i="1" a="1"/>
  <c r="AB334" i="1" a="1"/>
  <c r="AB344" i="1" a="1"/>
  <c r="AB63" i="1" a="1"/>
  <c r="AB307" i="1" a="1"/>
  <c r="AB584" i="1" a="1"/>
  <c r="AB147" i="1" a="1"/>
  <c r="AB443" i="1" a="1"/>
  <c r="AB37" i="1" a="1"/>
  <c r="AB401" i="1" a="1"/>
  <c r="AB324" i="1" a="1"/>
  <c r="AB315" i="1" a="1"/>
  <c r="AB219" i="1" a="1"/>
  <c r="AB342" i="1" a="1"/>
  <c r="AB110" i="1" a="1"/>
  <c r="AB403" i="1" a="1"/>
  <c r="AB29" i="1" a="1"/>
  <c r="AB376" i="1" a="1"/>
  <c r="AB429" i="1" a="1"/>
  <c r="AB157" i="1" a="1"/>
  <c r="AB534" i="1" a="1"/>
  <c r="AB431" i="1" a="1"/>
  <c r="AB451" i="1" a="1"/>
  <c r="AB81" i="1" a="1"/>
  <c r="AB492" i="1" a="1"/>
  <c r="AB421" i="1" a="1"/>
  <c r="AB205" i="1" a="1"/>
  <c r="AB328" i="1" a="1"/>
  <c r="AB393" i="1" a="1"/>
  <c r="AB473" i="1" a="1"/>
  <c r="AB316" i="1" a="1"/>
  <c r="AB569" i="1" a="1"/>
  <c r="AB104" i="1" a="1"/>
  <c r="AB84" i="1" a="1"/>
  <c r="AB568" i="1" a="1"/>
  <c r="AB493" i="1" a="1"/>
  <c r="AB398" i="1" a="1"/>
  <c r="AB366" i="1" a="1"/>
  <c r="AB432" i="1" a="1"/>
  <c r="AB31" i="1" a="1"/>
  <c r="AB501" i="1" a="1"/>
  <c r="AB304" i="1" a="1"/>
  <c r="AB445" i="1" a="1"/>
  <c r="AB447" i="1" a="1"/>
  <c r="AB395" i="1" a="1"/>
  <c r="AB289" i="1" a="1"/>
  <c r="AB566" i="1" a="1"/>
  <c r="AB587" i="1" a="1"/>
  <c r="AB412" i="1" a="1"/>
  <c r="AB224" i="1" a="1"/>
  <c r="AB193" i="1" a="1"/>
  <c r="AB453" i="1" a="1"/>
  <c r="AB558" i="1" a="1"/>
  <c r="AB357" i="1" a="1"/>
  <c r="AB409" i="1" a="1"/>
  <c r="AB292" i="1" a="1"/>
  <c r="AB597" i="1" a="1"/>
  <c r="AB318" i="1" a="1"/>
  <c r="AB525" i="1" a="1"/>
  <c r="AB441" i="1" a="1"/>
  <c r="AB435" i="1" a="1"/>
  <c r="AB540" i="1" a="1"/>
  <c r="AB227" i="1" a="1"/>
  <c r="AB253" i="1" a="1"/>
  <c r="AB234" i="1" a="1"/>
  <c r="AB134" i="1" a="1"/>
  <c r="AB126" i="1" a="1"/>
  <c r="AB390" i="1" a="1"/>
  <c r="AB490" i="1" a="1"/>
  <c r="AB353" i="1" a="1"/>
  <c r="AB367" i="1" a="1"/>
  <c r="AB229" i="1" a="1"/>
  <c r="AB532" i="1" a="1"/>
  <c r="AB44" i="1" a="1"/>
  <c r="AB535" i="1" a="1"/>
  <c r="AB567" i="1" a="1"/>
  <c r="AB69" i="1" a="1"/>
  <c r="AB377" i="1" a="1"/>
  <c r="AB339" i="1" a="1"/>
  <c r="AB296" i="1" a="1"/>
  <c r="AB40" i="1" a="1"/>
  <c r="AB354" i="1" a="1"/>
  <c r="AB471" i="1" a="1"/>
  <c r="AB122" i="1" a="1"/>
  <c r="AB250" i="1" a="1"/>
  <c r="AB173" i="1" a="1"/>
  <c r="AB294" i="1" a="1"/>
  <c r="AB482" i="1" a="1"/>
  <c r="AB39" i="1" a="1"/>
  <c r="AB422" i="1" a="1"/>
  <c r="AB78" i="1" a="1"/>
  <c r="AB127" i="1" a="1"/>
  <c r="AB465" i="1" a="1"/>
  <c r="AB594" i="1" a="1"/>
  <c r="AB128" i="1" a="1"/>
  <c r="AB287" i="1" a="1"/>
  <c r="AB113" i="1" a="1"/>
  <c r="AB596" i="1" a="1"/>
  <c r="AB56" i="1" a="1"/>
  <c r="AB475" i="1" a="1"/>
  <c r="AB531" i="1" a="1"/>
  <c r="AB333" i="1" a="1"/>
  <c r="AB98" i="1" a="1"/>
  <c r="AB85" i="1" a="1"/>
  <c r="AB246" i="1" a="1"/>
  <c r="AB238" i="1" a="1"/>
  <c r="AB204" i="1" a="1"/>
  <c r="AB226" i="1" a="1"/>
  <c r="AB520" i="1" a="1"/>
  <c r="AB116" i="1" a="1"/>
  <c r="AB591" i="1" a="1"/>
  <c r="AB244" i="1" a="1"/>
  <c r="AB530" i="1" a="1"/>
  <c r="AB130" i="1" a="1"/>
  <c r="AB270" i="1" a="1"/>
  <c r="AB426" i="1" a="1"/>
  <c r="AB150" i="1" a="1"/>
  <c r="AB543" i="1" a="1"/>
  <c r="AB166" i="1" a="1"/>
  <c r="AB280" i="1" a="1"/>
  <c r="AB338" i="1" a="1"/>
  <c r="AB557" i="1" a="1"/>
  <c r="AB434" i="1" a="1"/>
  <c r="AB329" i="1" a="1"/>
  <c r="AB169" i="1" a="1"/>
  <c r="AB524" i="1" a="1"/>
  <c r="AB302" i="1" a="1"/>
  <c r="AB274" i="1" a="1"/>
  <c r="AB582" i="1" a="1"/>
  <c r="AB160" i="1" a="1"/>
  <c r="AB565" i="1" a="1"/>
  <c r="AB80" i="1" a="1"/>
  <c r="AB236" i="1" a="1"/>
  <c r="AB261" i="1" a="1"/>
  <c r="AB518" i="1" a="1"/>
  <c r="AB144" i="1" a="1"/>
  <c r="AB152" i="1" a="1"/>
  <c r="AB218" i="1" a="1"/>
  <c r="AB352" i="1" a="1"/>
  <c r="AB92" i="1" a="1"/>
  <c r="AB179" i="1" a="1"/>
  <c r="AB164" i="1" a="1"/>
  <c r="AB494" i="1" a="1"/>
  <c r="AB107" i="1" a="1"/>
  <c r="AB257" i="1" a="1"/>
  <c r="AB496" i="1" a="1"/>
  <c r="AB346" i="1" a="1"/>
  <c r="AB263" i="1" a="1"/>
  <c r="AB194" i="1" a="1"/>
  <c r="AB136" i="1" a="1"/>
  <c r="AB248" i="1" a="1"/>
  <c r="AB142" i="1" a="1"/>
  <c r="AB515" i="1" a="1"/>
  <c r="AB54" i="1" a="1"/>
  <c r="AB21" i="1" a="1"/>
  <c r="AB239" i="1" a="1"/>
  <c r="AB223" i="1" a="1"/>
  <c r="AB513" i="1" a="1"/>
  <c r="AB251" i="1" a="1"/>
  <c r="AB286" i="1" a="1"/>
  <c r="AB537" i="1" a="1"/>
  <c r="AB306" i="1" a="1"/>
  <c r="AB209" i="1" a="1"/>
  <c r="AB575" i="1" a="1"/>
  <c r="AB533" i="1" a="1"/>
  <c r="AB309" i="1" a="1"/>
  <c r="AB94" i="1" a="1"/>
  <c r="AB433" i="1" a="1"/>
  <c r="AB547" i="1" a="1"/>
  <c r="AB488" i="1" a="1"/>
  <c r="AB48" i="1" a="1"/>
  <c r="AB349" i="1" a="1"/>
  <c r="AB593" i="1" a="1"/>
  <c r="AB308" i="1" a="1"/>
  <c r="AB372" i="1" a="1"/>
  <c r="AB457" i="1" a="1"/>
  <c r="AB220" i="1" a="1"/>
  <c r="AB529" i="1" a="1"/>
  <c r="AB326" i="1" a="1"/>
  <c r="AB249" i="1" a="1"/>
  <c r="AB323" i="1" a="1"/>
  <c r="AB149" i="1" a="1"/>
  <c r="AB528" i="1" a="1"/>
  <c r="AB590" i="1" a="1"/>
  <c r="AB311" i="1" a="1"/>
  <c r="AB327" i="1" a="1"/>
  <c r="AB437" i="1" a="1"/>
  <c r="AB187" i="1" a="1"/>
  <c r="AB375" i="1" a="1"/>
  <c r="AB222" i="1" a="1"/>
  <c r="AB362" i="1" a="1"/>
  <c r="AB125" i="1" a="1"/>
  <c r="AB514" i="1" a="1"/>
  <c r="AB335" i="1" a="1"/>
  <c r="AB391" i="1" a="1"/>
  <c r="AB592" i="1" a="1"/>
  <c r="AB577" i="1" a="1"/>
  <c r="AB325" i="1" a="1"/>
  <c r="AB182" i="1" a="1"/>
  <c r="AB22" i="1" a="1"/>
  <c r="AB446" i="1" a="1"/>
  <c r="AB416" i="1" a="1"/>
  <c r="AB319" i="1" a="1"/>
  <c r="AB163" i="1" a="1"/>
  <c r="AB175" i="1" a="1"/>
  <c r="AB347" i="1" a="1"/>
  <c r="AB472" i="1" a="1"/>
  <c r="AB165" i="1" a="1"/>
  <c r="AB486" i="1" a="1"/>
  <c r="AB444" i="1" a="1"/>
  <c r="AB355" i="1" a="1"/>
  <c r="AB19" i="1" a="1"/>
  <c r="AB213" i="1" a="1"/>
  <c r="AB438" i="1" a="1"/>
  <c r="AB32" i="1" a="1"/>
  <c r="AB55" i="1" a="1"/>
  <c r="AB454" i="1" a="1"/>
  <c r="AB463" i="1" a="1"/>
  <c r="AB177" i="1" a="1"/>
  <c r="AB384" i="1" a="1"/>
  <c r="AB545" i="1" a="1"/>
  <c r="AB458" i="1" a="1"/>
  <c r="AB45" i="1" a="1"/>
  <c r="AB410" i="1" a="1"/>
  <c r="AB57" i="1" a="1"/>
  <c r="AB93" i="1" a="1"/>
  <c r="AB495" i="1" a="1"/>
  <c r="AB291" i="1" a="1"/>
  <c r="AB288" i="1" a="1"/>
  <c r="AB450" i="1" a="1"/>
  <c r="AB95" i="1" a="1"/>
  <c r="AB105" i="1" a="1"/>
  <c r="AB71" i="1" a="1"/>
  <c r="AB62" i="1" a="1"/>
  <c r="AB88" i="1" a="1"/>
  <c r="AB135" i="1" a="1"/>
  <c r="AB154" i="1" a="1"/>
  <c r="AB232" i="1" a="1"/>
  <c r="AB440" i="1" a="1"/>
  <c r="AB241" i="1" a="1"/>
  <c r="AB350" i="1" a="1"/>
  <c r="AB52" i="1" a="1"/>
  <c r="AB570" i="1" a="1"/>
  <c r="AB483" i="1" a="1"/>
  <c r="AB70" i="1" a="1"/>
  <c r="AB560" i="1" a="1"/>
  <c r="AB167" i="1" a="1"/>
  <c r="AB405" i="1" a="1"/>
  <c r="AB478" i="1" a="1"/>
  <c r="AB271" i="1" a="1"/>
  <c r="AB448" i="1" a="1"/>
  <c r="AB427" i="1" a="1"/>
  <c r="AB138" i="1" a="1"/>
  <c r="AB489" i="1" a="1"/>
  <c r="AB359" i="1" a="1"/>
  <c r="AB158" i="1" a="1"/>
  <c r="AB456" i="1" a="1"/>
  <c r="AB202" i="1" a="1"/>
  <c r="AB474" i="1" a="1"/>
  <c r="AB79" i="1" a="1"/>
  <c r="AB252" i="1" a="1"/>
  <c r="AB183" i="1" a="1"/>
  <c r="AB544" i="1" a="1"/>
  <c r="AB196" i="1" a="1"/>
  <c r="AB115" i="1" a="1"/>
  <c r="AB332" i="1" a="1"/>
  <c r="AB381" i="1" a="1"/>
  <c r="AB119" i="1" a="1"/>
  <c r="AB120" i="1" a="1"/>
  <c r="AB262" i="1" a="1"/>
  <c r="AB562" i="1" a="1"/>
  <c r="AB100" i="1" a="1"/>
  <c r="AB76" i="1" a="1"/>
  <c r="AB417" i="1" a="1"/>
  <c r="AB477" i="1" a="1"/>
  <c r="AB153" i="1" a="1"/>
  <c r="AB491" i="1" a="1"/>
  <c r="AB83" i="1" a="1"/>
  <c r="AB336" i="1" a="1"/>
  <c r="AB509" i="1" a="1"/>
  <c r="AB389" i="1" a="1"/>
  <c r="AB436" i="1" a="1"/>
  <c r="AB26" i="1" a="1"/>
  <c r="AB143" i="1" a="1"/>
  <c r="AB415" i="1" a="1"/>
  <c r="AB298" i="1" a="1"/>
  <c r="AB552" i="1" a="1"/>
  <c r="AB313" i="1" a="1"/>
  <c r="AB191" i="1" a="1"/>
  <c r="AB212" i="1" a="1"/>
  <c r="AB497" i="1" a="1"/>
  <c r="AB242" i="1" a="1"/>
  <c r="AB90" i="1" a="1"/>
  <c r="AB404" i="1" a="1"/>
  <c r="AB221" i="1" a="1"/>
  <c r="AB484" i="1" a="1"/>
  <c r="AB539" i="1" a="1"/>
  <c r="AB140" i="1" a="1"/>
  <c r="AB206" i="1" a="1"/>
  <c r="AB281" i="1" a="1"/>
  <c r="AB413" i="1" a="1"/>
  <c r="AB548" i="1" a="1"/>
  <c r="AB189" i="1" a="1"/>
  <c r="AB583" i="1" a="1"/>
  <c r="AB378" i="1" a="1"/>
  <c r="AB343" i="1" a="1"/>
  <c r="AB573" i="1" a="1"/>
  <c r="AB114" i="1" a="1"/>
  <c r="AB49" i="1" a="1"/>
  <c r="AB599" i="1" a="1"/>
  <c r="AB563" i="1" a="1"/>
  <c r="AB231" i="1" a="1"/>
  <c r="AB264" i="1" a="1"/>
  <c r="AB51" i="1" a="1"/>
  <c r="AB469" i="1" a="1"/>
  <c r="AB23" i="1" a="1"/>
  <c r="AB230" i="1" a="1"/>
  <c r="AB279" i="1" a="1"/>
  <c r="AB214" i="1" a="1"/>
  <c r="AB345" i="1" a="1"/>
  <c r="AB159" i="1" a="1"/>
  <c r="AB82" i="1" a="1"/>
  <c r="AB420" i="1" a="1"/>
  <c r="AB233" i="1" a="1"/>
  <c r="AB586" i="1" a="1"/>
  <c r="AB536" i="1" a="1"/>
  <c r="AB111" i="1" a="1"/>
  <c r="AB348" i="1" a="1"/>
  <c r="AB423" i="1" a="1"/>
  <c r="AB449" i="1" a="1"/>
  <c r="AB523" i="1" a="1"/>
  <c r="AB75" i="1" a="1"/>
  <c r="AB139" i="1" a="1"/>
  <c r="AB254" i="1" a="1"/>
  <c r="AB508" i="1" a="1"/>
  <c r="AB25" i="1" a="1"/>
  <c r="AB428" i="1" a="1"/>
  <c r="AB59" i="1" a="1"/>
  <c r="AB176" i="1" a="1"/>
  <c r="AB108" i="1" a="1"/>
  <c r="AB60" i="1" a="1"/>
  <c r="AB459" i="1" a="1"/>
  <c r="AB9" i="1" a="1"/>
  <c r="AB498" i="1" a="1"/>
  <c r="AB580" i="1" a="1"/>
  <c r="AB517" i="1" a="1"/>
  <c r="AB579" i="1" a="1"/>
  <c r="AB481" i="1" a="1"/>
  <c r="AB30" i="1" a="1"/>
  <c r="AB418" i="1" a="1"/>
  <c r="AB581" i="1" a="1"/>
  <c r="AB195" i="1" a="1"/>
  <c r="AB363" i="1" a="1"/>
  <c r="AB595" i="1" a="1"/>
  <c r="AB300" i="1" a="1"/>
  <c r="AB207" i="1" a="1"/>
  <c r="AB585" i="1" a="1"/>
  <c r="AB200" i="1" a="1"/>
  <c r="AB301" i="1" a="1"/>
  <c r="AB259" i="1" a="1"/>
  <c r="AB67" i="1" a="1"/>
  <c r="AB519" i="1" a="1"/>
  <c r="AB305" i="1" a="1"/>
  <c r="AB464" i="1" a="1"/>
  <c r="AB310" i="1" a="1"/>
  <c r="AB58" i="1" a="1"/>
  <c r="AB364" i="1" a="1"/>
  <c r="AB77" i="1" a="1"/>
  <c r="AB210" i="1" a="1"/>
  <c r="AB555" i="1" a="1"/>
  <c r="AB65" i="1" a="1"/>
  <c r="AB407" i="1" a="1"/>
  <c r="AB145" i="1" a="1"/>
  <c r="AB511" i="1" a="1"/>
  <c r="AB290" i="1" a="1"/>
  <c r="AB50" i="1" a="1"/>
  <c r="AB174" i="1" a="1"/>
  <c r="AB386" i="1" a="1"/>
  <c r="AB442" i="1" a="1"/>
  <c r="AB284" i="1" a="1"/>
  <c r="AB408" i="1" a="1"/>
  <c r="AB208" i="1" a="1"/>
  <c r="AB399" i="1" a="1"/>
  <c r="AB571" i="1" a="1"/>
  <c r="AB181" i="1" a="1"/>
  <c r="AB201" i="1" a="1"/>
  <c r="AB340" i="1" a="1"/>
  <c r="AB247" i="1" a="1"/>
  <c r="AB86" i="1" a="1"/>
  <c r="AB360" i="1" a="1"/>
  <c r="AB356" i="1" a="1"/>
  <c r="AB468" i="1" a="1"/>
  <c r="AB215" i="1" a="1"/>
  <c r="AB337" i="1" a="1"/>
  <c r="AB133" i="1" a="1"/>
  <c r="AB225" i="1" a="1"/>
  <c r="AB470" i="1" a="1"/>
  <c r="AB574" i="1" a="1"/>
  <c r="AB156" i="1" a="1"/>
  <c r="AB235" i="1" a="1"/>
  <c r="AB380" i="1" a="1"/>
  <c r="AB382" i="1" a="1"/>
  <c r="AB198" i="1" a="1"/>
  <c r="AB373" i="1" a="1"/>
  <c r="AB397" i="1" a="1"/>
  <c r="AB564" i="1" a="1"/>
  <c r="AB117" i="1" a="1"/>
  <c r="AB282" i="1" a="1"/>
  <c r="AB361" i="1" a="1"/>
  <c r="AB155" i="1" a="1"/>
  <c r="AB485" i="1" a="1"/>
  <c r="AB499" i="1" a="1"/>
  <c r="AB330" i="1" a="1"/>
  <c r="AB439" i="1" a="1"/>
  <c r="AB256" i="1" a="1"/>
  <c r="AB368" i="1" a="1"/>
  <c r="AB559" i="1" a="1"/>
  <c r="AB66" i="1" a="1"/>
  <c r="AB91" i="1" a="1"/>
  <c r="AB487" i="1" a="1"/>
  <c r="AB411" i="1" a="1"/>
  <c r="AB278" i="1" a="1"/>
  <c r="AB99" i="1" a="1"/>
  <c r="AB255" i="1" a="1"/>
  <c r="AB461" i="1" a="1"/>
  <c r="AB33" i="1" a="1"/>
  <c r="AB425" i="1" a="1"/>
  <c r="AB387" i="1" a="1"/>
  <c r="AB275" i="1" a="1"/>
  <c r="AB424" i="1" a="1"/>
  <c r="AB277" i="1" a="1"/>
  <c r="AB351" i="1" a="1"/>
  <c r="AB414" i="1" a="1"/>
  <c r="AB260" i="1" a="1"/>
  <c r="AB47" i="1" a="1"/>
  <c r="AB131" i="1" a="1"/>
  <c r="AB192" i="1" a="1"/>
  <c r="AB516" i="1" a="1"/>
  <c r="AB331" i="1" a="1"/>
  <c r="AB507" i="1" a="1"/>
  <c r="AB370" i="1" a="1"/>
  <c r="AB68" i="1" a="1"/>
  <c r="AB476" i="1" a="1"/>
  <c r="AB151" i="1" a="1"/>
  <c r="AB43" i="1" a="1"/>
  <c r="AB266" i="1" a="1"/>
  <c r="AB500" i="1" a="1"/>
  <c r="AB314" i="1" a="1"/>
  <c r="AB240" i="1" a="1"/>
  <c r="AB455" i="1" a="1"/>
  <c r="AB97" i="1" a="1"/>
  <c r="AB561" i="1" a="1"/>
  <c r="AB506" i="1" a="1"/>
  <c r="AB542" i="1" a="1"/>
  <c r="AB245" i="1" a="1"/>
  <c r="AB406" i="1" a="1"/>
  <c r="AB317" i="1" a="1"/>
  <c r="AB53" i="1" a="1"/>
  <c r="AB550" i="1" a="1"/>
  <c r="AB180" i="1" a="1"/>
  <c r="AB285" i="1" a="1"/>
  <c r="AB522" i="1" a="1"/>
  <c r="AB541" i="1" a="1"/>
  <c r="AB554" i="1" a="1"/>
  <c r="AB273" i="1" a="1"/>
  <c r="AB503" i="1" a="1"/>
  <c r="AB379" i="1" a="1"/>
  <c r="AB400" i="1" a="1"/>
  <c r="AB502" i="1" a="1"/>
  <c r="AB61" i="1" a="1"/>
  <c r="AB510" i="1" a="1"/>
  <c r="AB89" i="1" a="1"/>
  <c r="AB178" i="1" a="1"/>
  <c r="AB171" i="1" a="1"/>
  <c r="AB385" i="1" a="1"/>
  <c r="AB396" i="1" a="1"/>
  <c r="AB73" i="1" a="1"/>
  <c r="AB148" i="1" a="1"/>
  <c r="AB538" i="1" a="1"/>
  <c r="AB526" i="1" a="1"/>
  <c r="AB598" i="1" a="1"/>
  <c r="AB527" i="1" a="1"/>
  <c r="AB467" i="1" a="1"/>
  <c r="AB303" i="1" a="1"/>
  <c r="AB190" i="1" a="1"/>
  <c r="AB102" i="1" a="1"/>
  <c r="AB132" i="1" a="1"/>
  <c r="AB10" i="1" a="1"/>
  <c r="AB41" i="1" a="1"/>
  <c r="AB137" i="1" a="1"/>
  <c r="AB146" i="1" a="1"/>
  <c r="AB576" i="1" a="1"/>
  <c r="AB383" i="1" a="1"/>
  <c r="AB42" i="1" a="1"/>
  <c r="AB64" i="1" a="1"/>
  <c r="AB283" i="1" a="1"/>
  <c r="AB24" i="1" a="1"/>
  <c r="AB34" i="1" a="1"/>
  <c r="AB462" i="1" a="1"/>
  <c r="AB129" i="1" a="1"/>
  <c r="AB578" i="1" a="1"/>
  <c r="AB123" i="1" a="1"/>
  <c r="AB551" i="1" a="1"/>
  <c r="AB553" i="1" a="1"/>
  <c r="AB199" i="1" a="1"/>
  <c r="AB504" i="1" a="1"/>
  <c r="AB101" i="1" a="1"/>
  <c r="AB460" i="1" a="1"/>
  <c r="AB228" i="1" a="1"/>
  <c r="AB27" i="1" a="1"/>
  <c r="AB546" i="1" a="1"/>
  <c r="AB237" i="1" a="1"/>
  <c r="AB265" i="1" a="1"/>
  <c r="AB35" i="1" a="1"/>
  <c r="AB184" i="1" a="1"/>
  <c r="AB112" i="1" a="1"/>
  <c r="AB172" i="1" a="1"/>
  <c r="AB589" i="1" a="1"/>
  <c r="Y612" i="1" a="1"/>
  <c r="Y681" i="1" a="1"/>
  <c r="Y679" i="1" a="1"/>
  <c r="Y667" i="1" a="1"/>
  <c r="Y631" i="1" a="1"/>
  <c r="Y601" i="1" a="1"/>
  <c r="Y693" i="1" a="1"/>
  <c r="Y643" i="1" a="1"/>
  <c r="Y627" i="1" a="1"/>
  <c r="Y690" i="1" a="1"/>
  <c r="Y611" i="1" a="1"/>
  <c r="Y658" i="1" a="1"/>
  <c r="Y692" i="1" a="1"/>
  <c r="Y617" i="1" a="1"/>
  <c r="Y619" i="1" a="1"/>
  <c r="Y699" i="1" a="1"/>
  <c r="Y626" i="1" a="1"/>
  <c r="Y659" i="1" a="1"/>
  <c r="Y634" i="1" a="1"/>
  <c r="Y630" i="1" a="1"/>
  <c r="Y607" i="1" a="1"/>
  <c r="Y649" i="1" a="1"/>
  <c r="Y686" i="1" a="1"/>
  <c r="Y677" i="1" a="1"/>
  <c r="Y694" i="1" a="1"/>
  <c r="Y669" i="1" a="1"/>
  <c r="Y666" i="1" a="1"/>
  <c r="Y663" i="1" a="1"/>
  <c r="Y651" i="1" a="1"/>
  <c r="Y638" i="1" a="1"/>
  <c r="Y628" i="1" a="1"/>
  <c r="Y687" i="1" a="1"/>
  <c r="Y673" i="1" a="1"/>
  <c r="Y623" i="1" a="1"/>
  <c r="Y632" i="1" a="1"/>
  <c r="Y680" i="1" a="1"/>
  <c r="Y616" i="1" a="1"/>
  <c r="Y655" i="1" a="1"/>
  <c r="Y685" i="1" a="1"/>
  <c r="Y696" i="1" a="1"/>
  <c r="Y621" i="1" a="1"/>
  <c r="Y637" i="1" a="1"/>
  <c r="Y684" i="1" a="1"/>
  <c r="Y641" i="1" a="1"/>
  <c r="Y624" i="1" a="1"/>
  <c r="Y618" i="1" a="1"/>
  <c r="Y664" i="1" a="1"/>
  <c r="Y635" i="1" a="1"/>
  <c r="Y661" i="1" a="1"/>
  <c r="Y605" i="1" a="1"/>
  <c r="Y665" i="1" a="1"/>
  <c r="Y604" i="1" a="1"/>
  <c r="Y633" i="1" a="1"/>
  <c r="Y691" i="1" a="1"/>
  <c r="Y645" i="1" a="1"/>
  <c r="Y640" i="1" a="1"/>
  <c r="Y609" i="1" a="1"/>
  <c r="Y697" i="1" a="1"/>
  <c r="Y620" i="1" a="1"/>
  <c r="Y606" i="1" a="1"/>
  <c r="Y682" i="1" a="1"/>
  <c r="Y614" i="1" a="1"/>
  <c r="Y629" i="1" a="1"/>
  <c r="Y657" i="1" a="1"/>
  <c r="Y650" i="1" a="1"/>
  <c r="Y625" i="1" a="1"/>
  <c r="Y622" i="1" a="1"/>
  <c r="Y695" i="1" a="1"/>
  <c r="Y683" i="1" a="1"/>
  <c r="Y688" i="1" a="1"/>
  <c r="Y678" i="1" a="1"/>
  <c r="Y676" i="1" a="1"/>
  <c r="Y675" i="1" a="1"/>
  <c r="Y608" i="1" a="1"/>
  <c r="Y674" i="1" a="1"/>
  <c r="Y613" i="1" a="1"/>
  <c r="Y689" i="1" a="1"/>
  <c r="Y670" i="1" a="1"/>
  <c r="Y647" i="1" a="1"/>
  <c r="Y660" i="1" a="1"/>
  <c r="Y646" i="1" a="1"/>
  <c r="Y610" i="1" a="1"/>
  <c r="Y639" i="1" a="1"/>
  <c r="Y642" i="1" a="1"/>
  <c r="Y654" i="1" a="1"/>
  <c r="Y602" i="1" a="1"/>
  <c r="Y652" i="1" a="1"/>
  <c r="Y671" i="1" a="1"/>
  <c r="Y636" i="1" a="1"/>
  <c r="Y615" i="1" a="1"/>
  <c r="Y668" i="1" a="1"/>
  <c r="Y662" i="1" a="1"/>
  <c r="Y603" i="1" a="1"/>
  <c r="Y656" i="1" a="1"/>
  <c r="Y698" i="1" a="1"/>
  <c r="Y672" i="1" a="1"/>
  <c r="Y653" i="1" a="1"/>
  <c r="Y648" i="1" a="1"/>
  <c r="Y644" i="1" a="1"/>
  <c r="AA18" i="1" l="1"/>
  <c r="AA17" i="1"/>
  <c r="AA16" i="1"/>
  <c r="AA13" i="1"/>
  <c r="AA15" i="1"/>
  <c r="AA14" i="1"/>
  <c r="AA12" i="1"/>
  <c r="AA11" i="1"/>
  <c r="AB589" i="1"/>
  <c r="AB172" i="1"/>
  <c r="AB112" i="1"/>
  <c r="AB184" i="1"/>
  <c r="AB35" i="1"/>
  <c r="AB265" i="1"/>
  <c r="AB237" i="1"/>
  <c r="AB546" i="1"/>
  <c r="AB27" i="1"/>
  <c r="AB228" i="1"/>
  <c r="AB460" i="1"/>
  <c r="AB101" i="1"/>
  <c r="AB504" i="1"/>
  <c r="AB199" i="1"/>
  <c r="AB553" i="1"/>
  <c r="AB551" i="1"/>
  <c r="AB123" i="1"/>
  <c r="AB578" i="1"/>
  <c r="AB129" i="1"/>
  <c r="AB462" i="1"/>
  <c r="AB34" i="1"/>
  <c r="AB24" i="1"/>
  <c r="AB283" i="1"/>
  <c r="AB64" i="1"/>
  <c r="AB42" i="1"/>
  <c r="AB383" i="1"/>
  <c r="AB576" i="1"/>
  <c r="AB146" i="1"/>
  <c r="AB137" i="1"/>
  <c r="AB41" i="1"/>
  <c r="AB10" i="1"/>
  <c r="AB132" i="1"/>
  <c r="AB102" i="1"/>
  <c r="AB190" i="1"/>
  <c r="AB303" i="1"/>
  <c r="AB467" i="1"/>
  <c r="AB527" i="1"/>
  <c r="AB598" i="1"/>
  <c r="AB526" i="1"/>
  <c r="AB538" i="1"/>
  <c r="AB148" i="1"/>
  <c r="AB73" i="1"/>
  <c r="AB396" i="1"/>
  <c r="AB385" i="1"/>
  <c r="AB171" i="1"/>
  <c r="AB178" i="1"/>
  <c r="AB89" i="1"/>
  <c r="AB510" i="1"/>
  <c r="AB61" i="1"/>
  <c r="AB502" i="1"/>
  <c r="AB400" i="1"/>
  <c r="AB379" i="1"/>
  <c r="AB503" i="1"/>
  <c r="AB273" i="1"/>
  <c r="AB554" i="1"/>
  <c r="AB541" i="1"/>
  <c r="AB522" i="1"/>
  <c r="AB285" i="1"/>
  <c r="AB180" i="1"/>
  <c r="AB550" i="1"/>
  <c r="AB53" i="1"/>
  <c r="AB317" i="1"/>
  <c r="AB406" i="1"/>
  <c r="AB245" i="1"/>
  <c r="AB542" i="1"/>
  <c r="AB506" i="1"/>
  <c r="AB561" i="1"/>
  <c r="AB97" i="1"/>
  <c r="AB455" i="1"/>
  <c r="AB240" i="1"/>
  <c r="AB314" i="1"/>
  <c r="AB500" i="1"/>
  <c r="AB266" i="1"/>
  <c r="AB43" i="1"/>
  <c r="AB151" i="1"/>
  <c r="AB476" i="1"/>
  <c r="AB68" i="1"/>
  <c r="AB370" i="1"/>
  <c r="AB507" i="1"/>
  <c r="AB331" i="1"/>
  <c r="AB516" i="1"/>
  <c r="AB192" i="1"/>
  <c r="AB131" i="1"/>
  <c r="AB47" i="1"/>
  <c r="AB260" i="1"/>
  <c r="AB414" i="1"/>
  <c r="AB351" i="1"/>
  <c r="AB277" i="1"/>
  <c r="AB424" i="1"/>
  <c r="AB275" i="1"/>
  <c r="AB387" i="1"/>
  <c r="AB425" i="1"/>
  <c r="AB33" i="1"/>
  <c r="AB461" i="1"/>
  <c r="AB255" i="1"/>
  <c r="AB99" i="1"/>
  <c r="AB278" i="1"/>
  <c r="AB411" i="1"/>
  <c r="AB487" i="1"/>
  <c r="AB91" i="1"/>
  <c r="AB66" i="1"/>
  <c r="AB559" i="1"/>
  <c r="AB368" i="1"/>
  <c r="AB256" i="1"/>
  <c r="AB439" i="1"/>
  <c r="AB330" i="1"/>
  <c r="AB499" i="1"/>
  <c r="AB485" i="1"/>
  <c r="AB155" i="1"/>
  <c r="AB361" i="1"/>
  <c r="AB282" i="1"/>
  <c r="AB117" i="1"/>
  <c r="AB564" i="1"/>
  <c r="AB397" i="1"/>
  <c r="AB373" i="1"/>
  <c r="AB198" i="1"/>
  <c r="AB382" i="1"/>
  <c r="AB380" i="1"/>
  <c r="AB235" i="1"/>
  <c r="AB156" i="1"/>
  <c r="AB574" i="1"/>
  <c r="AB470" i="1"/>
  <c r="AB225" i="1"/>
  <c r="AB133" i="1"/>
  <c r="AB337" i="1"/>
  <c r="AB215" i="1"/>
  <c r="AB468" i="1"/>
  <c r="AB356" i="1"/>
  <c r="AB360" i="1"/>
  <c r="AB86" i="1"/>
  <c r="AB247" i="1"/>
  <c r="AB340" i="1"/>
  <c r="AB201" i="1"/>
  <c r="AB181" i="1"/>
  <c r="AB571" i="1"/>
  <c r="AB399" i="1"/>
  <c r="AB208" i="1"/>
  <c r="AB408" i="1"/>
  <c r="AB284" i="1"/>
  <c r="AB442" i="1"/>
  <c r="AB386" i="1"/>
  <c r="AB174" i="1"/>
  <c r="AB50" i="1"/>
  <c r="AB290" i="1"/>
  <c r="AB511" i="1"/>
  <c r="AB145" i="1"/>
  <c r="AB407" i="1"/>
  <c r="AB65" i="1"/>
  <c r="AB555" i="1"/>
  <c r="AB210" i="1"/>
  <c r="AB77" i="1"/>
  <c r="AB364" i="1"/>
  <c r="AB58" i="1"/>
  <c r="AB310" i="1"/>
  <c r="AB464" i="1"/>
  <c r="AB305" i="1"/>
  <c r="AB519" i="1"/>
  <c r="AB67" i="1"/>
  <c r="AB259" i="1"/>
  <c r="AB301" i="1"/>
  <c r="AB200" i="1"/>
  <c r="AB585" i="1"/>
  <c r="AB207" i="1"/>
  <c r="AB300" i="1"/>
  <c r="AB595" i="1"/>
  <c r="AB363" i="1"/>
  <c r="AB195" i="1"/>
  <c r="AB581" i="1"/>
  <c r="AB418" i="1"/>
  <c r="AB30" i="1"/>
  <c r="AB481" i="1"/>
  <c r="AB579" i="1"/>
  <c r="AB517" i="1"/>
  <c r="AB580" i="1"/>
  <c r="AB498" i="1"/>
  <c r="AB9" i="1"/>
  <c r="AB459" i="1"/>
  <c r="AB60" i="1"/>
  <c r="AB108" i="1"/>
  <c r="AB176" i="1"/>
  <c r="AB59" i="1"/>
  <c r="AB428" i="1"/>
  <c r="AB25" i="1"/>
  <c r="AB508" i="1"/>
  <c r="AB254" i="1"/>
  <c r="AB139" i="1"/>
  <c r="AB75" i="1"/>
  <c r="AB523" i="1"/>
  <c r="AB449" i="1"/>
  <c r="AB423" i="1"/>
  <c r="AB348" i="1"/>
  <c r="AB111" i="1"/>
  <c r="AB536" i="1"/>
  <c r="AB586" i="1"/>
  <c r="AB233" i="1"/>
  <c r="AB420" i="1"/>
  <c r="AB82" i="1"/>
  <c r="AB159" i="1"/>
  <c r="AB345" i="1"/>
  <c r="AB214" i="1"/>
  <c r="AB279" i="1"/>
  <c r="AB230" i="1"/>
  <c r="AB23" i="1"/>
  <c r="AB469" i="1"/>
  <c r="AB51" i="1"/>
  <c r="AB264" i="1"/>
  <c r="AB231" i="1"/>
  <c r="AB563" i="1"/>
  <c r="AB599" i="1"/>
  <c r="AB49" i="1"/>
  <c r="AB114" i="1"/>
  <c r="AB573" i="1"/>
  <c r="AB343" i="1"/>
  <c r="AB378" i="1"/>
  <c r="AB583" i="1"/>
  <c r="AB189" i="1"/>
  <c r="AB548" i="1"/>
  <c r="AB413" i="1"/>
  <c r="AB281" i="1"/>
  <c r="AB206" i="1"/>
  <c r="AB140" i="1"/>
  <c r="AB539" i="1"/>
  <c r="AB484" i="1"/>
  <c r="AB221" i="1"/>
  <c r="AB404" i="1"/>
  <c r="AB90" i="1"/>
  <c r="AB242" i="1"/>
  <c r="AB497" i="1"/>
  <c r="AB212" i="1"/>
  <c r="AB191" i="1"/>
  <c r="AB313" i="1"/>
  <c r="AB552" i="1"/>
  <c r="AB298" i="1"/>
  <c r="AB415" i="1"/>
  <c r="AB143" i="1"/>
  <c r="AB26" i="1"/>
  <c r="AB436" i="1"/>
  <c r="AB389" i="1"/>
  <c r="AB509" i="1"/>
  <c r="AB336" i="1"/>
  <c r="AB83" i="1"/>
  <c r="AB491" i="1"/>
  <c r="AB153" i="1"/>
  <c r="AB477" i="1"/>
  <c r="AB417" i="1"/>
  <c r="AB76" i="1"/>
  <c r="AB100" i="1"/>
  <c r="AB562" i="1"/>
  <c r="AB262" i="1"/>
  <c r="AB120" i="1"/>
  <c r="AB119" i="1"/>
  <c r="AB381" i="1"/>
  <c r="AB332" i="1"/>
  <c r="AB115" i="1"/>
  <c r="AB196" i="1"/>
  <c r="AB544" i="1"/>
  <c r="AB183" i="1"/>
  <c r="AB252" i="1"/>
  <c r="AB79" i="1"/>
  <c r="AB474" i="1"/>
  <c r="AB202" i="1"/>
  <c r="AB456" i="1"/>
  <c r="AB158" i="1"/>
  <c r="AB359" i="1"/>
  <c r="AB489" i="1"/>
  <c r="AB138" i="1"/>
  <c r="AB427" i="1"/>
  <c r="AB448" i="1"/>
  <c r="AB271" i="1"/>
  <c r="AB478" i="1"/>
  <c r="AB405" i="1"/>
  <c r="AB167" i="1"/>
  <c r="AB560" i="1"/>
  <c r="AB70" i="1"/>
  <c r="AB483" i="1"/>
  <c r="AB570" i="1"/>
  <c r="AB52" i="1"/>
  <c r="AB350" i="1"/>
  <c r="AB241" i="1"/>
  <c r="AB440" i="1"/>
  <c r="AB232" i="1"/>
  <c r="AB154" i="1"/>
  <c r="AB135" i="1"/>
  <c r="AB88" i="1"/>
  <c r="AB62" i="1"/>
  <c r="AB71" i="1"/>
  <c r="AB105" i="1"/>
  <c r="AB95" i="1"/>
  <c r="AB450" i="1"/>
  <c r="AB288" i="1"/>
  <c r="AB291" i="1"/>
  <c r="AB495" i="1"/>
  <c r="AB93" i="1"/>
  <c r="AB57" i="1"/>
  <c r="AB410" i="1"/>
  <c r="AB45" i="1"/>
  <c r="AB458" i="1"/>
  <c r="AB545" i="1"/>
  <c r="AB384" i="1"/>
  <c r="AB177" i="1"/>
  <c r="AB463" i="1"/>
  <c r="AB454" i="1"/>
  <c r="AB55" i="1"/>
  <c r="AB32" i="1"/>
  <c r="AB438" i="1"/>
  <c r="AB213" i="1"/>
  <c r="AB19" i="1"/>
  <c r="AB355" i="1"/>
  <c r="AB444" i="1"/>
  <c r="AB486" i="1"/>
  <c r="AB165" i="1"/>
  <c r="AB472" i="1"/>
  <c r="AB347" i="1"/>
  <c r="AB175" i="1"/>
  <c r="AB163" i="1"/>
  <c r="AB319" i="1"/>
  <c r="AB416" i="1"/>
  <c r="AB446" i="1"/>
  <c r="AB22" i="1"/>
  <c r="AB182" i="1"/>
  <c r="AB325" i="1"/>
  <c r="AB577" i="1"/>
  <c r="AB592" i="1"/>
  <c r="AB391" i="1"/>
  <c r="AB335" i="1"/>
  <c r="AB514" i="1"/>
  <c r="AB125" i="1"/>
  <c r="AB362" i="1"/>
  <c r="AB222" i="1"/>
  <c r="AB375" i="1"/>
  <c r="AB187" i="1"/>
  <c r="AB437" i="1"/>
  <c r="AB327" i="1"/>
  <c r="AB311" i="1"/>
  <c r="AB590" i="1"/>
  <c r="AB528" i="1"/>
  <c r="AB149" i="1"/>
  <c r="AB323" i="1"/>
  <c r="AB249" i="1"/>
  <c r="AB326" i="1"/>
  <c r="AB529" i="1"/>
  <c r="AB220" i="1"/>
  <c r="AB457" i="1"/>
  <c r="AB372" i="1"/>
  <c r="AB308" i="1"/>
  <c r="AB593" i="1"/>
  <c r="AB349" i="1"/>
  <c r="AB48" i="1"/>
  <c r="AB488" i="1"/>
  <c r="AB547" i="1"/>
  <c r="AB433" i="1"/>
  <c r="AB94" i="1"/>
  <c r="AB309" i="1"/>
  <c r="AB533" i="1"/>
  <c r="AB575" i="1"/>
  <c r="AB209" i="1"/>
  <c r="AB306" i="1"/>
  <c r="AB537" i="1"/>
  <c r="AB286" i="1"/>
  <c r="AB251" i="1"/>
  <c r="AB513" i="1"/>
  <c r="AB223" i="1"/>
  <c r="AB239" i="1"/>
  <c r="AB21" i="1"/>
  <c r="AB54" i="1"/>
  <c r="AB515" i="1"/>
  <c r="AB142" i="1"/>
  <c r="AB248" i="1"/>
  <c r="AB136" i="1"/>
  <c r="AB194" i="1"/>
  <c r="AB263" i="1"/>
  <c r="AB346" i="1"/>
  <c r="AB496" i="1"/>
  <c r="AB257" i="1"/>
  <c r="AB107" i="1"/>
  <c r="AB494" i="1"/>
  <c r="AB164" i="1"/>
  <c r="AB179" i="1"/>
  <c r="AB92" i="1"/>
  <c r="AB352" i="1"/>
  <c r="AB218" i="1"/>
  <c r="AB152" i="1"/>
  <c r="AB144" i="1"/>
  <c r="AB518" i="1"/>
  <c r="AB261" i="1"/>
  <c r="AB236" i="1"/>
  <c r="AB80" i="1"/>
  <c r="AB565" i="1"/>
  <c r="AB160" i="1"/>
  <c r="AB582" i="1"/>
  <c r="AB274" i="1"/>
  <c r="AB302" i="1"/>
  <c r="AB524" i="1"/>
  <c r="AB169" i="1"/>
  <c r="AB329" i="1"/>
  <c r="AB434" i="1"/>
  <c r="AB557" i="1"/>
  <c r="AB338" i="1"/>
  <c r="AB280" i="1"/>
  <c r="AB166" i="1"/>
  <c r="AB543" i="1"/>
  <c r="AB150" i="1"/>
  <c r="AB426" i="1"/>
  <c r="AB270" i="1"/>
  <c r="AB130" i="1"/>
  <c r="AB530" i="1"/>
  <c r="AB244" i="1"/>
  <c r="AB591" i="1"/>
  <c r="AB116" i="1"/>
  <c r="AB520" i="1"/>
  <c r="AB226" i="1"/>
  <c r="AB204" i="1"/>
  <c r="AB238" i="1"/>
  <c r="AB246" i="1"/>
  <c r="AB85" i="1"/>
  <c r="AB98" i="1"/>
  <c r="AB333" i="1"/>
  <c r="AB531" i="1"/>
  <c r="AB475" i="1"/>
  <c r="AB56" i="1"/>
  <c r="AB596" i="1"/>
  <c r="AB113" i="1"/>
  <c r="AB287" i="1"/>
  <c r="AB128" i="1"/>
  <c r="AB594" i="1"/>
  <c r="AB465" i="1"/>
  <c r="AB127" i="1"/>
  <c r="AB78" i="1"/>
  <c r="AB422" i="1"/>
  <c r="AB39" i="1"/>
  <c r="AB482" i="1"/>
  <c r="AB294" i="1"/>
  <c r="AB173" i="1"/>
  <c r="AB250" i="1"/>
  <c r="AB122" i="1"/>
  <c r="AB471" i="1"/>
  <c r="AB354" i="1"/>
  <c r="AB40" i="1"/>
  <c r="AB296" i="1"/>
  <c r="AB339" i="1"/>
  <c r="AB377" i="1"/>
  <c r="AB69" i="1"/>
  <c r="AB567" i="1"/>
  <c r="AB535" i="1"/>
  <c r="AB44" i="1"/>
  <c r="AB532" i="1"/>
  <c r="AB229" i="1"/>
  <c r="AB367" i="1"/>
  <c r="AB353" i="1"/>
  <c r="AB490" i="1"/>
  <c r="AB390" i="1"/>
  <c r="AB126" i="1"/>
  <c r="AB134" i="1"/>
  <c r="AB234" i="1"/>
  <c r="AB253" i="1"/>
  <c r="AB227" i="1"/>
  <c r="AB540" i="1"/>
  <c r="AB435" i="1"/>
  <c r="AB441" i="1"/>
  <c r="AB525" i="1"/>
  <c r="AB318" i="1"/>
  <c r="AB597" i="1"/>
  <c r="AB292" i="1"/>
  <c r="AB409" i="1"/>
  <c r="AB357" i="1"/>
  <c r="AB558" i="1"/>
  <c r="AB453" i="1"/>
  <c r="AB193" i="1"/>
  <c r="AB224" i="1"/>
  <c r="AB412" i="1"/>
  <c r="AB587" i="1"/>
  <c r="AB566" i="1"/>
  <c r="AB289" i="1"/>
  <c r="AB395" i="1"/>
  <c r="AB447" i="1"/>
  <c r="AB445" i="1"/>
  <c r="AB304" i="1"/>
  <c r="AB501" i="1"/>
  <c r="AB31" i="1"/>
  <c r="AB432" i="1"/>
  <c r="AB366" i="1"/>
  <c r="AB398" i="1"/>
  <c r="AB493" i="1"/>
  <c r="AB568" i="1"/>
  <c r="AB84" i="1"/>
  <c r="AB104" i="1"/>
  <c r="AB569" i="1"/>
  <c r="AB316" i="1"/>
  <c r="AB473" i="1"/>
  <c r="AB393" i="1"/>
  <c r="AB328" i="1"/>
  <c r="AB205" i="1"/>
  <c r="AB421" i="1"/>
  <c r="AB492" i="1"/>
  <c r="AB81" i="1"/>
  <c r="AB451" i="1"/>
  <c r="AB431" i="1"/>
  <c r="AB534" i="1"/>
  <c r="AB157" i="1"/>
  <c r="AB429" i="1"/>
  <c r="AB376" i="1"/>
  <c r="AB29" i="1"/>
  <c r="AB403" i="1"/>
  <c r="AB110" i="1"/>
  <c r="AB342" i="1"/>
  <c r="AB219" i="1"/>
  <c r="AB315" i="1"/>
  <c r="AB324" i="1"/>
  <c r="AB401" i="1"/>
  <c r="AB37" i="1"/>
  <c r="AB443" i="1"/>
  <c r="AB147" i="1"/>
  <c r="AB584" i="1"/>
  <c r="AB307" i="1"/>
  <c r="AB63" i="1"/>
  <c r="AB344" i="1"/>
  <c r="AB334" i="1"/>
  <c r="AB521" i="1"/>
  <c r="AB320" i="1"/>
  <c r="AB505" i="1"/>
  <c r="AB371" i="1"/>
  <c r="AB96" i="1"/>
  <c r="AB216" i="1"/>
  <c r="AB402" i="1"/>
  <c r="AB168" i="1"/>
  <c r="AB480" i="1"/>
  <c r="AB297" i="1"/>
  <c r="AB512" i="1"/>
  <c r="AB170" i="1"/>
  <c r="AB267" i="1"/>
  <c r="AB394" i="1"/>
  <c r="AB186" i="1"/>
  <c r="AB118" i="1"/>
  <c r="AB430" i="1"/>
  <c r="AB299" i="1"/>
  <c r="AB479" i="1"/>
  <c r="AB185" i="1"/>
  <c r="AB588" i="1"/>
  <c r="AB374" i="1"/>
  <c r="AB243" i="1"/>
  <c r="AB197" i="1"/>
  <c r="AB109" i="1"/>
  <c r="AB46" i="1"/>
  <c r="AB217" i="1"/>
  <c r="AB103" i="1"/>
  <c r="AB556" i="1"/>
  <c r="AB269" i="1"/>
  <c r="AB268" i="1"/>
  <c r="AB20" i="1"/>
  <c r="AB388" i="1"/>
  <c r="AB188" i="1"/>
  <c r="AB141" i="1"/>
  <c r="AB392" i="1"/>
  <c r="AB358" i="1"/>
  <c r="AB124" i="1"/>
  <c r="AB36" i="1"/>
  <c r="AB74" i="1"/>
  <c r="AB572" i="1"/>
  <c r="AB466" i="1"/>
  <c r="AB295" i="1"/>
  <c r="AB28" i="1"/>
  <c r="AB276" i="1"/>
  <c r="AB121" i="1"/>
  <c r="AB211" i="1"/>
  <c r="AB203" i="1"/>
  <c r="AB258" i="1"/>
  <c r="AB321" i="1"/>
  <c r="AB162" i="1"/>
  <c r="AB419" i="1"/>
  <c r="AB365" i="1"/>
  <c r="AB322" i="1"/>
  <c r="AB369" i="1"/>
  <c r="AB272" i="1"/>
  <c r="AB106" i="1"/>
  <c r="AB312" i="1"/>
  <c r="AB161" i="1"/>
  <c r="AB293" i="1"/>
  <c r="AB549" i="1"/>
  <c r="AB87" i="1"/>
  <c r="AB452" i="1"/>
  <c r="AB38" i="1"/>
  <c r="AB341" i="1"/>
  <c r="AB72" i="1"/>
  <c r="E4" i="1"/>
  <c r="D5" i="1" s="1"/>
  <c r="G4" i="1" s="1"/>
  <c r="E3" i="1"/>
  <c r="H4" i="2"/>
  <c r="H428" i="2"/>
  <c r="Y684" i="1"/>
  <c r="Y641" i="1"/>
  <c r="Y678" i="1"/>
  <c r="Y635" i="1"/>
  <c r="Y682" i="1"/>
  <c r="Y697" i="1"/>
  <c r="Y690" i="1"/>
  <c r="Y634" i="1"/>
  <c r="Y643" i="1"/>
  <c r="Y683" i="1"/>
  <c r="Y639" i="1"/>
  <c r="Y680" i="1"/>
  <c r="Y640" i="1"/>
  <c r="Y625" i="1"/>
  <c r="Y619" i="1"/>
  <c r="Y669" i="1"/>
  <c r="Y662" i="1"/>
  <c r="Y604" i="1"/>
  <c r="Y601" i="1"/>
  <c r="Y646" i="1"/>
  <c r="Y633" i="1"/>
  <c r="Y638" i="1"/>
  <c r="Y624" i="1"/>
  <c r="Y691" i="1"/>
  <c r="Y653" i="1"/>
  <c r="Y628" i="1"/>
  <c r="Y615" i="1"/>
  <c r="Y626" i="1"/>
  <c r="Y698" i="1"/>
  <c r="Y618" i="1"/>
  <c r="Y685" i="1"/>
  <c r="Y647" i="1"/>
  <c r="Y610" i="1"/>
  <c r="Y686" i="1"/>
  <c r="Y645" i="1"/>
  <c r="Y668" i="1"/>
  <c r="Y667" i="1"/>
  <c r="Y656" i="1"/>
  <c r="Y664" i="1"/>
  <c r="Y681" i="1"/>
  <c r="Y694" i="1"/>
  <c r="Y699" i="1"/>
  <c r="Y644" i="1"/>
  <c r="Y679" i="1"/>
  <c r="Y666" i="1"/>
  <c r="Y649" i="1"/>
  <c r="Y695" i="1"/>
  <c r="Y623" i="1"/>
  <c r="Y652" i="1"/>
  <c r="Y663" i="1"/>
  <c r="Y676" i="1"/>
  <c r="Y675" i="1"/>
  <c r="Y632" i="1"/>
  <c r="Y661" i="1"/>
  <c r="Y660" i="1"/>
  <c r="Y637" i="1"/>
  <c r="Y689" i="1"/>
  <c r="Y617" i="1"/>
  <c r="Y602" i="1"/>
  <c r="Y655" i="1"/>
  <c r="Y657" i="1"/>
  <c r="Y692" i="1"/>
  <c r="Y621" i="1"/>
  <c r="Y611" i="1"/>
  <c r="Y616" i="1"/>
  <c r="Y608" i="1"/>
  <c r="Y648" i="1"/>
  <c r="Y677" i="1"/>
  <c r="Y605" i="1"/>
  <c r="Y627" i="1"/>
  <c r="Y687" i="1"/>
  <c r="Y674" i="1"/>
  <c r="Y622" i="1"/>
  <c r="Y607" i="1"/>
  <c r="Y642" i="1"/>
  <c r="Y613" i="1"/>
  <c r="Y671" i="1"/>
  <c r="Y612" i="1"/>
  <c r="Y696" i="1"/>
  <c r="Y693" i="1"/>
  <c r="Y672" i="1"/>
  <c r="Y629" i="1"/>
  <c r="Y614" i="1"/>
  <c r="Y673" i="1"/>
  <c r="Y606" i="1"/>
  <c r="Y658" i="1"/>
  <c r="Y620" i="1"/>
  <c r="Y654" i="1"/>
  <c r="Y631" i="1"/>
  <c r="Y603" i="1"/>
  <c r="Y609" i="1"/>
  <c r="Y688" i="1"/>
  <c r="Y636" i="1"/>
  <c r="Y665" i="1"/>
  <c r="Y670" i="1"/>
  <c r="Y651" i="1"/>
  <c r="Y650" i="1"/>
  <c r="Y630" i="1"/>
  <c r="Y659" i="1"/>
  <c r="AB18" i="1" a="1"/>
  <c r="AB17" i="1" a="1"/>
  <c r="AB16" i="1" a="1"/>
  <c r="AB13" i="1" a="1"/>
  <c r="AB15" i="1" a="1"/>
  <c r="AB14" i="1" a="1"/>
  <c r="AB12" i="1" a="1"/>
  <c r="AB11" i="1" a="1"/>
  <c r="AC589" i="1" a="1"/>
  <c r="AC504" i="1" a="1"/>
  <c r="AC64" i="1" a="1"/>
  <c r="AC467" i="1" a="1"/>
  <c r="AC510" i="1" a="1"/>
  <c r="AC180" i="1" a="1"/>
  <c r="AC314" i="1" a="1"/>
  <c r="AC131" i="1" a="1"/>
  <c r="AC255" i="1" a="1"/>
  <c r="AC499" i="1" a="1"/>
  <c r="AC235" i="1" a="1"/>
  <c r="AC247" i="1" a="1"/>
  <c r="AC50" i="1" a="1"/>
  <c r="AC464" i="1" a="1"/>
  <c r="AC195" i="1" a="1"/>
  <c r="AC449" i="1" a="1"/>
  <c r="AC279" i="1" a="1"/>
  <c r="AC221" i="1" a="1"/>
  <c r="AC26" i="1" a="1"/>
  <c r="AC562" i="1" a="1"/>
  <c r="AC474" i="1" a="1"/>
  <c r="AC167" i="1" a="1"/>
  <c r="AC410" i="1" a="1"/>
  <c r="AC19" i="1" a="1"/>
  <c r="AC22" i="1" a="1"/>
  <c r="AC187" i="1" a="1"/>
  <c r="AC220" i="1" a="1"/>
  <c r="AC533" i="1" a="1"/>
  <c r="AC54" i="1" a="1"/>
  <c r="AC164" i="1" a="1"/>
  <c r="AC160" i="1" a="1"/>
  <c r="AC543" i="1" a="1"/>
  <c r="AC238" i="1" a="1"/>
  <c r="AC594" i="1" a="1"/>
  <c r="AC354" i="1" a="1"/>
  <c r="AC353" i="1" a="1"/>
  <c r="AC318" i="1" a="1"/>
  <c r="AC289" i="1" a="1"/>
  <c r="AC84" i="1" a="1"/>
  <c r="AC431" i="1" a="1"/>
  <c r="AC401" i="1" a="1"/>
  <c r="AC371" i="1" a="1"/>
  <c r="AC118" i="1" a="1"/>
  <c r="AC103" i="1" a="1"/>
  <c r="AC74" i="1" a="1"/>
  <c r="AC419" i="1" a="1"/>
  <c r="AC38" i="1" a="1"/>
  <c r="AC551" i="1" a="1"/>
  <c r="AC400" i="1" a="1"/>
  <c r="AC406" i="1" a="1"/>
  <c r="AC351" i="1" a="1"/>
  <c r="AC225" i="1" a="1"/>
  <c r="AC407" i="1" a="1"/>
  <c r="AC536" i="1" a="1"/>
  <c r="AC497" i="1" a="1"/>
  <c r="AC359" i="1" a="1"/>
  <c r="AC570" i="1" a="1"/>
  <c r="AC592" i="1" a="1"/>
  <c r="AC537" i="1" a="1"/>
  <c r="AC524" i="1" a="1"/>
  <c r="AC377" i="1" a="1"/>
  <c r="AC473" i="1" a="1"/>
  <c r="AC20" i="1" a="1"/>
  <c r="AC137" i="1" a="1"/>
  <c r="AC133" i="1" a="1"/>
  <c r="AC25" i="1" a="1"/>
  <c r="AC212" i="1" a="1"/>
  <c r="AC489" i="1" a="1"/>
  <c r="AC472" i="1" a="1"/>
  <c r="AC349" i="1" a="1"/>
  <c r="AC194" i="1" a="1"/>
  <c r="AC530" i="1" a="1"/>
  <c r="AC69" i="1" a="1"/>
  <c r="AC501" i="1" a="1"/>
  <c r="AC307" i="1" a="1"/>
  <c r="AC388" i="1" a="1"/>
  <c r="AC237" i="1" a="1"/>
  <c r="AC555" i="1" a="1"/>
  <c r="AC413" i="1" a="1"/>
  <c r="AC350" i="1" a="1"/>
  <c r="AC149" i="1" a="1"/>
  <c r="AC329" i="1" a="1"/>
  <c r="AC567" i="1" a="1"/>
  <c r="AC403" i="1" a="1"/>
  <c r="AC188" i="1" a="1"/>
  <c r="AC129" i="1" a="1"/>
  <c r="AC273" i="1" a="1"/>
  <c r="AC370" i="1" a="1"/>
  <c r="AC559" i="1" a="1"/>
  <c r="AC210" i="1" a="1"/>
  <c r="AC580" i="1" a="1"/>
  <c r="AC281" i="1" a="1"/>
  <c r="AC427" i="1" a="1"/>
  <c r="AC454" i="1" a="1"/>
  <c r="AC488" i="1" a="1"/>
  <c r="AC518" i="1" a="1"/>
  <c r="AC294" i="1" a="1"/>
  <c r="AC193" i="1" a="1"/>
  <c r="AC110" i="1" a="1"/>
  <c r="AC243" i="1" a="1"/>
  <c r="AC211" i="1" a="1"/>
  <c r="AC27" i="1" a="1"/>
  <c r="AC561" i="1" a="1"/>
  <c r="AC284" i="1" a="1"/>
  <c r="AC139" i="1" a="1"/>
  <c r="AC552" i="1" a="1"/>
  <c r="AC448" i="1" a="1"/>
  <c r="AC163" i="1" a="1"/>
  <c r="AC513" i="1" a="1"/>
  <c r="AC596" i="1" a="1"/>
  <c r="AC421" i="1" a="1"/>
  <c r="AC392" i="1" a="1"/>
  <c r="AC171" i="1" a="1"/>
  <c r="AC425" i="1" a="1"/>
  <c r="AC364" i="1" a="1"/>
  <c r="AC49" i="1" a="1"/>
  <c r="AC183" i="1" a="1"/>
  <c r="AC319" i="1" a="1"/>
  <c r="AC236" i="1" a="1"/>
  <c r="AC435" i="1" a="1"/>
  <c r="AC521" i="1" a="1"/>
  <c r="AC258" i="1" a="1"/>
  <c r="AC190" i="1" a="1"/>
  <c r="AC455" i="1" a="1"/>
  <c r="AC516" i="1" a="1"/>
  <c r="AC439" i="1" a="1"/>
  <c r="AC360" i="1" a="1"/>
  <c r="AC595" i="1" a="1"/>
  <c r="AC345" i="1" a="1"/>
  <c r="AC539" i="1" a="1"/>
  <c r="AC252" i="1" a="1"/>
  <c r="AC438" i="1" a="1"/>
  <c r="AC94" i="1" a="1"/>
  <c r="AC107" i="1" a="1"/>
  <c r="AC287" i="1" a="1"/>
  <c r="AC587" i="1" a="1"/>
  <c r="AC320" i="1" a="1"/>
  <c r="AC87" i="1" a="1"/>
  <c r="AC89" i="1" a="1"/>
  <c r="AC174" i="1" a="1"/>
  <c r="AC214" i="1" a="1"/>
  <c r="AC405" i="1" a="1"/>
  <c r="AC375" i="1" a="1"/>
  <c r="AC565" i="1" a="1"/>
  <c r="AC471" i="1" a="1"/>
  <c r="AC525" i="1" a="1"/>
  <c r="AC451" i="1" a="1"/>
  <c r="AC186" i="1" a="1"/>
  <c r="AC162" i="1" a="1"/>
  <c r="AC172" i="1" a="1"/>
  <c r="AC199" i="1" a="1"/>
  <c r="AC42" i="1" a="1"/>
  <c r="AC527" i="1" a="1"/>
  <c r="AC550" i="1" a="1"/>
  <c r="AC500" i="1" a="1"/>
  <c r="AC47" i="1" a="1"/>
  <c r="AC99" i="1" a="1"/>
  <c r="AC485" i="1" a="1"/>
  <c r="AC156" i="1" a="1"/>
  <c r="AC340" i="1" a="1"/>
  <c r="AC290" i="1" a="1"/>
  <c r="AC305" i="1" a="1"/>
  <c r="AC581" i="1" a="1"/>
  <c r="AC108" i="1" a="1"/>
  <c r="AC423" i="1" a="1"/>
  <c r="AC230" i="1" a="1"/>
  <c r="AC343" i="1" a="1"/>
  <c r="AC404" i="1" a="1"/>
  <c r="AC436" i="1" a="1"/>
  <c r="AC262" i="1" a="1"/>
  <c r="AC202" i="1" a="1"/>
  <c r="AC560" i="1" a="1"/>
  <c r="AC88" i="1" a="1"/>
  <c r="AC45" i="1" a="1"/>
  <c r="AC355" i="1" a="1"/>
  <c r="AC182" i="1" a="1"/>
  <c r="AC437" i="1" a="1"/>
  <c r="AC457" i="1" a="1"/>
  <c r="AC575" i="1" a="1"/>
  <c r="AC515" i="1" a="1"/>
  <c r="AC179" i="1" a="1"/>
  <c r="AC582" i="1" a="1"/>
  <c r="AC150" i="1" a="1"/>
  <c r="AC246" i="1" a="1"/>
  <c r="AC465" i="1" a="1"/>
  <c r="AC40" i="1" a="1"/>
  <c r="AC490" i="1" a="1"/>
  <c r="AC597" i="1" a="1"/>
  <c r="AC395" i="1" a="1"/>
  <c r="AC104" i="1" a="1"/>
  <c r="AC534" i="1" a="1"/>
  <c r="AC37" i="1" a="1"/>
  <c r="AC96" i="1" a="1"/>
  <c r="AC430" i="1" a="1"/>
  <c r="AC556" i="1" a="1"/>
  <c r="AC572" i="1" a="1"/>
  <c r="AC365" i="1" a="1"/>
  <c r="AC341" i="1" a="1"/>
  <c r="AC35" i="1" a="1"/>
  <c r="AC151" i="1" a="1"/>
  <c r="AC571" i="1" a="1"/>
  <c r="AC428" i="1" a="1"/>
  <c r="AC51" i="1" a="1"/>
  <c r="AC381" i="1" a="1"/>
  <c r="AC105" i="1" a="1"/>
  <c r="AC590" i="1" a="1"/>
  <c r="AC218" i="1" a="1"/>
  <c r="AC422" i="1" a="1"/>
  <c r="AC304" i="1" a="1"/>
  <c r="AC185" i="1" a="1"/>
  <c r="AC148" i="1" a="1"/>
  <c r="AC91" i="1" a="1"/>
  <c r="AC301" i="1" a="1"/>
  <c r="AC264" i="1" a="1"/>
  <c r="AC332" i="1" a="1"/>
  <c r="AC95" i="1" a="1"/>
  <c r="AC528" i="1" a="1"/>
  <c r="AC152" i="1" a="1"/>
  <c r="AC531" i="1" a="1"/>
  <c r="AC234" i="1" a="1"/>
  <c r="AC393" i="1" a="1"/>
  <c r="AC480" i="1" a="1"/>
  <c r="AC106" i="1" a="1"/>
  <c r="AC578" i="1" a="1"/>
  <c r="AC564" i="1" a="1"/>
  <c r="AC508" i="1" a="1"/>
  <c r="AC115" i="1" a="1"/>
  <c r="AC347" i="1" a="1"/>
  <c r="AC482" i="1" a="1"/>
  <c r="AC31" i="1" a="1"/>
  <c r="AC297" i="1" a="1"/>
  <c r="AC121" i="1" a="1"/>
  <c r="AC546" i="1" a="1"/>
  <c r="AC506" i="1" a="1"/>
  <c r="AC275" i="1" a="1"/>
  <c r="AC408" i="1" a="1"/>
  <c r="AC585" i="1" a="1"/>
  <c r="AC563" i="1" a="1"/>
  <c r="AC196" i="1" a="1"/>
  <c r="AC175" i="1" a="1"/>
  <c r="AC251" i="1" a="1"/>
  <c r="AC56" i="1" a="1"/>
  <c r="AC432" i="1" a="1"/>
  <c r="AC141" i="1" a="1"/>
  <c r="AC132" i="1" a="1"/>
  <c r="AC507" i="1" a="1"/>
  <c r="AC468" i="1" a="1"/>
  <c r="AC82" i="1" a="1"/>
  <c r="AC477" i="1" a="1"/>
  <c r="AC291" i="1" a="1"/>
  <c r="AC125" i="1" a="1"/>
  <c r="AC496" i="1" a="1"/>
  <c r="AC44" i="1" a="1"/>
  <c r="AC334" i="1" a="1"/>
  <c r="AC293" i="1" a="1"/>
  <c r="AC102" i="1" a="1"/>
  <c r="AC356" i="1" a="1"/>
  <c r="AC159" i="1" a="1"/>
  <c r="AC417" i="1" a="1"/>
  <c r="AC32" i="1" a="1"/>
  <c r="AC223" i="1" a="1"/>
  <c r="AC113" i="1" a="1"/>
  <c r="AC492" i="1" a="1"/>
  <c r="AC109" i="1" a="1"/>
  <c r="AC460" i="1" a="1"/>
  <c r="AC522" i="1" a="1"/>
  <c r="AC33" i="1" a="1"/>
  <c r="AC382" i="1" a="1"/>
  <c r="AC386" i="1" a="1"/>
  <c r="AC459" i="1" a="1"/>
  <c r="AC114" i="1" a="1"/>
  <c r="AC76" i="1" a="1"/>
  <c r="AC154" i="1" a="1"/>
  <c r="AC416" i="1" a="1"/>
  <c r="AC239" i="1" a="1"/>
  <c r="AC280" i="1" a="1"/>
  <c r="AC122" i="1" a="1"/>
  <c r="AC493" i="1" a="1"/>
  <c r="AC394" i="1" a="1"/>
  <c r="AC321" i="1" a="1"/>
  <c r="AC283" i="1" a="1"/>
  <c r="AC363" i="1" a="1"/>
  <c r="AC143" i="1" a="1"/>
  <c r="AC213" i="1" a="1"/>
  <c r="AC309" i="1" a="1"/>
  <c r="AC204" i="1" a="1"/>
  <c r="AC566" i="1" a="1"/>
  <c r="AC505" i="1" a="1"/>
  <c r="AC452" i="1" a="1"/>
  <c r="AC112" i="1" a="1"/>
  <c r="AC553" i="1" a="1"/>
  <c r="AC383" i="1" a="1"/>
  <c r="AC598" i="1" a="1"/>
  <c r="AC61" i="1" a="1"/>
  <c r="AC53" i="1" a="1"/>
  <c r="AC266" i="1" a="1"/>
  <c r="AC260" i="1" a="1"/>
  <c r="AC278" i="1" a="1"/>
  <c r="AC155" i="1" a="1"/>
  <c r="AC574" i="1" a="1"/>
  <c r="AC201" i="1" a="1"/>
  <c r="AC511" i="1" a="1"/>
  <c r="AC519" i="1" a="1"/>
  <c r="AC418" i="1" a="1"/>
  <c r="AC176" i="1" a="1"/>
  <c r="AC348" i="1" a="1"/>
  <c r="AC23" i="1" a="1"/>
  <c r="AC378" i="1" a="1"/>
  <c r="AC90" i="1" a="1"/>
  <c r="AC389" i="1" a="1"/>
  <c r="AC120" i="1" a="1"/>
  <c r="AC456" i="1" a="1"/>
  <c r="AC70" i="1" a="1"/>
  <c r="AC62" i="1" a="1"/>
  <c r="AC458" i="1" a="1"/>
  <c r="AC444" i="1" a="1"/>
  <c r="AC325" i="1" a="1"/>
  <c r="AC327" i="1" a="1"/>
  <c r="AC372" i="1" a="1"/>
  <c r="AC209" i="1" a="1"/>
  <c r="AC142" i="1" a="1"/>
  <c r="AC92" i="1" a="1"/>
  <c r="AC274" i="1" a="1"/>
  <c r="AC426" i="1" a="1"/>
  <c r="AC85" i="1" a="1"/>
  <c r="AC127" i="1" a="1"/>
  <c r="AC296" i="1" a="1"/>
  <c r="AC390" i="1" a="1"/>
  <c r="AC292" i="1" a="1"/>
  <c r="AC447" i="1" a="1"/>
  <c r="AC569" i="1" a="1"/>
  <c r="AC157" i="1" a="1"/>
  <c r="AC443" i="1" a="1"/>
  <c r="AC216" i="1" a="1"/>
  <c r="AC299" i="1" a="1"/>
  <c r="AC269" i="1" a="1"/>
  <c r="AC466" i="1" a="1"/>
  <c r="AC322" i="1" a="1"/>
  <c r="AC72" i="1" a="1"/>
  <c r="AC146" i="1" a="1"/>
  <c r="AC282" i="1" a="1"/>
  <c r="AC481" i="1" a="1"/>
  <c r="AC336" i="1" a="1"/>
  <c r="AC165" i="1" a="1"/>
  <c r="AC136" i="1" a="1"/>
  <c r="AC333" i="1" a="1"/>
  <c r="AC357" i="1" a="1"/>
  <c r="AC376" i="1" a="1"/>
  <c r="AC168" i="1" a="1"/>
  <c r="AC272" i="1" a="1"/>
  <c r="AC265" i="1" a="1"/>
  <c r="AC245" i="1" a="1"/>
  <c r="AC277" i="1" a="1"/>
  <c r="AC399" i="1" a="1"/>
  <c r="AC579" i="1" a="1"/>
  <c r="AC548" i="1" a="1"/>
  <c r="AC52" i="1" a="1"/>
  <c r="AC391" i="1" a="1"/>
  <c r="AC169" i="1" a="1"/>
  <c r="AC558" i="1" a="1"/>
  <c r="AC588" i="1" a="1"/>
  <c r="AC41" i="1" a="1"/>
  <c r="AC542" i="1" a="1"/>
  <c r="AC424" i="1" a="1"/>
  <c r="AC208" i="1" a="1"/>
  <c r="AC517" i="1" a="1"/>
  <c r="AC231" i="1" a="1"/>
  <c r="AC491" i="1" a="1"/>
  <c r="AC450" i="1" a="1"/>
  <c r="AC335" i="1" a="1"/>
  <c r="AC263" i="1" a="1"/>
  <c r="AC244" i="1" a="1"/>
  <c r="AC453" i="1" a="1"/>
  <c r="AC63" i="1" a="1"/>
  <c r="AC312" i="1" a="1"/>
  <c r="AC396" i="1" a="1"/>
  <c r="AC397" i="1" a="1"/>
  <c r="AC254" i="1" a="1"/>
  <c r="AC153" i="1" a="1"/>
  <c r="AC288" i="1" a="1"/>
  <c r="AC323" i="1" a="1"/>
  <c r="AC434" i="1" a="1"/>
  <c r="AC535" i="1" a="1"/>
  <c r="AC205" i="1" a="1"/>
  <c r="AC512" i="1" a="1"/>
  <c r="AC462" i="1" a="1"/>
  <c r="AC368" i="1" a="1"/>
  <c r="AC498" i="1" a="1"/>
  <c r="AC206" i="1" a="1"/>
  <c r="AC440" i="1" a="1"/>
  <c r="AC249" i="1" a="1"/>
  <c r="AC557" i="1" a="1"/>
  <c r="AC540" i="1" a="1"/>
  <c r="AC342" i="1" a="1"/>
  <c r="AC197" i="1" a="1"/>
  <c r="AC228" i="1" a="1"/>
  <c r="AC97" i="1" a="1"/>
  <c r="AC198" i="1" a="1"/>
  <c r="AC300" i="1" a="1"/>
  <c r="AC140" i="1" a="1"/>
  <c r="AC232" i="1" a="1"/>
  <c r="AC362" i="1" a="1"/>
  <c r="AC433" i="1" a="1"/>
  <c r="AC338" i="1" a="1"/>
  <c r="AC250" i="1" a="1"/>
  <c r="AC398" i="1" a="1"/>
  <c r="AC267" i="1" a="1"/>
  <c r="AC549" i="1" a="1"/>
  <c r="AC178" i="1" a="1"/>
  <c r="AC58" i="1" a="1"/>
  <c r="AC415" i="1" a="1"/>
  <c r="AC93" i="1" a="1"/>
  <c r="AC326" i="1" a="1"/>
  <c r="AC80" i="1" a="1"/>
  <c r="AC229" i="1" a="1"/>
  <c r="AC81" i="1" a="1"/>
  <c r="AC46" i="1" a="1"/>
  <c r="AC101" i="1" a="1"/>
  <c r="AC192" i="1" a="1"/>
  <c r="AC380" i="1" a="1"/>
  <c r="AC310" i="1" a="1"/>
  <c r="AC523" i="1" a="1"/>
  <c r="AC484" i="1" a="1"/>
  <c r="AC79" i="1" a="1"/>
  <c r="AC57" i="1" a="1"/>
  <c r="AC529" i="1" a="1"/>
  <c r="AC494" i="1" a="1"/>
  <c r="AC166" i="1" a="1"/>
  <c r="AC367" i="1" a="1"/>
  <c r="AC324" i="1" a="1"/>
  <c r="AC36" i="1" a="1"/>
  <c r="AC184" i="1" a="1"/>
  <c r="AC576" i="1" a="1"/>
  <c r="AC526" i="1" a="1"/>
  <c r="AC502" i="1" a="1"/>
  <c r="AC317" i="1" a="1"/>
  <c r="AC43" i="1" a="1"/>
  <c r="AC414" i="1" a="1"/>
  <c r="AC411" i="1" a="1"/>
  <c r="AC361" i="1" a="1"/>
  <c r="AC470" i="1" a="1"/>
  <c r="AC181" i="1" a="1"/>
  <c r="AC145" i="1" a="1"/>
  <c r="AC67" i="1" a="1"/>
  <c r="AC30" i="1" a="1"/>
  <c r="AC59" i="1" a="1"/>
  <c r="AC111" i="1" a="1"/>
  <c r="AC469" i="1" a="1"/>
  <c r="AC583" i="1" a="1"/>
  <c r="AC242" i="1" a="1"/>
  <c r="AC509" i="1" a="1"/>
  <c r="AC119" i="1" a="1"/>
  <c r="AC158" i="1" a="1"/>
  <c r="AC483" i="1" a="1"/>
  <c r="AC71" i="1" a="1"/>
  <c r="AC545" i="1" a="1"/>
  <c r="AC486" i="1" a="1"/>
  <c r="AC577" i="1" a="1"/>
  <c r="AC311" i="1" a="1"/>
  <c r="AC308" i="1" a="1"/>
  <c r="AC306" i="1" a="1"/>
  <c r="AC248" i="1" a="1"/>
  <c r="AC352" i="1" a="1"/>
  <c r="AC302" i="1" a="1"/>
  <c r="AC270" i="1" a="1"/>
  <c r="AC98" i="1" a="1"/>
  <c r="AC78" i="1" a="1"/>
  <c r="AC339" i="1" a="1"/>
  <c r="AC126" i="1" a="1"/>
  <c r="AC409" i="1" a="1"/>
  <c r="AC445" i="1" a="1"/>
  <c r="AC316" i="1" a="1"/>
  <c r="AC429" i="1" a="1"/>
  <c r="AC147" i="1" a="1"/>
  <c r="AC402" i="1" a="1"/>
  <c r="AC479" i="1" a="1"/>
  <c r="AC268" i="1" a="1"/>
  <c r="AC295" i="1" a="1"/>
  <c r="AC369" i="1" a="1"/>
  <c r="AC538" i="1" a="1"/>
  <c r="AC487" i="1" a="1"/>
  <c r="AC259" i="1" a="1"/>
  <c r="AC189" i="1" a="1"/>
  <c r="AC384" i="1" a="1"/>
  <c r="AC593" i="1" a="1"/>
  <c r="AC130" i="1" a="1"/>
  <c r="AC134" i="1" a="1"/>
  <c r="AC584" i="1" a="1"/>
  <c r="AC28" i="1" a="1"/>
  <c r="AC123" i="1" a="1"/>
  <c r="AC379" i="1" a="1"/>
  <c r="AC476" i="1" a="1"/>
  <c r="AC117" i="1" a="1"/>
  <c r="AC65" i="1" a="1"/>
  <c r="AC586" i="1" a="1"/>
  <c r="AC83" i="1" a="1"/>
  <c r="AC177" i="1" a="1"/>
  <c r="AC286" i="1" a="1"/>
  <c r="AC39" i="1" a="1"/>
  <c r="AC29" i="1" a="1"/>
  <c r="AC276" i="1" a="1"/>
  <c r="AC73" i="1" a="1"/>
  <c r="AC503" i="1" a="1"/>
  <c r="AC68" i="1" a="1"/>
  <c r="AC66" i="1" a="1"/>
  <c r="AC337" i="1" a="1"/>
  <c r="AC200" i="1" a="1"/>
  <c r="AC233" i="1" a="1"/>
  <c r="AC191" i="1" a="1"/>
  <c r="AC138" i="1" a="1"/>
  <c r="AC463" i="1" a="1"/>
  <c r="AC48" i="1" a="1"/>
  <c r="AC144" i="1" a="1"/>
  <c r="AC475" i="1" a="1"/>
  <c r="AC253" i="1" a="1"/>
  <c r="AC328" i="1" a="1"/>
  <c r="AC374" i="1" a="1"/>
  <c r="AC10" i="1" a="1"/>
  <c r="AC215" i="1" a="1"/>
  <c r="AC420" i="1" a="1"/>
  <c r="AC313" i="1" a="1"/>
  <c r="AC241" i="1" a="1"/>
  <c r="AC514" i="1" a="1"/>
  <c r="AC346" i="1" a="1"/>
  <c r="AC591" i="1" a="1"/>
  <c r="AC227" i="1" a="1"/>
  <c r="AC344" i="1" a="1"/>
  <c r="AC161" i="1" a="1"/>
  <c r="AC385" i="1" a="1"/>
  <c r="AC554" i="1" a="1"/>
  <c r="AC387" i="1" a="1"/>
  <c r="AC373" i="1" a="1"/>
  <c r="AC77" i="1" a="1"/>
  <c r="AC207" i="1" a="1"/>
  <c r="AC599" i="1" a="1"/>
  <c r="AC544" i="1" a="1"/>
  <c r="AC55" i="1" a="1"/>
  <c r="AC547" i="1" a="1"/>
  <c r="AC261" i="1" a="1"/>
  <c r="AC116" i="1" a="1"/>
  <c r="AC173" i="1" a="1"/>
  <c r="AC224" i="1" a="1"/>
  <c r="AC366" i="1" a="1"/>
  <c r="AC170" i="1" a="1"/>
  <c r="AC203" i="1" a="1"/>
  <c r="AC34" i="1" a="1"/>
  <c r="AC541" i="1" a="1"/>
  <c r="AC331" i="1" a="1"/>
  <c r="AC256" i="1" a="1"/>
  <c r="AC442" i="1" a="1"/>
  <c r="AC9" i="1" a="1"/>
  <c r="AC75" i="1" a="1"/>
  <c r="AC298" i="1" a="1"/>
  <c r="AC271" i="1" a="1"/>
  <c r="AC495" i="1" a="1"/>
  <c r="AC257" i="1" a="1"/>
  <c r="AC520" i="1" a="1"/>
  <c r="AC532" i="1" a="1"/>
  <c r="AC412" i="1" a="1"/>
  <c r="AC219" i="1" a="1"/>
  <c r="AC358" i="1" a="1"/>
  <c r="AC24" i="1" a="1"/>
  <c r="AC478" i="1" a="1"/>
  <c r="AC222" i="1" a="1"/>
  <c r="AC226" i="1" a="1"/>
  <c r="AC441" i="1" a="1"/>
  <c r="AC315" i="1" a="1"/>
  <c r="AC124" i="1" a="1"/>
  <c r="AC303" i="1" a="1"/>
  <c r="AC285" i="1" a="1"/>
  <c r="AC240" i="1" a="1"/>
  <c r="AC461" i="1" a="1"/>
  <c r="AC330" i="1" a="1"/>
  <c r="AC86" i="1" a="1"/>
  <c r="AC60" i="1" a="1"/>
  <c r="AC573" i="1" a="1"/>
  <c r="AC100" i="1" a="1"/>
  <c r="AC135" i="1" a="1"/>
  <c r="AC446" i="1" a="1"/>
  <c r="AC21" i="1" a="1"/>
  <c r="AC128" i="1" a="1"/>
  <c r="AC568" i="1" a="1"/>
  <c r="AC217" i="1" a="1"/>
  <c r="Z654" i="1" a="1"/>
  <c r="Z693" i="1" a="1"/>
  <c r="Z698" i="1" a="1"/>
  <c r="Z644" i="1" a="1"/>
  <c r="Z688" i="1" a="1"/>
  <c r="Z697" i="1" a="1"/>
  <c r="Z695" i="1" a="1"/>
  <c r="Z646" i="1" a="1"/>
  <c r="Z642" i="1" a="1"/>
  <c r="Z620" i="1" a="1"/>
  <c r="Z622" i="1" a="1"/>
  <c r="Z682" i="1" a="1"/>
  <c r="Z663" i="1" a="1"/>
  <c r="Z626" i="1" a="1"/>
  <c r="Z668" i="1" a="1"/>
  <c r="Z679" i="1" a="1"/>
  <c r="Z667" i="1" a="1"/>
  <c r="Z647" i="1" a="1"/>
  <c r="Z650" i="1" a="1"/>
  <c r="Z659" i="1" a="1"/>
  <c r="Z613" i="1" a="1"/>
  <c r="Z624" i="1" a="1"/>
  <c r="Z612" i="1" a="1"/>
  <c r="Z657" i="1" a="1"/>
  <c r="Z680" i="1" a="1"/>
  <c r="Z641" i="1" a="1"/>
  <c r="Z630" i="1" a="1"/>
  <c r="Z652" i="1" a="1"/>
  <c r="Z686" i="1" a="1"/>
  <c r="Z678" i="1" a="1"/>
  <c r="Z673" i="1" a="1"/>
  <c r="Z606" i="1" a="1"/>
  <c r="Z635" i="1" a="1"/>
  <c r="Z631" i="1" a="1"/>
  <c r="Z640" i="1" a="1"/>
  <c r="Z671" i="1" a="1"/>
  <c r="Z648" i="1" a="1"/>
  <c r="Z633" i="1" a="1"/>
  <c r="Z609" i="1" a="1"/>
  <c r="Z607" i="1" a="1"/>
  <c r="Z616" i="1" a="1"/>
  <c r="Z629" i="1" a="1"/>
  <c r="Z611" i="1" a="1"/>
  <c r="Z691" i="1" a="1"/>
  <c r="Z689" i="1" a="1"/>
  <c r="Z604" i="1" a="1"/>
  <c r="Z690" i="1" a="1"/>
  <c r="Z617" i="1" a="1"/>
  <c r="Z681" i="1" a="1"/>
  <c r="Z661" i="1" a="1"/>
  <c r="Z656" i="1" a="1"/>
  <c r="Z665" i="1" a="1"/>
  <c r="Z601" i="1" a="1"/>
  <c r="Z664" i="1" a="1"/>
  <c r="Z627" i="1" a="1"/>
  <c r="Z677" i="1" a="1"/>
  <c r="Z649" i="1" a="1"/>
  <c r="Z672" i="1" a="1"/>
  <c r="Z632" i="1" a="1"/>
  <c r="Z615" i="1" a="1"/>
  <c r="Z662" i="1" a="1"/>
  <c r="Z610" i="1" a="1"/>
  <c r="Z675" i="1" a="1"/>
  <c r="Z634" i="1" a="1"/>
  <c r="Z628" i="1" a="1"/>
  <c r="Z660" i="1" a="1"/>
  <c r="Z666" i="1" a="1"/>
  <c r="Z608" i="1" a="1"/>
  <c r="Z674" i="1" a="1"/>
  <c r="Z694" i="1" a="1"/>
  <c r="Z653" i="1" a="1"/>
  <c r="Z605" i="1" a="1"/>
  <c r="Z685" i="1" a="1"/>
  <c r="Z655" i="1" a="1"/>
  <c r="Z618" i="1" a="1"/>
  <c r="Z637" i="1" a="1"/>
  <c r="Z676" i="1" a="1"/>
  <c r="Z684" i="1" a="1"/>
  <c r="Z699" i="1" a="1"/>
  <c r="Z623" i="1" a="1"/>
  <c r="Z619" i="1" a="1"/>
  <c r="Z669" i="1" a="1"/>
  <c r="Z614" i="1" a="1"/>
  <c r="Z643" i="1" a="1"/>
  <c r="Z670" i="1" a="1"/>
  <c r="Z645" i="1" a="1"/>
  <c r="Z636" i="1" a="1"/>
  <c r="Z651" i="1" a="1"/>
  <c r="Z625" i="1" a="1"/>
  <c r="Z602" i="1" a="1"/>
  <c r="Z658" i="1" a="1"/>
  <c r="Z683" i="1" a="1"/>
  <c r="Z687" i="1" a="1"/>
  <c r="Z638" i="1" a="1"/>
  <c r="Z603" i="1" a="1"/>
  <c r="Z621" i="1" a="1"/>
  <c r="Z639" i="1" a="1"/>
  <c r="Z696" i="1" a="1"/>
  <c r="Z692" i="1" a="1"/>
  <c r="AB17" i="1" l="1"/>
  <c r="AB18" i="1"/>
  <c r="AB16" i="1"/>
  <c r="AB14" i="1"/>
  <c r="AB15" i="1"/>
  <c r="AB13" i="1"/>
  <c r="AB12" i="1"/>
  <c r="AB11" i="1"/>
  <c r="AC217" i="1"/>
  <c r="AC568" i="1"/>
  <c r="AC128" i="1"/>
  <c r="AC21" i="1"/>
  <c r="AC446" i="1"/>
  <c r="AC135" i="1"/>
  <c r="AC100" i="1"/>
  <c r="AC573" i="1"/>
  <c r="AC60" i="1"/>
  <c r="AC86" i="1"/>
  <c r="AC330" i="1"/>
  <c r="AC461" i="1"/>
  <c r="AC240" i="1"/>
  <c r="AC285" i="1"/>
  <c r="AC303" i="1"/>
  <c r="AC124" i="1"/>
  <c r="AC315" i="1"/>
  <c r="AC441" i="1"/>
  <c r="AC226" i="1"/>
  <c r="AC222" i="1"/>
  <c r="AC478" i="1"/>
  <c r="AC24" i="1"/>
  <c r="AC358" i="1"/>
  <c r="AC219" i="1"/>
  <c r="AC412" i="1"/>
  <c r="AC532" i="1"/>
  <c r="AC520" i="1"/>
  <c r="AC257" i="1"/>
  <c r="AC495" i="1"/>
  <c r="AC271" i="1"/>
  <c r="AC298" i="1"/>
  <c r="AC75" i="1"/>
  <c r="AC9" i="1"/>
  <c r="AC442" i="1"/>
  <c r="AC256" i="1"/>
  <c r="AC331" i="1"/>
  <c r="AC541" i="1"/>
  <c r="AC34" i="1"/>
  <c r="AC203" i="1"/>
  <c r="AC170" i="1"/>
  <c r="AC366" i="1"/>
  <c r="AC224" i="1"/>
  <c r="AC173" i="1"/>
  <c r="AC116" i="1"/>
  <c r="AC261" i="1"/>
  <c r="AC547" i="1"/>
  <c r="AC55" i="1"/>
  <c r="AC544" i="1"/>
  <c r="AC599" i="1"/>
  <c r="AC207" i="1"/>
  <c r="AC77" i="1"/>
  <c r="AC373" i="1"/>
  <c r="AC387" i="1"/>
  <c r="AC554" i="1"/>
  <c r="AC385" i="1"/>
  <c r="AC161" i="1"/>
  <c r="AC344" i="1"/>
  <c r="AC227" i="1"/>
  <c r="AC591" i="1"/>
  <c r="AC346" i="1"/>
  <c r="AC514" i="1"/>
  <c r="AC241" i="1"/>
  <c r="AC313" i="1"/>
  <c r="AC420" i="1"/>
  <c r="AC215" i="1"/>
  <c r="AC10" i="1"/>
  <c r="AC374" i="1"/>
  <c r="AC328" i="1"/>
  <c r="AC253" i="1"/>
  <c r="AC475" i="1"/>
  <c r="AC144" i="1"/>
  <c r="AC48" i="1"/>
  <c r="AC463" i="1"/>
  <c r="AC138" i="1"/>
  <c r="AC191" i="1"/>
  <c r="AC233" i="1"/>
  <c r="AC200" i="1"/>
  <c r="AC337" i="1"/>
  <c r="AC66" i="1"/>
  <c r="AC68" i="1"/>
  <c r="AC503" i="1"/>
  <c r="AC73" i="1"/>
  <c r="AC276" i="1"/>
  <c r="AC29" i="1"/>
  <c r="AC39" i="1"/>
  <c r="AC286" i="1"/>
  <c r="AC177" i="1"/>
  <c r="AC83" i="1"/>
  <c r="AC586" i="1"/>
  <c r="AC65" i="1"/>
  <c r="AC117" i="1"/>
  <c r="AC476" i="1"/>
  <c r="AC379" i="1"/>
  <c r="AC123" i="1"/>
  <c r="AC28" i="1"/>
  <c r="AC584" i="1"/>
  <c r="AC134" i="1"/>
  <c r="AC130" i="1"/>
  <c r="AC593" i="1"/>
  <c r="AC384" i="1"/>
  <c r="AC189" i="1"/>
  <c r="AC259" i="1"/>
  <c r="AC487" i="1"/>
  <c r="AC538" i="1"/>
  <c r="AC369" i="1"/>
  <c r="AC295" i="1"/>
  <c r="AC268" i="1"/>
  <c r="AC479" i="1"/>
  <c r="AC402" i="1"/>
  <c r="AC147" i="1"/>
  <c r="AC429" i="1"/>
  <c r="AC316" i="1"/>
  <c r="AC445" i="1"/>
  <c r="AC409" i="1"/>
  <c r="AC126" i="1"/>
  <c r="AC339" i="1"/>
  <c r="AC78" i="1"/>
  <c r="AC98" i="1"/>
  <c r="AC270" i="1"/>
  <c r="AC302" i="1"/>
  <c r="AC352" i="1"/>
  <c r="AC248" i="1"/>
  <c r="AC306" i="1"/>
  <c r="AC308" i="1"/>
  <c r="AC311" i="1"/>
  <c r="AC577" i="1"/>
  <c r="AC486" i="1"/>
  <c r="AC545" i="1"/>
  <c r="AC71" i="1"/>
  <c r="AC483" i="1"/>
  <c r="AC158" i="1"/>
  <c r="AC119" i="1"/>
  <c r="AC509" i="1"/>
  <c r="AC242" i="1"/>
  <c r="AC583" i="1"/>
  <c r="AC469" i="1"/>
  <c r="AC111" i="1"/>
  <c r="AC59" i="1"/>
  <c r="AC30" i="1"/>
  <c r="AC67" i="1"/>
  <c r="AC145" i="1"/>
  <c r="AC181" i="1"/>
  <c r="AC470" i="1"/>
  <c r="AC361" i="1"/>
  <c r="AC411" i="1"/>
  <c r="AC414" i="1"/>
  <c r="AC43" i="1"/>
  <c r="AC317" i="1"/>
  <c r="AC502" i="1"/>
  <c r="AC526" i="1"/>
  <c r="AC576" i="1"/>
  <c r="AC184" i="1"/>
  <c r="AC36" i="1"/>
  <c r="AC324" i="1"/>
  <c r="AC367" i="1"/>
  <c r="AC166" i="1"/>
  <c r="AC494" i="1"/>
  <c r="AC529" i="1"/>
  <c r="AC57" i="1"/>
  <c r="AC79" i="1"/>
  <c r="AC484" i="1"/>
  <c r="AC523" i="1"/>
  <c r="AC310" i="1"/>
  <c r="AC380" i="1"/>
  <c r="AC192" i="1"/>
  <c r="AC101" i="1"/>
  <c r="AC46" i="1"/>
  <c r="AC81" i="1"/>
  <c r="AC229" i="1"/>
  <c r="AC80" i="1"/>
  <c r="AC326" i="1"/>
  <c r="AC93" i="1"/>
  <c r="AC415" i="1"/>
  <c r="AC58" i="1"/>
  <c r="AC178" i="1"/>
  <c r="AC549" i="1"/>
  <c r="AC267" i="1"/>
  <c r="AC398" i="1"/>
  <c r="AC250" i="1"/>
  <c r="AC338" i="1"/>
  <c r="AC433" i="1"/>
  <c r="AC362" i="1"/>
  <c r="AC232" i="1"/>
  <c r="AC140" i="1"/>
  <c r="AC300" i="1"/>
  <c r="AC198" i="1"/>
  <c r="AC97" i="1"/>
  <c r="AC228" i="1"/>
  <c r="AC197" i="1"/>
  <c r="AC342" i="1"/>
  <c r="AC540" i="1"/>
  <c r="AC557" i="1"/>
  <c r="AC249" i="1"/>
  <c r="AC440" i="1"/>
  <c r="AC206" i="1"/>
  <c r="AC498" i="1"/>
  <c r="AC368" i="1"/>
  <c r="AC462" i="1"/>
  <c r="AC512" i="1"/>
  <c r="AC205" i="1"/>
  <c r="AC535" i="1"/>
  <c r="AC434" i="1"/>
  <c r="AC323" i="1"/>
  <c r="AC288" i="1"/>
  <c r="AC153" i="1"/>
  <c r="AC254" i="1"/>
  <c r="AC397" i="1"/>
  <c r="AC396" i="1"/>
  <c r="AC312" i="1"/>
  <c r="AC63" i="1"/>
  <c r="AC453" i="1"/>
  <c r="AC244" i="1"/>
  <c r="AC263" i="1"/>
  <c r="AC335" i="1"/>
  <c r="AC450" i="1"/>
  <c r="AC491" i="1"/>
  <c r="AC231" i="1"/>
  <c r="AC517" i="1"/>
  <c r="AC208" i="1"/>
  <c r="AC424" i="1"/>
  <c r="AC542" i="1"/>
  <c r="AC41" i="1"/>
  <c r="AC588" i="1"/>
  <c r="AC558" i="1"/>
  <c r="AC169" i="1"/>
  <c r="AC391" i="1"/>
  <c r="AC52" i="1"/>
  <c r="AC548" i="1"/>
  <c r="AC579" i="1"/>
  <c r="AC399" i="1"/>
  <c r="AC277" i="1"/>
  <c r="AC245" i="1"/>
  <c r="AC265" i="1"/>
  <c r="AC272" i="1"/>
  <c r="AC168" i="1"/>
  <c r="AC376" i="1"/>
  <c r="AC357" i="1"/>
  <c r="AC333" i="1"/>
  <c r="AC136" i="1"/>
  <c r="AC165" i="1"/>
  <c r="AC336" i="1"/>
  <c r="AC481" i="1"/>
  <c r="AC282" i="1"/>
  <c r="AC146" i="1"/>
  <c r="AC72" i="1"/>
  <c r="AC322" i="1"/>
  <c r="AC466" i="1"/>
  <c r="AC269" i="1"/>
  <c r="AC299" i="1"/>
  <c r="AC216" i="1"/>
  <c r="AC443" i="1"/>
  <c r="AC157" i="1"/>
  <c r="AC569" i="1"/>
  <c r="AC447" i="1"/>
  <c r="AC292" i="1"/>
  <c r="AC390" i="1"/>
  <c r="AC296" i="1"/>
  <c r="AC127" i="1"/>
  <c r="AC85" i="1"/>
  <c r="AC426" i="1"/>
  <c r="AC274" i="1"/>
  <c r="AC92" i="1"/>
  <c r="AC142" i="1"/>
  <c r="AC209" i="1"/>
  <c r="AC372" i="1"/>
  <c r="AC327" i="1"/>
  <c r="AC325" i="1"/>
  <c r="AC444" i="1"/>
  <c r="AC458" i="1"/>
  <c r="AC62" i="1"/>
  <c r="AC70" i="1"/>
  <c r="AC456" i="1"/>
  <c r="AC120" i="1"/>
  <c r="AC389" i="1"/>
  <c r="AC90" i="1"/>
  <c r="AC378" i="1"/>
  <c r="AC23" i="1"/>
  <c r="AC348" i="1"/>
  <c r="AC176" i="1"/>
  <c r="AC418" i="1"/>
  <c r="AC519" i="1"/>
  <c r="AC511" i="1"/>
  <c r="AC201" i="1"/>
  <c r="AC574" i="1"/>
  <c r="AC155" i="1"/>
  <c r="AC278" i="1"/>
  <c r="AC260" i="1"/>
  <c r="AC266" i="1"/>
  <c r="AC53" i="1"/>
  <c r="AC61" i="1"/>
  <c r="AC598" i="1"/>
  <c r="AC383" i="1"/>
  <c r="AC553" i="1"/>
  <c r="AC112" i="1"/>
  <c r="AC452" i="1"/>
  <c r="AC505" i="1"/>
  <c r="AC566" i="1"/>
  <c r="AC204" i="1"/>
  <c r="AC309" i="1"/>
  <c r="AC213" i="1"/>
  <c r="AC143" i="1"/>
  <c r="AC363" i="1"/>
  <c r="AC283" i="1"/>
  <c r="AC321" i="1"/>
  <c r="AC394" i="1"/>
  <c r="AC493" i="1"/>
  <c r="AC122" i="1"/>
  <c r="AC280" i="1"/>
  <c r="AC239" i="1"/>
  <c r="AC416" i="1"/>
  <c r="AC154" i="1"/>
  <c r="AC76" i="1"/>
  <c r="AC114" i="1"/>
  <c r="AC459" i="1"/>
  <c r="AC386" i="1"/>
  <c r="AC382" i="1"/>
  <c r="AC33" i="1"/>
  <c r="AC522" i="1"/>
  <c r="AC460" i="1"/>
  <c r="AC109" i="1"/>
  <c r="AC492" i="1"/>
  <c r="AC113" i="1"/>
  <c r="AC223" i="1"/>
  <c r="AC32" i="1"/>
  <c r="AC417" i="1"/>
  <c r="AC159" i="1"/>
  <c r="AC356" i="1"/>
  <c r="AC102" i="1"/>
  <c r="AC293" i="1"/>
  <c r="AC334" i="1"/>
  <c r="AC44" i="1"/>
  <c r="AC496" i="1"/>
  <c r="AC125" i="1"/>
  <c r="AC291" i="1"/>
  <c r="AC477" i="1"/>
  <c r="AC82" i="1"/>
  <c r="AC468" i="1"/>
  <c r="AC507" i="1"/>
  <c r="AC132" i="1"/>
  <c r="AC141" i="1"/>
  <c r="AC432" i="1"/>
  <c r="AC56" i="1"/>
  <c r="AC251" i="1"/>
  <c r="AC175" i="1"/>
  <c r="AC196" i="1"/>
  <c r="AC563" i="1"/>
  <c r="AC585" i="1"/>
  <c r="AC408" i="1"/>
  <c r="AC275" i="1"/>
  <c r="AC506" i="1"/>
  <c r="AC546" i="1"/>
  <c r="AC121" i="1"/>
  <c r="AC297" i="1"/>
  <c r="AC31" i="1"/>
  <c r="AC482" i="1"/>
  <c r="AC347" i="1"/>
  <c r="AC115" i="1"/>
  <c r="AC508" i="1"/>
  <c r="AC564" i="1"/>
  <c r="AC578" i="1"/>
  <c r="AC106" i="1"/>
  <c r="AC480" i="1"/>
  <c r="AC393" i="1"/>
  <c r="AC234" i="1"/>
  <c r="AC531" i="1"/>
  <c r="AC152" i="1"/>
  <c r="AC528" i="1"/>
  <c r="AC95" i="1"/>
  <c r="AC332" i="1"/>
  <c r="AC264" i="1"/>
  <c r="AC301" i="1"/>
  <c r="AC91" i="1"/>
  <c r="AC148" i="1"/>
  <c r="AC185" i="1"/>
  <c r="AC304" i="1"/>
  <c r="AC422" i="1"/>
  <c r="AC218" i="1"/>
  <c r="AC590" i="1"/>
  <c r="AC105" i="1"/>
  <c r="AC381" i="1"/>
  <c r="AC51" i="1"/>
  <c r="AC428" i="1"/>
  <c r="AC571" i="1"/>
  <c r="AC151" i="1"/>
  <c r="AC35" i="1"/>
  <c r="AC341" i="1"/>
  <c r="AC365" i="1"/>
  <c r="AC572" i="1"/>
  <c r="AC556" i="1"/>
  <c r="AC430" i="1"/>
  <c r="AC96" i="1"/>
  <c r="AC37" i="1"/>
  <c r="AC534" i="1"/>
  <c r="AC104" i="1"/>
  <c r="AC395" i="1"/>
  <c r="AC597" i="1"/>
  <c r="AC490" i="1"/>
  <c r="AC40" i="1"/>
  <c r="AC465" i="1"/>
  <c r="AC246" i="1"/>
  <c r="AC150" i="1"/>
  <c r="AC582" i="1"/>
  <c r="AC179" i="1"/>
  <c r="AC515" i="1"/>
  <c r="AC575" i="1"/>
  <c r="AC457" i="1"/>
  <c r="AC437" i="1"/>
  <c r="AC182" i="1"/>
  <c r="AC355" i="1"/>
  <c r="AC45" i="1"/>
  <c r="AC88" i="1"/>
  <c r="AC560" i="1"/>
  <c r="AC202" i="1"/>
  <c r="AC262" i="1"/>
  <c r="AC436" i="1"/>
  <c r="AC404" i="1"/>
  <c r="AC343" i="1"/>
  <c r="AC230" i="1"/>
  <c r="AC423" i="1"/>
  <c r="AC108" i="1"/>
  <c r="AC581" i="1"/>
  <c r="AC305" i="1"/>
  <c r="AC290" i="1"/>
  <c r="AC340" i="1"/>
  <c r="AC156" i="1"/>
  <c r="AC485" i="1"/>
  <c r="AC99" i="1"/>
  <c r="AC47" i="1"/>
  <c r="AC500" i="1"/>
  <c r="AC550" i="1"/>
  <c r="AC527" i="1"/>
  <c r="AC42" i="1"/>
  <c r="AC199" i="1"/>
  <c r="AC172" i="1"/>
  <c r="AC162" i="1"/>
  <c r="AC186" i="1"/>
  <c r="AC451" i="1"/>
  <c r="AC525" i="1"/>
  <c r="AC471" i="1"/>
  <c r="AC565" i="1"/>
  <c r="AC375" i="1"/>
  <c r="AC405" i="1"/>
  <c r="AC214" i="1"/>
  <c r="AC174" i="1"/>
  <c r="AC89" i="1"/>
  <c r="AC87" i="1"/>
  <c r="AC320" i="1"/>
  <c r="AC587" i="1"/>
  <c r="AC287" i="1"/>
  <c r="AC107" i="1"/>
  <c r="AC94" i="1"/>
  <c r="AC438" i="1"/>
  <c r="AC252" i="1"/>
  <c r="AC539" i="1"/>
  <c r="AC345" i="1"/>
  <c r="AC595" i="1"/>
  <c r="AC360" i="1"/>
  <c r="AC439" i="1"/>
  <c r="AC516" i="1"/>
  <c r="AC455" i="1"/>
  <c r="AC190" i="1"/>
  <c r="AC258" i="1"/>
  <c r="AC521" i="1"/>
  <c r="AC435" i="1"/>
  <c r="AC236" i="1"/>
  <c r="AC319" i="1"/>
  <c r="AC183" i="1"/>
  <c r="AC49" i="1"/>
  <c r="AC364" i="1"/>
  <c r="AC425" i="1"/>
  <c r="AC171" i="1"/>
  <c r="AC392" i="1"/>
  <c r="AC421" i="1"/>
  <c r="AC596" i="1"/>
  <c r="AC513" i="1"/>
  <c r="AC163" i="1"/>
  <c r="AC448" i="1"/>
  <c r="AC552" i="1"/>
  <c r="AC139" i="1"/>
  <c r="AC284" i="1"/>
  <c r="AC561" i="1"/>
  <c r="AC27" i="1"/>
  <c r="AC211" i="1"/>
  <c r="AC243" i="1"/>
  <c r="AC110" i="1"/>
  <c r="AC193" i="1"/>
  <c r="AC294" i="1"/>
  <c r="AC518" i="1"/>
  <c r="AC488" i="1"/>
  <c r="AC454" i="1"/>
  <c r="AC427" i="1"/>
  <c r="AC281" i="1"/>
  <c r="AC580" i="1"/>
  <c r="AC210" i="1"/>
  <c r="AC559" i="1"/>
  <c r="AC370" i="1"/>
  <c r="AC273" i="1"/>
  <c r="AC129" i="1"/>
  <c r="AC188" i="1"/>
  <c r="AC403" i="1"/>
  <c r="AC567" i="1"/>
  <c r="AC329" i="1"/>
  <c r="AC149" i="1"/>
  <c r="AC350" i="1"/>
  <c r="AC413" i="1"/>
  <c r="AC555" i="1"/>
  <c r="AC237" i="1"/>
  <c r="AC388" i="1"/>
  <c r="AC307" i="1"/>
  <c r="AC501" i="1"/>
  <c r="AC69" i="1"/>
  <c r="AC530" i="1"/>
  <c r="AC194" i="1"/>
  <c r="AC349" i="1"/>
  <c r="AC472" i="1"/>
  <c r="AC489" i="1"/>
  <c r="AC212" i="1"/>
  <c r="AC25" i="1"/>
  <c r="AC133" i="1"/>
  <c r="AC137" i="1"/>
  <c r="AC20" i="1"/>
  <c r="AC473" i="1"/>
  <c r="AC377" i="1"/>
  <c r="AC524" i="1"/>
  <c r="AC537" i="1"/>
  <c r="AC592" i="1"/>
  <c r="AC570" i="1"/>
  <c r="AC359" i="1"/>
  <c r="AC497" i="1"/>
  <c r="AC536" i="1"/>
  <c r="AC407" i="1"/>
  <c r="AC225" i="1"/>
  <c r="AC351" i="1"/>
  <c r="AC406" i="1"/>
  <c r="AC400" i="1"/>
  <c r="AC551" i="1"/>
  <c r="AC38" i="1"/>
  <c r="AC419" i="1"/>
  <c r="AC74" i="1"/>
  <c r="AC103" i="1"/>
  <c r="AC118" i="1"/>
  <c r="AC371" i="1"/>
  <c r="AC401" i="1"/>
  <c r="AC431" i="1"/>
  <c r="AC84" i="1"/>
  <c r="AC289" i="1"/>
  <c r="AC318" i="1"/>
  <c r="AC353" i="1"/>
  <c r="AC354" i="1"/>
  <c r="AC594" i="1"/>
  <c r="AC238" i="1"/>
  <c r="AC543" i="1"/>
  <c r="AC160" i="1"/>
  <c r="AC164" i="1"/>
  <c r="AC54" i="1"/>
  <c r="AC533" i="1"/>
  <c r="AC220" i="1"/>
  <c r="AC187" i="1"/>
  <c r="AC22" i="1"/>
  <c r="AC19" i="1"/>
  <c r="AC410" i="1"/>
  <c r="AC167" i="1"/>
  <c r="AC474" i="1"/>
  <c r="AC562" i="1"/>
  <c r="AC26" i="1"/>
  <c r="AC221" i="1"/>
  <c r="AC279" i="1"/>
  <c r="AC449" i="1"/>
  <c r="AC195" i="1"/>
  <c r="AC464" i="1"/>
  <c r="AC50" i="1"/>
  <c r="AC247" i="1"/>
  <c r="AC235" i="1"/>
  <c r="AC499" i="1"/>
  <c r="AC255" i="1"/>
  <c r="AC131" i="1"/>
  <c r="AC314" i="1"/>
  <c r="AC180" i="1"/>
  <c r="AC510" i="1"/>
  <c r="AC467" i="1"/>
  <c r="AC64" i="1"/>
  <c r="AC504" i="1"/>
  <c r="AC589" i="1"/>
  <c r="Z603" i="1"/>
  <c r="Z621" i="1"/>
  <c r="Z691" i="1"/>
  <c r="Z693" i="1"/>
  <c r="Z686" i="1"/>
  <c r="Z619" i="1"/>
  <c r="Z627" i="1"/>
  <c r="Z646" i="1"/>
  <c r="Z665" i="1"/>
  <c r="Z696" i="1"/>
  <c r="Z629" i="1"/>
  <c r="Z674" i="1"/>
  <c r="Z616" i="1"/>
  <c r="Z602" i="1"/>
  <c r="Z661" i="1"/>
  <c r="Z695" i="1"/>
  <c r="Z645" i="1"/>
  <c r="Z604" i="1"/>
  <c r="Z684" i="1"/>
  <c r="Z664" i="1"/>
  <c r="Z698" i="1"/>
  <c r="Z666" i="1"/>
  <c r="Z697" i="1"/>
  <c r="Z672" i="1"/>
  <c r="Z671" i="1"/>
  <c r="Z687" i="1"/>
  <c r="Z611" i="1"/>
  <c r="Z632" i="1"/>
  <c r="Z649" i="1"/>
  <c r="Z638" i="1"/>
  <c r="Z662" i="1"/>
  <c r="Z676" i="1"/>
  <c r="Z690" i="1"/>
  <c r="Z610" i="1"/>
  <c r="Z630" i="1"/>
  <c r="Z613" i="1"/>
  <c r="Z675" i="1"/>
  <c r="Z681" i="1"/>
  <c r="Z653" i="1"/>
  <c r="Z633" i="1"/>
  <c r="Z669" i="1"/>
  <c r="Z634" i="1"/>
  <c r="Z642" i="1"/>
  <c r="Z617" i="1"/>
  <c r="Z625" i="1"/>
  <c r="Z605" i="1"/>
  <c r="Z682" i="1"/>
  <c r="Z631" i="1"/>
  <c r="Z607" i="1"/>
  <c r="Z677" i="1"/>
  <c r="Z655" i="1"/>
  <c r="Z637" i="1"/>
  <c r="Z644" i="1"/>
  <c r="Z647" i="1"/>
  <c r="Z615" i="1"/>
  <c r="Z680" i="1"/>
  <c r="Z635" i="1"/>
  <c r="Z692" i="1"/>
  <c r="Z636" i="1"/>
  <c r="Z689" i="1"/>
  <c r="Z679" i="1"/>
  <c r="Z624" i="1"/>
  <c r="Z640" i="1"/>
  <c r="Z654" i="1"/>
  <c r="Z673" i="1"/>
  <c r="Z612" i="1"/>
  <c r="Z663" i="1"/>
  <c r="Z699" i="1"/>
  <c r="Z628" i="1"/>
  <c r="Z601" i="1"/>
  <c r="Z639" i="1"/>
  <c r="Z678" i="1"/>
  <c r="Z606" i="1"/>
  <c r="Z657" i="1"/>
  <c r="Z656" i="1"/>
  <c r="Z626" i="1"/>
  <c r="Z650" i="1"/>
  <c r="Z620" i="1"/>
  <c r="Z648" i="1"/>
  <c r="Z652" i="1"/>
  <c r="Z694" i="1"/>
  <c r="Z667" i="1"/>
  <c r="Z685" i="1"/>
  <c r="Z683" i="1"/>
  <c r="Z659" i="1"/>
  <c r="Z651" i="1"/>
  <c r="Z688" i="1"/>
  <c r="Z658" i="1"/>
  <c r="Z614" i="1"/>
  <c r="Z622" i="1"/>
  <c r="Z608" i="1"/>
  <c r="Z660" i="1"/>
  <c r="Z668" i="1"/>
  <c r="Z670" i="1"/>
  <c r="Z609" i="1"/>
  <c r="Z623" i="1"/>
  <c r="Z618" i="1"/>
  <c r="Z643" i="1"/>
  <c r="Z641" i="1"/>
  <c r="AC17" i="1" a="1"/>
  <c r="AC18" i="1" a="1"/>
  <c r="AC16" i="1" a="1"/>
  <c r="AC14" i="1" a="1"/>
  <c r="AC15" i="1" a="1"/>
  <c r="AC13" i="1" a="1"/>
  <c r="AC12" i="1" a="1"/>
  <c r="AC11" i="1" a="1"/>
  <c r="AD217" i="1" a="1"/>
  <c r="AD240" i="1" a="1"/>
  <c r="AD219" i="1" a="1"/>
  <c r="AD256" i="1" a="1"/>
  <c r="AD55" i="1" a="1"/>
  <c r="AD591" i="1" a="1"/>
  <c r="AD144" i="1" a="1"/>
  <c r="AD276" i="1" a="1"/>
  <c r="AD28" i="1" a="1"/>
  <c r="AD268" i="1" a="1"/>
  <c r="AD270" i="1" a="1"/>
  <c r="AD158" i="1" a="1"/>
  <c r="AD470" i="1" a="1"/>
  <c r="AD324" i="1" a="1"/>
  <c r="AD101" i="1" a="1"/>
  <c r="AD398" i="1" a="1"/>
  <c r="AD342" i="1" a="1"/>
  <c r="AD434" i="1" a="1"/>
  <c r="AD335" i="1" a="1"/>
  <c r="AD391" i="1" a="1"/>
  <c r="AD333" i="1" a="1"/>
  <c r="AD216" i="1" a="1"/>
  <c r="AD92" i="1" a="1"/>
  <c r="AD389" i="1" a="1"/>
  <c r="AD278" i="1" a="1"/>
  <c r="AD204" i="1" a="1"/>
  <c r="AD416" i="1" a="1"/>
  <c r="AD113" i="1" a="1"/>
  <c r="AD291" i="1" a="1"/>
  <c r="AD563" i="1" a="1"/>
  <c r="AD115" i="1" a="1"/>
  <c r="AD332" i="1" a="1"/>
  <c r="AD51" i="1" a="1"/>
  <c r="AD534" i="1" a="1"/>
  <c r="AD575" i="1" a="1"/>
  <c r="AD343" i="1" a="1"/>
  <c r="AD500" i="1" a="1"/>
  <c r="AD565" i="1" a="1"/>
  <c r="AD438" i="1" a="1"/>
  <c r="AD435" i="1" a="1"/>
  <c r="AD163" i="1" a="1"/>
  <c r="AD518" i="1" a="1"/>
  <c r="AD403" i="1" a="1"/>
  <c r="AD530" i="1" a="1"/>
  <c r="AD524" i="1" a="1"/>
  <c r="AD551" i="1" a="1"/>
  <c r="AD353" i="1" a="1"/>
  <c r="AD19" i="1" a="1"/>
  <c r="AD195" i="1" a="1"/>
  <c r="AD64" i="1" a="1"/>
  <c r="AD257" i="1" a="1"/>
  <c r="AD103" i="1" a="1"/>
  <c r="AD170" i="1" a="1"/>
  <c r="AD83" i="1" a="1"/>
  <c r="AD308" i="1" a="1"/>
  <c r="AD326" i="1" a="1"/>
  <c r="AD208" i="1" a="1"/>
  <c r="AD325" i="1" a="1"/>
  <c r="AD386" i="1" a="1"/>
  <c r="AD341" i="1" a="1"/>
  <c r="AD89" i="1" a="1"/>
  <c r="AD580" i="1" a="1"/>
  <c r="AD118" i="1" a="1"/>
  <c r="AD226" i="1" a="1"/>
  <c r="AD111" i="1" a="1"/>
  <c r="AD396" i="1" a="1"/>
  <c r="AD418" i="1" a="1"/>
  <c r="AD141" i="1" a="1"/>
  <c r="AD465" i="1" a="1"/>
  <c r="AD439" i="1" a="1"/>
  <c r="AD555" i="1" a="1"/>
  <c r="AD164" i="1" a="1"/>
  <c r="AD222" i="1" a="1"/>
  <c r="AD337" i="1" a="1"/>
  <c r="AD409" i="1" a="1"/>
  <c r="AD484" i="1" a="1"/>
  <c r="AD368" i="1" a="1"/>
  <c r="AD265" i="1" a="1"/>
  <c r="AD458" i="1" a="1"/>
  <c r="AD33" i="1" a="1"/>
  <c r="AD297" i="1" a="1"/>
  <c r="AD246" i="1" a="1"/>
  <c r="AD320" i="1" a="1"/>
  <c r="AD237" i="1" a="1"/>
  <c r="AD221" i="1" a="1"/>
  <c r="AD173" i="1" a="1"/>
  <c r="AD30" i="1" a="1"/>
  <c r="AD63" i="1" a="1"/>
  <c r="AD511" i="1" a="1"/>
  <c r="AD31" i="1" a="1"/>
  <c r="AD150" i="1" a="1"/>
  <c r="AD587" i="1" a="1"/>
  <c r="AD388" i="1" a="1"/>
  <c r="AD533" i="1" a="1"/>
  <c r="AD86" i="1" a="1"/>
  <c r="AD68" i="1" a="1"/>
  <c r="AD538" i="1" a="1"/>
  <c r="AD545" i="1" a="1"/>
  <c r="AD178" i="1" a="1"/>
  <c r="AD453" i="1" a="1"/>
  <c r="AD168" i="1" a="1"/>
  <c r="AD70" i="1" a="1"/>
  <c r="AD122" i="1" a="1"/>
  <c r="AD251" i="1" a="1"/>
  <c r="AD590" i="1" a="1"/>
  <c r="AD262" i="1" a="1"/>
  <c r="AD287" i="1" a="1"/>
  <c r="AD421" i="1" a="1"/>
  <c r="AD307" i="1" a="1"/>
  <c r="AD220" i="1" a="1"/>
  <c r="AD9" i="1" a="1"/>
  <c r="AD558" i="1" a="1"/>
  <c r="AD496" i="1" a="1"/>
  <c r="AD436" i="1" a="1"/>
  <c r="AD193" i="1" a="1"/>
  <c r="AD449" i="1" a="1"/>
  <c r="AD547" i="1" a="1"/>
  <c r="AD227" i="1" a="1"/>
  <c r="AD475" i="1" a="1"/>
  <c r="AD123" i="1" a="1"/>
  <c r="AD98" i="1" a="1"/>
  <c r="AD181" i="1" a="1"/>
  <c r="AD192" i="1" a="1"/>
  <c r="AD535" i="1" a="1"/>
  <c r="AD357" i="1" a="1"/>
  <c r="AD274" i="1" a="1"/>
  <c r="AD155" i="1" a="1"/>
  <c r="AD492" i="1" a="1"/>
  <c r="AD347" i="1" a="1"/>
  <c r="AD381" i="1" a="1"/>
  <c r="AD47" i="1" a="1"/>
  <c r="AD521" i="1" a="1"/>
  <c r="AD69" i="1" a="1"/>
  <c r="AD318" i="1" a="1"/>
  <c r="AD568" i="1" a="1"/>
  <c r="AD285" i="1" a="1"/>
  <c r="AD412" i="1" a="1"/>
  <c r="AD331" i="1" a="1"/>
  <c r="AD544" i="1" a="1"/>
  <c r="AD346" i="1" a="1"/>
  <c r="AD48" i="1" a="1"/>
  <c r="AD29" i="1" a="1"/>
  <c r="AD584" i="1" a="1"/>
  <c r="AD479" i="1" a="1"/>
  <c r="AD302" i="1" a="1"/>
  <c r="AD119" i="1" a="1"/>
  <c r="AD361" i="1" a="1"/>
  <c r="AD367" i="1" a="1"/>
  <c r="AD46" i="1" a="1"/>
  <c r="AD250" i="1" a="1"/>
  <c r="AD540" i="1" a="1"/>
  <c r="AD323" i="1" a="1"/>
  <c r="AD450" i="1" a="1"/>
  <c r="AD52" i="1" a="1"/>
  <c r="AD136" i="1" a="1"/>
  <c r="AD443" i="1" a="1"/>
  <c r="AD142" i="1" a="1"/>
  <c r="AD90" i="1" a="1"/>
  <c r="AD260" i="1" a="1"/>
  <c r="AD309" i="1" a="1"/>
  <c r="AD154" i="1" a="1"/>
  <c r="AD223" i="1" a="1"/>
  <c r="AD477" i="1" a="1"/>
  <c r="AD585" i="1" a="1"/>
  <c r="AD508" i="1" a="1"/>
  <c r="AD264" i="1" a="1"/>
  <c r="AD428" i="1" a="1"/>
  <c r="AD104" i="1" a="1"/>
  <c r="AD457" i="1" a="1"/>
  <c r="AD230" i="1" a="1"/>
  <c r="AD550" i="1" a="1"/>
  <c r="AD375" i="1" a="1"/>
  <c r="AD252" i="1" a="1"/>
  <c r="AD236" i="1" a="1"/>
  <c r="AD448" i="1" a="1"/>
  <c r="AD488" i="1" a="1"/>
  <c r="AD567" i="1" a="1"/>
  <c r="AD194" i="1" a="1"/>
  <c r="AD537" i="1" a="1"/>
  <c r="AD38" i="1" a="1"/>
  <c r="AD354" i="1" a="1"/>
  <c r="AD410" i="1" a="1"/>
  <c r="AD464" i="1" a="1"/>
  <c r="AD504" i="1" a="1"/>
  <c r="AD203" i="1" a="1"/>
  <c r="AD350" i="1" a="1"/>
  <c r="AD384" i="1" a="1"/>
  <c r="AD57" i="1" a="1"/>
  <c r="AD206" i="1" a="1"/>
  <c r="AD277" i="1" a="1"/>
  <c r="AD292" i="1" a="1"/>
  <c r="AD598" i="1" a="1"/>
  <c r="AD356" i="1" a="1"/>
  <c r="AD546" i="1" a="1"/>
  <c r="AD185" i="1" a="1"/>
  <c r="AD45" i="1" a="1"/>
  <c r="AD360" i="1" a="1"/>
  <c r="AD413" i="1" a="1"/>
  <c r="AD562" i="1" a="1"/>
  <c r="AD495" i="1" a="1"/>
  <c r="AD445" i="1" a="1"/>
  <c r="AD93" i="1" a="1"/>
  <c r="AD146" i="1" a="1"/>
  <c r="AD382" i="1" a="1"/>
  <c r="AD304" i="1" a="1"/>
  <c r="AD172" i="1" a="1"/>
  <c r="AD27" i="1" a="1"/>
  <c r="AD371" i="1" a="1"/>
  <c r="AD255" i="1" a="1"/>
  <c r="AD224" i="1" a="1"/>
  <c r="AD554" i="1" a="1"/>
  <c r="AD10" i="1" a="1"/>
  <c r="AD65" i="1" a="1"/>
  <c r="AD259" i="1" a="1"/>
  <c r="AD577" i="1" a="1"/>
  <c r="AD415" i="1" a="1"/>
  <c r="AD300" i="1" a="1"/>
  <c r="AD542" i="1" a="1"/>
  <c r="AD296" i="1" a="1"/>
  <c r="AD553" i="1" a="1"/>
  <c r="AD432" i="1" a="1"/>
  <c r="AD422" i="1" a="1"/>
  <c r="AD340" i="1" a="1"/>
  <c r="AD516" i="1" a="1"/>
  <c r="AD211" i="1" a="1"/>
  <c r="AD133" i="1" a="1"/>
  <c r="AD54" i="1" a="1"/>
  <c r="AD60" i="1" a="1"/>
  <c r="AD462" i="1" a="1"/>
  <c r="AD334" i="1" a="1"/>
  <c r="AD202" i="1" a="1"/>
  <c r="AD392" i="1" a="1"/>
  <c r="AD431" i="1" a="1"/>
  <c r="AD75" i="1" a="1"/>
  <c r="AD161" i="1" a="1"/>
  <c r="AD328" i="1" a="1"/>
  <c r="AD476" i="1" a="1"/>
  <c r="AD339" i="1" a="1"/>
  <c r="AD67" i="1" a="1"/>
  <c r="AD97" i="1" a="1"/>
  <c r="AD588" i="1" a="1"/>
  <c r="AD85" i="1" a="1"/>
  <c r="AD452" i="1" a="1"/>
  <c r="AD44" i="1" a="1"/>
  <c r="AD430" i="1" a="1"/>
  <c r="AD451" i="1" a="1"/>
  <c r="AD273" i="1" a="1"/>
  <c r="AD84" i="1" a="1"/>
  <c r="AD261" i="1" a="1"/>
  <c r="AD205" i="1" a="1"/>
  <c r="AD505" i="1" a="1"/>
  <c r="AD105" i="1" a="1"/>
  <c r="AD107" i="1" a="1"/>
  <c r="AD473" i="1" a="1"/>
  <c r="AD510" i="1" a="1"/>
  <c r="AD442" i="1" a="1"/>
  <c r="AD73" i="1" a="1"/>
  <c r="AD295" i="1" a="1"/>
  <c r="AD483" i="1" a="1"/>
  <c r="AD36" i="1" a="1"/>
  <c r="AD267" i="1" a="1"/>
  <c r="AD263" i="1" a="1"/>
  <c r="AD299" i="1" a="1"/>
  <c r="AD120" i="1" a="1"/>
  <c r="AD566" i="1" a="1"/>
  <c r="AD196" i="1" a="1"/>
  <c r="AD95" i="1" a="1"/>
  <c r="AD37" i="1" a="1"/>
  <c r="AD404" i="1" a="1"/>
  <c r="AD94" i="1" a="1"/>
  <c r="AD513" i="1" a="1"/>
  <c r="AD188" i="1" a="1"/>
  <c r="AD400" i="1" a="1"/>
  <c r="AD22" i="1" a="1"/>
  <c r="AD128" i="1" a="1"/>
  <c r="AD303" i="1" a="1"/>
  <c r="AD532" i="1" a="1"/>
  <c r="AD541" i="1" a="1"/>
  <c r="AD599" i="1" a="1"/>
  <c r="AD514" i="1" a="1"/>
  <c r="AD463" i="1" a="1"/>
  <c r="AD39" i="1" a="1"/>
  <c r="AD134" i="1" a="1"/>
  <c r="AD402" i="1" a="1"/>
  <c r="AD352" i="1" a="1"/>
  <c r="AD509" i="1" a="1"/>
  <c r="AD411" i="1" a="1"/>
  <c r="AD166" i="1" a="1"/>
  <c r="AD81" i="1" a="1"/>
  <c r="AD338" i="1" a="1"/>
  <c r="AD557" i="1" a="1"/>
  <c r="AD288" i="1" a="1"/>
  <c r="AD491" i="1" a="1"/>
  <c r="AD548" i="1" a="1"/>
  <c r="AD165" i="1" a="1"/>
  <c r="AD157" i="1" a="1"/>
  <c r="AD209" i="1" a="1"/>
  <c r="AD378" i="1" a="1"/>
  <c r="AD266" i="1" a="1"/>
  <c r="AD213" i="1" a="1"/>
  <c r="AD76" i="1" a="1"/>
  <c r="AD32" i="1" a="1"/>
  <c r="AD82" i="1" a="1"/>
  <c r="AD408" i="1" a="1"/>
  <c r="AD564" i="1" a="1"/>
  <c r="AD301" i="1" a="1"/>
  <c r="AD571" i="1" a="1"/>
  <c r="AD395" i="1" a="1"/>
  <c r="AD437" i="1" a="1"/>
  <c r="AD423" i="1" a="1"/>
  <c r="AD405" i="1" a="1"/>
  <c r="AD539" i="1" a="1"/>
  <c r="AD319" i="1" a="1"/>
  <c r="AD552" i="1" a="1"/>
  <c r="AD454" i="1" a="1"/>
  <c r="AD329" i="1" a="1"/>
  <c r="AD349" i="1" a="1"/>
  <c r="AD592" i="1" a="1"/>
  <c r="AD419" i="1" a="1"/>
  <c r="AD594" i="1" a="1"/>
  <c r="AD50" i="1" a="1"/>
  <c r="AD589" i="1" a="1"/>
  <c r="AD315" i="1" a="1"/>
  <c r="AD313" i="1" a="1"/>
  <c r="AD177" i="1" a="1"/>
  <c r="AD429" i="1" a="1"/>
  <c r="AD306" i="1" a="1"/>
  <c r="AD43" i="1" a="1"/>
  <c r="AD80" i="1" a="1"/>
  <c r="AD440" i="1" a="1"/>
  <c r="AD517" i="1" a="1"/>
  <c r="AD481" i="1" a="1"/>
  <c r="AD327" i="1" a="1"/>
  <c r="AD61" i="1" a="1"/>
  <c r="AD459" i="1" a="1"/>
  <c r="AD507" i="1" a="1"/>
  <c r="AD106" i="1" a="1"/>
  <c r="AD35" i="1" a="1"/>
  <c r="AD355" i="1" a="1"/>
  <c r="AD42" i="1" a="1"/>
  <c r="AD595" i="1" a="1"/>
  <c r="AD284" i="1" a="1"/>
  <c r="AD489" i="1" a="1"/>
  <c r="AD543" i="1" a="1"/>
  <c r="AD235" i="1" a="1"/>
  <c r="AD135" i="1" a="1"/>
  <c r="AD233" i="1" a="1"/>
  <c r="AD317" i="1" a="1"/>
  <c r="AD397" i="1" a="1"/>
  <c r="AD176" i="1" a="1"/>
  <c r="AD132" i="1" a="1"/>
  <c r="AD40" i="1" a="1"/>
  <c r="AD199" i="1" a="1"/>
  <c r="AD364" i="1" a="1"/>
  <c r="AD212" i="1" a="1"/>
  <c r="AD160" i="1" a="1"/>
  <c r="AD100" i="1" a="1"/>
  <c r="AD586" i="1" a="1"/>
  <c r="AD311" i="1" a="1"/>
  <c r="AD79" i="1" a="1"/>
  <c r="AD498" i="1" a="1"/>
  <c r="AD245" i="1" a="1"/>
  <c r="AD444" i="1" a="1"/>
  <c r="AD383" i="1" a="1"/>
  <c r="AD102" i="1" a="1"/>
  <c r="AD393" i="1" a="1"/>
  <c r="AD365" i="1" a="1"/>
  <c r="AD290" i="1" a="1"/>
  <c r="AD87" i="1" a="1"/>
  <c r="AD210" i="1" a="1"/>
  <c r="AD25" i="1" a="1"/>
  <c r="AD26" i="1" a="1"/>
  <c r="AD573" i="1" a="1"/>
  <c r="AD526" i="1" a="1"/>
  <c r="AD72" i="1" a="1"/>
  <c r="AD394" i="1" a="1"/>
  <c r="AD234" i="1" a="1"/>
  <c r="AD560" i="1" a="1"/>
  <c r="AD171" i="1" a="1"/>
  <c r="AD407" i="1" a="1"/>
  <c r="AD131" i="1" a="1"/>
  <c r="AD298" i="1" a="1"/>
  <c r="AD385" i="1" a="1"/>
  <c r="AD66" i="1" a="1"/>
  <c r="AD487" i="1" a="1"/>
  <c r="AD486" i="1" a="1"/>
  <c r="AD576" i="1" a="1"/>
  <c r="AD58" i="1" a="1"/>
  <c r="AD41" i="1" a="1"/>
  <c r="AD322" i="1" a="1"/>
  <c r="AD62" i="1" a="1"/>
  <c r="AD493" i="1" a="1"/>
  <c r="AD56" i="1" a="1"/>
  <c r="AD218" i="1" a="1"/>
  <c r="AD156" i="1" a="1"/>
  <c r="AD455" i="1" a="1"/>
  <c r="AD370" i="1" a="1"/>
  <c r="AD137" i="1" a="1"/>
  <c r="AD512" i="1" a="1"/>
  <c r="AD201" i="1" a="1"/>
  <c r="AD152" i="1" a="1"/>
  <c r="AD485" i="1" a="1"/>
  <c r="AD110" i="1" a="1"/>
  <c r="AD351" i="1" a="1"/>
  <c r="AD279" i="1" a="1"/>
  <c r="AD330" i="1" a="1"/>
  <c r="AD253" i="1" a="1"/>
  <c r="AD369" i="1" a="1"/>
  <c r="AD145" i="1" a="1"/>
  <c r="AD380" i="1" a="1"/>
  <c r="AD244" i="1" a="1"/>
  <c r="AD269" i="1" a="1"/>
  <c r="AD456" i="1" a="1"/>
  <c r="AD280" i="1" a="1"/>
  <c r="AD175" i="1" a="1"/>
  <c r="AD528" i="1" a="1"/>
  <c r="AD179" i="1" a="1"/>
  <c r="AD525" i="1" a="1"/>
  <c r="AD596" i="1" a="1"/>
  <c r="AD501" i="1" a="1"/>
  <c r="AD406" i="1" a="1"/>
  <c r="AD358" i="1" a="1"/>
  <c r="AD197" i="1" a="1"/>
  <c r="AD239" i="1" a="1"/>
  <c r="AD515" i="1" a="1"/>
  <c r="AD294" i="1" a="1"/>
  <c r="AD467" i="1" a="1"/>
  <c r="AD21" i="1" a="1"/>
  <c r="AD124" i="1" a="1"/>
  <c r="AD520" i="1" a="1"/>
  <c r="AD34" i="1" a="1"/>
  <c r="AD207" i="1" a="1"/>
  <c r="AD241" i="1" a="1"/>
  <c r="AD138" i="1" a="1"/>
  <c r="AD286" i="1" a="1"/>
  <c r="AD130" i="1" a="1"/>
  <c r="AD147" i="1" a="1"/>
  <c r="AD248" i="1" a="1"/>
  <c r="AD242" i="1" a="1"/>
  <c r="AD414" i="1" a="1"/>
  <c r="AD494" i="1" a="1"/>
  <c r="AD229" i="1" a="1"/>
  <c r="AD433" i="1" a="1"/>
  <c r="AD249" i="1" a="1"/>
  <c r="AD153" i="1" a="1"/>
  <c r="AD231" i="1" a="1"/>
  <c r="AD579" i="1" a="1"/>
  <c r="AD336" i="1" a="1"/>
  <c r="AD569" i="1" a="1"/>
  <c r="AD372" i="1" a="1"/>
  <c r="AD23" i="1" a="1"/>
  <c r="AD53" i="1" a="1"/>
  <c r="AD143" i="1" a="1"/>
  <c r="AD114" i="1" a="1"/>
  <c r="AD417" i="1" a="1"/>
  <c r="AD468" i="1" a="1"/>
  <c r="AD275" i="1" a="1"/>
  <c r="AD578" i="1" a="1"/>
  <c r="AD91" i="1" a="1"/>
  <c r="AD151" i="1" a="1"/>
  <c r="AD597" i="1" a="1"/>
  <c r="AD182" i="1" a="1"/>
  <c r="AD108" i="1" a="1"/>
  <c r="AD527" i="1" a="1"/>
  <c r="AD214" i="1" a="1"/>
  <c r="AD345" i="1" a="1"/>
  <c r="AD183" i="1" a="1"/>
  <c r="AD139" i="1" a="1"/>
  <c r="AD427" i="1" a="1"/>
  <c r="AD149" i="1" a="1"/>
  <c r="AD472" i="1" a="1"/>
  <c r="AD570" i="1" a="1"/>
  <c r="AD74" i="1" a="1"/>
  <c r="AD238" i="1" a="1"/>
  <c r="AD167" i="1" a="1"/>
  <c r="AD247" i="1" a="1"/>
  <c r="AD446" i="1" a="1"/>
  <c r="AD77" i="1" a="1"/>
  <c r="AD191" i="1" a="1"/>
  <c r="AD593" i="1" a="1"/>
  <c r="AD583" i="1" a="1"/>
  <c r="AD529" i="1" a="1"/>
  <c r="AD362" i="1" a="1"/>
  <c r="AD254" i="1" a="1"/>
  <c r="AD399" i="1" a="1"/>
  <c r="AD447" i="1" a="1"/>
  <c r="AD348" i="1" a="1"/>
  <c r="AD363" i="1" a="1"/>
  <c r="AD159" i="1" a="1"/>
  <c r="AD506" i="1" a="1"/>
  <c r="AD148" i="1" a="1"/>
  <c r="AD490" i="1" a="1"/>
  <c r="AD581" i="1" a="1"/>
  <c r="AD174" i="1" a="1"/>
  <c r="AD49" i="1" a="1"/>
  <c r="AD281" i="1" a="1"/>
  <c r="AD359" i="1" a="1"/>
  <c r="AD474" i="1" a="1"/>
  <c r="AD441" i="1" a="1"/>
  <c r="AD373" i="1" a="1"/>
  <c r="AD420" i="1" a="1"/>
  <c r="AD316" i="1" a="1"/>
  <c r="AD469" i="1" a="1"/>
  <c r="AD232" i="1" a="1"/>
  <c r="AD282" i="1" a="1"/>
  <c r="AD283" i="1" a="1"/>
  <c r="AD480" i="1" a="1"/>
  <c r="AD305" i="1" a="1"/>
  <c r="AD561" i="1" a="1"/>
  <c r="AD497" i="1" a="1"/>
  <c r="AD499" i="1" a="1"/>
  <c r="AD366" i="1" a="1"/>
  <c r="AD387" i="1" a="1"/>
  <c r="AD215" i="1" a="1"/>
  <c r="AD200" i="1" a="1"/>
  <c r="AD189" i="1" a="1"/>
  <c r="AD502" i="1" a="1"/>
  <c r="AD140" i="1" a="1"/>
  <c r="AD424" i="1" a="1"/>
  <c r="AD390" i="1" a="1"/>
  <c r="AD321" i="1" a="1"/>
  <c r="AD121" i="1" a="1"/>
  <c r="AD88" i="1" a="1"/>
  <c r="AD425" i="1" a="1"/>
  <c r="AD536" i="1" a="1"/>
  <c r="AD271" i="1" a="1"/>
  <c r="AD59" i="1" a="1"/>
  <c r="AD312" i="1" a="1"/>
  <c r="AD519" i="1" a="1"/>
  <c r="AD293" i="1" a="1"/>
  <c r="AD572" i="1" a="1"/>
  <c r="AD162" i="1" a="1"/>
  <c r="AD559" i="1" a="1"/>
  <c r="AD401" i="1" a="1"/>
  <c r="AD478" i="1" a="1"/>
  <c r="AD374" i="1" a="1"/>
  <c r="AD117" i="1" a="1"/>
  <c r="AD126" i="1" a="1"/>
  <c r="AD523" i="1" a="1"/>
  <c r="AD198" i="1" a="1"/>
  <c r="AD272" i="1" a="1"/>
  <c r="AD127" i="1" a="1"/>
  <c r="AD112" i="1" a="1"/>
  <c r="AD522" i="1" a="1"/>
  <c r="AD531" i="1" a="1"/>
  <c r="AD556" i="1" a="1"/>
  <c r="AD186" i="1" a="1"/>
  <c r="AD243" i="1" a="1"/>
  <c r="AD225" i="1" a="1"/>
  <c r="AD314" i="1" a="1"/>
  <c r="AD116" i="1" a="1"/>
  <c r="AD310" i="1" a="1"/>
  <c r="AD466" i="1" a="1"/>
  <c r="AD460" i="1" a="1"/>
  <c r="AD482" i="1" a="1"/>
  <c r="AD582" i="1" a="1"/>
  <c r="AD190" i="1" a="1"/>
  <c r="AD20" i="1" a="1"/>
  <c r="AD180" i="1" a="1"/>
  <c r="AD24" i="1" a="1"/>
  <c r="AD344" i="1" a="1"/>
  <c r="AD503" i="1" a="1"/>
  <c r="AD379" i="1" a="1"/>
  <c r="AD78" i="1" a="1"/>
  <c r="AD71" i="1" a="1"/>
  <c r="AD184" i="1" a="1"/>
  <c r="AD549" i="1" a="1"/>
  <c r="AD228" i="1" a="1"/>
  <c r="AD376" i="1" a="1"/>
  <c r="AD426" i="1" a="1"/>
  <c r="AD574" i="1" a="1"/>
  <c r="AD109" i="1" a="1"/>
  <c r="AD96" i="1" a="1"/>
  <c r="AD99" i="1" a="1"/>
  <c r="AD258" i="1" a="1"/>
  <c r="AD129" i="1" a="1"/>
  <c r="AD289" i="1" a="1"/>
  <c r="AD187" i="1" a="1"/>
  <c r="AD461" i="1" a="1"/>
  <c r="AD169" i="1" a="1"/>
  <c r="AD125" i="1" a="1"/>
  <c r="AD471" i="1" a="1"/>
  <c r="AD377" i="1" a="1"/>
  <c r="AA626" i="1" a="1"/>
  <c r="AA657" i="1" a="1"/>
  <c r="AA614" i="1" a="1"/>
  <c r="AA662" i="1" a="1"/>
  <c r="AA680" i="1" a="1"/>
  <c r="AA682" i="1" a="1"/>
  <c r="AA697" i="1" a="1"/>
  <c r="AA699" i="1" a="1"/>
  <c r="AA637" i="1" a="1"/>
  <c r="AA672" i="1" a="1"/>
  <c r="AA647" i="1" a="1"/>
  <c r="AA691" i="1" a="1"/>
  <c r="AA667" i="1" a="1"/>
  <c r="AA676" i="1" a="1"/>
  <c r="AA653" i="1" a="1"/>
  <c r="AA684" i="1" a="1"/>
  <c r="AA636" i="1" a="1"/>
  <c r="AA677" i="1" a="1"/>
  <c r="AA651" i="1" a="1"/>
  <c r="AA605" i="1" a="1"/>
  <c r="AA686" i="1" a="1"/>
  <c r="AA687" i="1" a="1"/>
  <c r="AA656" i="1" a="1"/>
  <c r="AA620" i="1" a="1"/>
  <c r="AA675" i="1" a="1"/>
  <c r="AA607" i="1" a="1"/>
  <c r="AA603" i="1" a="1"/>
  <c r="AA616" i="1" a="1"/>
  <c r="AA692" i="1" a="1"/>
  <c r="AA627" i="1" a="1"/>
  <c r="AA611" i="1" a="1"/>
  <c r="AA681" i="1" a="1"/>
  <c r="AA638" i="1" a="1"/>
  <c r="AA609" i="1" a="1"/>
  <c r="AA631" i="1" a="1"/>
  <c r="AA606" i="1" a="1"/>
  <c r="AA635" i="1" a="1"/>
  <c r="AA668" i="1" a="1"/>
  <c r="AA643" i="1" a="1"/>
  <c r="AA615" i="1" a="1"/>
  <c r="AA696" i="1" a="1"/>
  <c r="AA666" i="1" a="1"/>
  <c r="AA625" i="1" a="1"/>
  <c r="AA652" i="1" a="1"/>
  <c r="AA629" i="1" a="1"/>
  <c r="AA690" i="1" a="1"/>
  <c r="AA619" i="1" a="1"/>
  <c r="AA661" i="1" a="1"/>
  <c r="AA663" i="1" a="1"/>
  <c r="AA665" i="1" a="1"/>
  <c r="AA640" i="1" a="1"/>
  <c r="AA688" i="1" a="1"/>
  <c r="AA623" i="1" a="1"/>
  <c r="AA630" i="1" a="1"/>
  <c r="AA621" i="1" a="1"/>
  <c r="AA669" i="1" a="1"/>
  <c r="AA649" i="1" a="1"/>
  <c r="AA689" i="1" a="1"/>
  <c r="AA683" i="1" a="1"/>
  <c r="AA650" i="1" a="1"/>
  <c r="AA659" i="1" a="1"/>
  <c r="AA633" i="1" a="1"/>
  <c r="AA602" i="1" a="1"/>
  <c r="AA601" i="1" a="1"/>
  <c r="AA694" i="1" a="1"/>
  <c r="AA610" i="1" a="1"/>
  <c r="AA634" i="1" a="1"/>
  <c r="AA608" i="1" a="1"/>
  <c r="AA613" i="1" a="1"/>
  <c r="AA698" i="1" a="1"/>
  <c r="AA660" i="1" a="1"/>
  <c r="AA624" i="1" a="1"/>
  <c r="AA664" i="1" a="1"/>
  <c r="AA674" i="1" a="1"/>
  <c r="AA622" i="1" a="1"/>
  <c r="AA645" i="1" a="1"/>
  <c r="AA673" i="1" a="1"/>
  <c r="AA632" i="1" a="1"/>
  <c r="AA655" i="1" a="1"/>
  <c r="AA678" i="1" a="1"/>
  <c r="AA644" i="1" a="1"/>
  <c r="AA604" i="1" a="1"/>
  <c r="AA695" i="1" a="1"/>
  <c r="AA648" i="1" a="1"/>
  <c r="AA642" i="1" a="1"/>
  <c r="AA641" i="1" a="1"/>
  <c r="AA679" i="1" a="1"/>
  <c r="AA612" i="1" a="1"/>
  <c r="AA654" i="1" a="1"/>
  <c r="AA618" i="1" a="1"/>
  <c r="AA658" i="1" a="1"/>
  <c r="AA646" i="1" a="1"/>
  <c r="AA671" i="1" a="1"/>
  <c r="AA685" i="1" a="1"/>
  <c r="AA628" i="1" a="1"/>
  <c r="AA639" i="1" a="1"/>
  <c r="AA617" i="1" a="1"/>
  <c r="AA670" i="1" a="1"/>
  <c r="AA693" i="1" a="1"/>
  <c r="AC18" i="1" l="1"/>
  <c r="AC17" i="1"/>
  <c r="AC16" i="1"/>
  <c r="AC13" i="1"/>
  <c r="AC15" i="1"/>
  <c r="AC14" i="1"/>
  <c r="AC12" i="1"/>
  <c r="AC11" i="1"/>
  <c r="AD377" i="1"/>
  <c r="AD471" i="1"/>
  <c r="AD125" i="1"/>
  <c r="AD169" i="1"/>
  <c r="AD461" i="1"/>
  <c r="AD187" i="1"/>
  <c r="AD289" i="1"/>
  <c r="AD129" i="1"/>
  <c r="AD258" i="1"/>
  <c r="AD99" i="1"/>
  <c r="AD96" i="1"/>
  <c r="AD109" i="1"/>
  <c r="AD574" i="1"/>
  <c r="AD426" i="1"/>
  <c r="AD376" i="1"/>
  <c r="AD228" i="1"/>
  <c r="AD549" i="1"/>
  <c r="AD184" i="1"/>
  <c r="AD71" i="1"/>
  <c r="AD78" i="1"/>
  <c r="AD379" i="1"/>
  <c r="AD503" i="1"/>
  <c r="AD344" i="1"/>
  <c r="AD24" i="1"/>
  <c r="AD180" i="1"/>
  <c r="AD20" i="1"/>
  <c r="AD190" i="1"/>
  <c r="AD582" i="1"/>
  <c r="AD482" i="1"/>
  <c r="AD460" i="1"/>
  <c r="AD466" i="1"/>
  <c r="AD310" i="1"/>
  <c r="AD116" i="1"/>
  <c r="AD314" i="1"/>
  <c r="AD225" i="1"/>
  <c r="AD243" i="1"/>
  <c r="AD186" i="1"/>
  <c r="AD556" i="1"/>
  <c r="AD531" i="1"/>
  <c r="AD522" i="1"/>
  <c r="AD112" i="1"/>
  <c r="AD127" i="1"/>
  <c r="AD272" i="1"/>
  <c r="AD198" i="1"/>
  <c r="AD523" i="1"/>
  <c r="AD126" i="1"/>
  <c r="AD117" i="1"/>
  <c r="AD374" i="1"/>
  <c r="AD478" i="1"/>
  <c r="AD401" i="1"/>
  <c r="AD559" i="1"/>
  <c r="AD162" i="1"/>
  <c r="AD572" i="1"/>
  <c r="AD293" i="1"/>
  <c r="AD519" i="1"/>
  <c r="AD312" i="1"/>
  <c r="AD59" i="1"/>
  <c r="AD271" i="1"/>
  <c r="AD536" i="1"/>
  <c r="AD425" i="1"/>
  <c r="AD88" i="1"/>
  <c r="AD121" i="1"/>
  <c r="AD321" i="1"/>
  <c r="AD390" i="1"/>
  <c r="AD424" i="1"/>
  <c r="AD140" i="1"/>
  <c r="AD502" i="1"/>
  <c r="AD189" i="1"/>
  <c r="AD200" i="1"/>
  <c r="AD215" i="1"/>
  <c r="AD387" i="1"/>
  <c r="AD366" i="1"/>
  <c r="AD499" i="1"/>
  <c r="AD497" i="1"/>
  <c r="AD561" i="1"/>
  <c r="AD305" i="1"/>
  <c r="AD480" i="1"/>
  <c r="AD283" i="1"/>
  <c r="AD282" i="1"/>
  <c r="AD232" i="1"/>
  <c r="AD469" i="1"/>
  <c r="AD316" i="1"/>
  <c r="AD420" i="1"/>
  <c r="AD373" i="1"/>
  <c r="AD441" i="1"/>
  <c r="AD474" i="1"/>
  <c r="AD359" i="1"/>
  <c r="AD281" i="1"/>
  <c r="AD49" i="1"/>
  <c r="AD174" i="1"/>
  <c r="AD581" i="1"/>
  <c r="AD490" i="1"/>
  <c r="AD148" i="1"/>
  <c r="AD506" i="1"/>
  <c r="AD159" i="1"/>
  <c r="AD363" i="1"/>
  <c r="AD348" i="1"/>
  <c r="AD447" i="1"/>
  <c r="AD399" i="1"/>
  <c r="AD254" i="1"/>
  <c r="AD362" i="1"/>
  <c r="AD529" i="1"/>
  <c r="AD583" i="1"/>
  <c r="AD593" i="1"/>
  <c r="AD191" i="1"/>
  <c r="AD77" i="1"/>
  <c r="AD446" i="1"/>
  <c r="AD247" i="1"/>
  <c r="AD167" i="1"/>
  <c r="AD238" i="1"/>
  <c r="AD74" i="1"/>
  <c r="AD570" i="1"/>
  <c r="AD472" i="1"/>
  <c r="AD149" i="1"/>
  <c r="AD427" i="1"/>
  <c r="AD139" i="1"/>
  <c r="AD183" i="1"/>
  <c r="AD345" i="1"/>
  <c r="AD214" i="1"/>
  <c r="AD527" i="1"/>
  <c r="AD108" i="1"/>
  <c r="AD182" i="1"/>
  <c r="AD597" i="1"/>
  <c r="AD151" i="1"/>
  <c r="AD91" i="1"/>
  <c r="AD578" i="1"/>
  <c r="AD275" i="1"/>
  <c r="AD468" i="1"/>
  <c r="AD417" i="1"/>
  <c r="AD114" i="1"/>
  <c r="AD143" i="1"/>
  <c r="AD53" i="1"/>
  <c r="AD23" i="1"/>
  <c r="AD372" i="1"/>
  <c r="AD569" i="1"/>
  <c r="AD336" i="1"/>
  <c r="AD579" i="1"/>
  <c r="AD231" i="1"/>
  <c r="AD153" i="1"/>
  <c r="AD249" i="1"/>
  <c r="AD433" i="1"/>
  <c r="AD229" i="1"/>
  <c r="AD494" i="1"/>
  <c r="AD414" i="1"/>
  <c r="AD242" i="1"/>
  <c r="AD248" i="1"/>
  <c r="AD147" i="1"/>
  <c r="AD130" i="1"/>
  <c r="AD286" i="1"/>
  <c r="AD138" i="1"/>
  <c r="AD241" i="1"/>
  <c r="AD207" i="1"/>
  <c r="AD34" i="1"/>
  <c r="AD520" i="1"/>
  <c r="AD124" i="1"/>
  <c r="AD21" i="1"/>
  <c r="AD467" i="1"/>
  <c r="AD294" i="1"/>
  <c r="AD515" i="1"/>
  <c r="AD239" i="1"/>
  <c r="AD197" i="1"/>
  <c r="AD358" i="1"/>
  <c r="AD406" i="1"/>
  <c r="AD501" i="1"/>
  <c r="AD596" i="1"/>
  <c r="AD525" i="1"/>
  <c r="AD179" i="1"/>
  <c r="AD528" i="1"/>
  <c r="AD175" i="1"/>
  <c r="AD280" i="1"/>
  <c r="AD456" i="1"/>
  <c r="AD269" i="1"/>
  <c r="AD244" i="1"/>
  <c r="AD380" i="1"/>
  <c r="AD145" i="1"/>
  <c r="AD369" i="1"/>
  <c r="AD253" i="1"/>
  <c r="AD330" i="1"/>
  <c r="AD279" i="1"/>
  <c r="AD351" i="1"/>
  <c r="AD110" i="1"/>
  <c r="AD485" i="1"/>
  <c r="AD152" i="1"/>
  <c r="AD201" i="1"/>
  <c r="AD512" i="1"/>
  <c r="AD137" i="1"/>
  <c r="AD370" i="1"/>
  <c r="AD455" i="1"/>
  <c r="AD156" i="1"/>
  <c r="AD218" i="1"/>
  <c r="AD56" i="1"/>
  <c r="AD493" i="1"/>
  <c r="AD62" i="1"/>
  <c r="AD322" i="1"/>
  <c r="AD41" i="1"/>
  <c r="AD58" i="1"/>
  <c r="AD576" i="1"/>
  <c r="AD486" i="1"/>
  <c r="AD487" i="1"/>
  <c r="AD66" i="1"/>
  <c r="AD385" i="1"/>
  <c r="AD298" i="1"/>
  <c r="AD131" i="1"/>
  <c r="AD407" i="1"/>
  <c r="AD171" i="1"/>
  <c r="AD560" i="1"/>
  <c r="AD234" i="1"/>
  <c r="AD394" i="1"/>
  <c r="AD72" i="1"/>
  <c r="AD526" i="1"/>
  <c r="AD573" i="1"/>
  <c r="AD26" i="1"/>
  <c r="AD25" i="1"/>
  <c r="AD210" i="1"/>
  <c r="AD87" i="1"/>
  <c r="AD290" i="1"/>
  <c r="AD365" i="1"/>
  <c r="AD393" i="1"/>
  <c r="AD102" i="1"/>
  <c r="AD383" i="1"/>
  <c r="AD444" i="1"/>
  <c r="AD245" i="1"/>
  <c r="AD498" i="1"/>
  <c r="AD79" i="1"/>
  <c r="AD311" i="1"/>
  <c r="AD586" i="1"/>
  <c r="AD100" i="1"/>
  <c r="AD160" i="1"/>
  <c r="AD212" i="1"/>
  <c r="AD364" i="1"/>
  <c r="AD199" i="1"/>
  <c r="AD40" i="1"/>
  <c r="AD132" i="1"/>
  <c r="AD176" i="1"/>
  <c r="AD397" i="1"/>
  <c r="AD317" i="1"/>
  <c r="AD233" i="1"/>
  <c r="AD135" i="1"/>
  <c r="AD235" i="1"/>
  <c r="AD543" i="1"/>
  <c r="AD489" i="1"/>
  <c r="AD284" i="1"/>
  <c r="AD595" i="1"/>
  <c r="AD42" i="1"/>
  <c r="AD355" i="1"/>
  <c r="AD35" i="1"/>
  <c r="AD106" i="1"/>
  <c r="AD507" i="1"/>
  <c r="AD459" i="1"/>
  <c r="AD61" i="1"/>
  <c r="AD327" i="1"/>
  <c r="AD481" i="1"/>
  <c r="AD517" i="1"/>
  <c r="AD440" i="1"/>
  <c r="AD80" i="1"/>
  <c r="AD43" i="1"/>
  <c r="AD306" i="1"/>
  <c r="AD429" i="1"/>
  <c r="AD177" i="1"/>
  <c r="AD313" i="1"/>
  <c r="AD315" i="1"/>
  <c r="AD589" i="1"/>
  <c r="AD50" i="1"/>
  <c r="AD594" i="1"/>
  <c r="AD419" i="1"/>
  <c r="AD592" i="1"/>
  <c r="AD349" i="1"/>
  <c r="AD329" i="1"/>
  <c r="AD454" i="1"/>
  <c r="AD552" i="1"/>
  <c r="AD319" i="1"/>
  <c r="AD539" i="1"/>
  <c r="AD405" i="1"/>
  <c r="AD423" i="1"/>
  <c r="AD437" i="1"/>
  <c r="AD395" i="1"/>
  <c r="AD571" i="1"/>
  <c r="AD301" i="1"/>
  <c r="AD564" i="1"/>
  <c r="AD408" i="1"/>
  <c r="AD82" i="1"/>
  <c r="AD32" i="1"/>
  <c r="AD76" i="1"/>
  <c r="AD213" i="1"/>
  <c r="AD266" i="1"/>
  <c r="AD378" i="1"/>
  <c r="AD209" i="1"/>
  <c r="AD157" i="1"/>
  <c r="AD165" i="1"/>
  <c r="AD548" i="1"/>
  <c r="AD491" i="1"/>
  <c r="AD288" i="1"/>
  <c r="AD557" i="1"/>
  <c r="AD338" i="1"/>
  <c r="AD81" i="1"/>
  <c r="AD166" i="1"/>
  <c r="AD411" i="1"/>
  <c r="AD509" i="1"/>
  <c r="AD352" i="1"/>
  <c r="AD402" i="1"/>
  <c r="AD134" i="1"/>
  <c r="AD39" i="1"/>
  <c r="AD463" i="1"/>
  <c r="AD514" i="1"/>
  <c r="AD599" i="1"/>
  <c r="AD541" i="1"/>
  <c r="AD532" i="1"/>
  <c r="AD303" i="1"/>
  <c r="AD128" i="1"/>
  <c r="AD22" i="1"/>
  <c r="AD400" i="1"/>
  <c r="AD188" i="1"/>
  <c r="AD513" i="1"/>
  <c r="AD94" i="1"/>
  <c r="AD404" i="1"/>
  <c r="AD37" i="1"/>
  <c r="AD95" i="1"/>
  <c r="AD196" i="1"/>
  <c r="AD566" i="1"/>
  <c r="AD120" i="1"/>
  <c r="AD299" i="1"/>
  <c r="AD263" i="1"/>
  <c r="AD267" i="1"/>
  <c r="AD36" i="1"/>
  <c r="AD483" i="1"/>
  <c r="AD295" i="1"/>
  <c r="AD73" i="1"/>
  <c r="AD442" i="1"/>
  <c r="AD510" i="1"/>
  <c r="AD473" i="1"/>
  <c r="AD107" i="1"/>
  <c r="AD105" i="1"/>
  <c r="AD505" i="1"/>
  <c r="AD205" i="1"/>
  <c r="AD261" i="1"/>
  <c r="AD84" i="1"/>
  <c r="AD273" i="1"/>
  <c r="AD451" i="1"/>
  <c r="AD430" i="1"/>
  <c r="AD44" i="1"/>
  <c r="AD452" i="1"/>
  <c r="AD85" i="1"/>
  <c r="AD588" i="1"/>
  <c r="AD97" i="1"/>
  <c r="AD67" i="1"/>
  <c r="AD339" i="1"/>
  <c r="AD476" i="1"/>
  <c r="AD328" i="1"/>
  <c r="AD161" i="1"/>
  <c r="AD75" i="1"/>
  <c r="AD431" i="1"/>
  <c r="AD392" i="1"/>
  <c r="AD202" i="1"/>
  <c r="AD334" i="1"/>
  <c r="AD462" i="1"/>
  <c r="AD60" i="1"/>
  <c r="AD54" i="1"/>
  <c r="AD133" i="1"/>
  <c r="AD211" i="1"/>
  <c r="AD516" i="1"/>
  <c r="AD340" i="1"/>
  <c r="AD422" i="1"/>
  <c r="AD432" i="1"/>
  <c r="AD553" i="1"/>
  <c r="AD296" i="1"/>
  <c r="AD542" i="1"/>
  <c r="AD300" i="1"/>
  <c r="AD415" i="1"/>
  <c r="AD577" i="1"/>
  <c r="AD259" i="1"/>
  <c r="AD65" i="1"/>
  <c r="AD10" i="1"/>
  <c r="AD554" i="1"/>
  <c r="AD224" i="1"/>
  <c r="AD255" i="1"/>
  <c r="AD371" i="1"/>
  <c r="AD27" i="1"/>
  <c r="AD172" i="1"/>
  <c r="AD304" i="1"/>
  <c r="AD382" i="1"/>
  <c r="AD146" i="1"/>
  <c r="AD93" i="1"/>
  <c r="AD445" i="1"/>
  <c r="AD495" i="1"/>
  <c r="AD562" i="1"/>
  <c r="AD413" i="1"/>
  <c r="AD360" i="1"/>
  <c r="AD45" i="1"/>
  <c r="AD185" i="1"/>
  <c r="AD546" i="1"/>
  <c r="AD356" i="1"/>
  <c r="AD598" i="1"/>
  <c r="AD292" i="1"/>
  <c r="AD277" i="1"/>
  <c r="AD206" i="1"/>
  <c r="AD57" i="1"/>
  <c r="AD384" i="1"/>
  <c r="AD350" i="1"/>
  <c r="AD203" i="1"/>
  <c r="AD504" i="1"/>
  <c r="AD464" i="1"/>
  <c r="AD410" i="1"/>
  <c r="AD354" i="1"/>
  <c r="AD38" i="1"/>
  <c r="AD537" i="1"/>
  <c r="AD194" i="1"/>
  <c r="AD567" i="1"/>
  <c r="AD488" i="1"/>
  <c r="AD448" i="1"/>
  <c r="AD236" i="1"/>
  <c r="AD252" i="1"/>
  <c r="AD375" i="1"/>
  <c r="AD550" i="1"/>
  <c r="AD230" i="1"/>
  <c r="AD457" i="1"/>
  <c r="AD104" i="1"/>
  <c r="AD428" i="1"/>
  <c r="AD264" i="1"/>
  <c r="AD508" i="1"/>
  <c r="AD585" i="1"/>
  <c r="AD477" i="1"/>
  <c r="AD223" i="1"/>
  <c r="AD154" i="1"/>
  <c r="AD309" i="1"/>
  <c r="AD260" i="1"/>
  <c r="AD90" i="1"/>
  <c r="AD142" i="1"/>
  <c r="AD443" i="1"/>
  <c r="AD136" i="1"/>
  <c r="AD52" i="1"/>
  <c r="AD450" i="1"/>
  <c r="AD323" i="1"/>
  <c r="AD540" i="1"/>
  <c r="AD250" i="1"/>
  <c r="AD46" i="1"/>
  <c r="AD367" i="1"/>
  <c r="AD361" i="1"/>
  <c r="AD119" i="1"/>
  <c r="AD302" i="1"/>
  <c r="AD479" i="1"/>
  <c r="AD584" i="1"/>
  <c r="AD29" i="1"/>
  <c r="AD48" i="1"/>
  <c r="AD346" i="1"/>
  <c r="AD544" i="1"/>
  <c r="AD331" i="1"/>
  <c r="AD412" i="1"/>
  <c r="AD285" i="1"/>
  <c r="AD568" i="1"/>
  <c r="AD318" i="1"/>
  <c r="AD69" i="1"/>
  <c r="AD521" i="1"/>
  <c r="AD47" i="1"/>
  <c r="AD381" i="1"/>
  <c r="AD347" i="1"/>
  <c r="AD492" i="1"/>
  <c r="AD155" i="1"/>
  <c r="AD274" i="1"/>
  <c r="AD357" i="1"/>
  <c r="AD535" i="1"/>
  <c r="AD192" i="1"/>
  <c r="AD181" i="1"/>
  <c r="AD98" i="1"/>
  <c r="AD123" i="1"/>
  <c r="AD475" i="1"/>
  <c r="AD227" i="1"/>
  <c r="AD547" i="1"/>
  <c r="AD449" i="1"/>
  <c r="AD193" i="1"/>
  <c r="AD436" i="1"/>
  <c r="AD496" i="1"/>
  <c r="AD558" i="1"/>
  <c r="AD9" i="1"/>
  <c r="AD220" i="1"/>
  <c r="AD307" i="1"/>
  <c r="AD421" i="1"/>
  <c r="AD287" i="1"/>
  <c r="AD262" i="1"/>
  <c r="AD590" i="1"/>
  <c r="AD251" i="1"/>
  <c r="AD122" i="1"/>
  <c r="AD70" i="1"/>
  <c r="AD168" i="1"/>
  <c r="AD453" i="1"/>
  <c r="AD178" i="1"/>
  <c r="AD545" i="1"/>
  <c r="AD538" i="1"/>
  <c r="AD68" i="1"/>
  <c r="AD86" i="1"/>
  <c r="AD533" i="1"/>
  <c r="AD388" i="1"/>
  <c r="AD587" i="1"/>
  <c r="AD150" i="1"/>
  <c r="AD31" i="1"/>
  <c r="AD511" i="1"/>
  <c r="AD63" i="1"/>
  <c r="AD30" i="1"/>
  <c r="AD173" i="1"/>
  <c r="AD221" i="1"/>
  <c r="AD237" i="1"/>
  <c r="AD320" i="1"/>
  <c r="AD246" i="1"/>
  <c r="AD297" i="1"/>
  <c r="AD33" i="1"/>
  <c r="AD458" i="1"/>
  <c r="AD265" i="1"/>
  <c r="AD368" i="1"/>
  <c r="AD484" i="1"/>
  <c r="AD409" i="1"/>
  <c r="AD337" i="1"/>
  <c r="AD222" i="1"/>
  <c r="AD164" i="1"/>
  <c r="AD555" i="1"/>
  <c r="AD439" i="1"/>
  <c r="AD465" i="1"/>
  <c r="AD141" i="1"/>
  <c r="AD418" i="1"/>
  <c r="AD396" i="1"/>
  <c r="AD111" i="1"/>
  <c r="AD226" i="1"/>
  <c r="AD118" i="1"/>
  <c r="AD580" i="1"/>
  <c r="AD89" i="1"/>
  <c r="AD341" i="1"/>
  <c r="AD386" i="1"/>
  <c r="AD325" i="1"/>
  <c r="AD208" i="1"/>
  <c r="AD326" i="1"/>
  <c r="AD308" i="1"/>
  <c r="AD83" i="1"/>
  <c r="AD170" i="1"/>
  <c r="AD103" i="1"/>
  <c r="AD257" i="1"/>
  <c r="AD64" i="1"/>
  <c r="AD195" i="1"/>
  <c r="AD19" i="1"/>
  <c r="AD353" i="1"/>
  <c r="AD551" i="1"/>
  <c r="AD524" i="1"/>
  <c r="AD530" i="1"/>
  <c r="AD403" i="1"/>
  <c r="AD518" i="1"/>
  <c r="AD163" i="1"/>
  <c r="AD435" i="1"/>
  <c r="AD438" i="1"/>
  <c r="AD565" i="1"/>
  <c r="AD500" i="1"/>
  <c r="AD343" i="1"/>
  <c r="AD575" i="1"/>
  <c r="AD534" i="1"/>
  <c r="AD51" i="1"/>
  <c r="AD332" i="1"/>
  <c r="AD115" i="1"/>
  <c r="AD563" i="1"/>
  <c r="AD291" i="1"/>
  <c r="AD113" i="1"/>
  <c r="AD416" i="1"/>
  <c r="AD204" i="1"/>
  <c r="AD278" i="1"/>
  <c r="AD389" i="1"/>
  <c r="AD92" i="1"/>
  <c r="AD216" i="1"/>
  <c r="AD333" i="1"/>
  <c r="AD391" i="1"/>
  <c r="AD335" i="1"/>
  <c r="AD434" i="1"/>
  <c r="AD342" i="1"/>
  <c r="AD398" i="1"/>
  <c r="AD101" i="1"/>
  <c r="AD324" i="1"/>
  <c r="AD470" i="1"/>
  <c r="AD158" i="1"/>
  <c r="AD270" i="1"/>
  <c r="AD268" i="1"/>
  <c r="AD28" i="1"/>
  <c r="AD276" i="1"/>
  <c r="AD144" i="1"/>
  <c r="AD591" i="1"/>
  <c r="AD55" i="1"/>
  <c r="AD256" i="1"/>
  <c r="AD219" i="1"/>
  <c r="AD240" i="1"/>
  <c r="AD217" i="1"/>
  <c r="AA676" i="1"/>
  <c r="AA698" i="1"/>
  <c r="AA606" i="1"/>
  <c r="AA689" i="1"/>
  <c r="AA642" i="1"/>
  <c r="AA690" i="1"/>
  <c r="AA632" i="1"/>
  <c r="AA695" i="1"/>
  <c r="AA685" i="1"/>
  <c r="AA667" i="1"/>
  <c r="AA623" i="1"/>
  <c r="AA650" i="1"/>
  <c r="AA675" i="1"/>
  <c r="AA631" i="1"/>
  <c r="AA622" i="1"/>
  <c r="AA696" i="1"/>
  <c r="AA658" i="1"/>
  <c r="AA626" i="1"/>
  <c r="AA612" i="1"/>
  <c r="AA647" i="1"/>
  <c r="AA687" i="1"/>
  <c r="AA688" i="1"/>
  <c r="AA656" i="1"/>
  <c r="AA601" i="1"/>
  <c r="AA673" i="1"/>
  <c r="AA682" i="1"/>
  <c r="AA634" i="1"/>
  <c r="AA613" i="1"/>
  <c r="AA671" i="1"/>
  <c r="AA616" i="1"/>
  <c r="AA646" i="1"/>
  <c r="AA693" i="1"/>
  <c r="AA694" i="1"/>
  <c r="AA661" i="1"/>
  <c r="AA602" i="1"/>
  <c r="AA641" i="1"/>
  <c r="AA651" i="1"/>
  <c r="AA654" i="1"/>
  <c r="AA644" i="1"/>
  <c r="AA669" i="1"/>
  <c r="AA662" i="1"/>
  <c r="AA672" i="1"/>
  <c r="AA684" i="1"/>
  <c r="AA674" i="1"/>
  <c r="AA627" i="1"/>
  <c r="AA691" i="1"/>
  <c r="AA643" i="1"/>
  <c r="AA668" i="1"/>
  <c r="AA659" i="1"/>
  <c r="AA648" i="1"/>
  <c r="AA657" i="1"/>
  <c r="AA628" i="1"/>
  <c r="AA605" i="1"/>
  <c r="AA633" i="1"/>
  <c r="AA638" i="1"/>
  <c r="AA664" i="1"/>
  <c r="AA665" i="1"/>
  <c r="AA637" i="1"/>
  <c r="AA653" i="1"/>
  <c r="AA604" i="1"/>
  <c r="AA629" i="1"/>
  <c r="AA619" i="1"/>
  <c r="AA621" i="1"/>
  <c r="AA614" i="1"/>
  <c r="AA678" i="1"/>
  <c r="AA636" i="1"/>
  <c r="AA615" i="1"/>
  <c r="AA611" i="1"/>
  <c r="AA683" i="1"/>
  <c r="AA692" i="1"/>
  <c r="AA655" i="1"/>
  <c r="AA652" i="1"/>
  <c r="AA639" i="1"/>
  <c r="AA609" i="1"/>
  <c r="AA660" i="1"/>
  <c r="AA699" i="1"/>
  <c r="AA640" i="1"/>
  <c r="AA677" i="1"/>
  <c r="AA625" i="1"/>
  <c r="AA630" i="1"/>
  <c r="AA618" i="1"/>
  <c r="AA670" i="1"/>
  <c r="AA620" i="1"/>
  <c r="AA663" i="1"/>
  <c r="AA624" i="1"/>
  <c r="AA635" i="1"/>
  <c r="AA607" i="1"/>
  <c r="AA681" i="1"/>
  <c r="AA610" i="1"/>
  <c r="AA697" i="1"/>
  <c r="AA686" i="1"/>
  <c r="AA608" i="1"/>
  <c r="AA679" i="1"/>
  <c r="AA680" i="1"/>
  <c r="AA617" i="1"/>
  <c r="AA649" i="1"/>
  <c r="AA666" i="1"/>
  <c r="AA645" i="1"/>
  <c r="AA603" i="1"/>
  <c r="AD18" i="1" a="1"/>
  <c r="AD17" i="1" a="1"/>
  <c r="AD16" i="1" a="1"/>
  <c r="AD13" i="1" a="1"/>
  <c r="AD15" i="1" a="1"/>
  <c r="AD14" i="1" a="1"/>
  <c r="AD12" i="1" a="1"/>
  <c r="AD11" i="1" a="1"/>
  <c r="AE377" i="1" a="1"/>
  <c r="AE109" i="1" a="1"/>
  <c r="AE24" i="1" a="1"/>
  <c r="AE243" i="1" a="1"/>
  <c r="AE374" i="1" a="1"/>
  <c r="AE425" i="1" a="1"/>
  <c r="AE366" i="1" a="1"/>
  <c r="AE373" i="1" a="1"/>
  <c r="AE363" i="1" a="1"/>
  <c r="AE247" i="1" a="1"/>
  <c r="AE527" i="1" a="1"/>
  <c r="AE53" i="1" a="1"/>
  <c r="AE414" i="1" a="1"/>
  <c r="AE21" i="1" a="1"/>
  <c r="AE528" i="1" a="1"/>
  <c r="AE351" i="1" a="1"/>
  <c r="AE218" i="1" a="1"/>
  <c r="AE298" i="1" a="1"/>
  <c r="AE210" i="1" a="1"/>
  <c r="AE586" i="1" a="1"/>
  <c r="AE135" i="1" a="1"/>
  <c r="AE61" i="1" a="1"/>
  <c r="AE589" i="1" a="1"/>
  <c r="AE405" i="1" a="1"/>
  <c r="AE213" i="1" a="1"/>
  <c r="AE166" i="1" a="1"/>
  <c r="AE303" i="1" a="1"/>
  <c r="AE120" i="1" a="1"/>
  <c r="AE105" i="1" a="1"/>
  <c r="AE97" i="1" a="1"/>
  <c r="AE60" i="1" a="1"/>
  <c r="AE415" i="1" a="1"/>
  <c r="AE382" i="1" a="1"/>
  <c r="AE598" i="1" a="1"/>
  <c r="AE354" i="1" a="1"/>
  <c r="AE457" i="1" a="1"/>
  <c r="AE142" i="1" a="1"/>
  <c r="AE302" i="1" a="1"/>
  <c r="AE318" i="1" a="1"/>
  <c r="AE181" i="1" a="1"/>
  <c r="AE220" i="1" a="1"/>
  <c r="AE30" i="1" a="1"/>
  <c r="AE409" i="1" a="1"/>
  <c r="AE118" i="1" a="1"/>
  <c r="AE257" i="1" a="1"/>
  <c r="AE438" i="1" a="1"/>
  <c r="AE416" i="1" a="1"/>
  <c r="AE101" i="1" a="1"/>
  <c r="AE219" i="1" a="1"/>
  <c r="AE221" i="1" a="1"/>
  <c r="AE89" i="1" a="1"/>
  <c r="AE500" i="1" a="1"/>
  <c r="AE278" i="1" a="1"/>
  <c r="AE217" i="1" a="1"/>
  <c r="AE19" i="1" a="1"/>
  <c r="AE158" i="1" a="1"/>
  <c r="AE461" i="1" a="1"/>
  <c r="AE390" i="1" a="1"/>
  <c r="AE254" i="1" a="1"/>
  <c r="AE151" i="1" a="1"/>
  <c r="AE239" i="1" a="1"/>
  <c r="AE322" i="1" a="1"/>
  <c r="AE284" i="1" a="1"/>
  <c r="AE419" i="1" a="1"/>
  <c r="AE157" i="1" a="1"/>
  <c r="AE36" i="1" a="1"/>
  <c r="AE516" i="1" a="1"/>
  <c r="AE495" i="1" a="1"/>
  <c r="AE508" i="1" a="1"/>
  <c r="AE381" i="1" a="1"/>
  <c r="AE262" i="1" a="1"/>
  <c r="AE555" i="1" a="1"/>
  <c r="AE575" i="1" a="1"/>
  <c r="AE92" i="1" a="1"/>
  <c r="AE187" i="1" a="1"/>
  <c r="AE41" i="1" a="1"/>
  <c r="AE134" i="1" a="1"/>
  <c r="AE562" i="1" a="1"/>
  <c r="AE347" i="1" a="1"/>
  <c r="AE325" i="1" a="1"/>
  <c r="AE460" i="1" a="1"/>
  <c r="AE140" i="1" a="1"/>
  <c r="AE174" i="1" a="1"/>
  <c r="AE149" i="1" a="1"/>
  <c r="AE231" i="1" a="1"/>
  <c r="AE138" i="1" a="1"/>
  <c r="AE380" i="1" a="1"/>
  <c r="AE58" i="1" a="1"/>
  <c r="AE383" i="1" a="1"/>
  <c r="AE43" i="1" a="1"/>
  <c r="AE301" i="1" a="1"/>
  <c r="AE548" i="1" a="1"/>
  <c r="AE94" i="1" a="1"/>
  <c r="AE295" i="1" a="1"/>
  <c r="AE75" i="1" a="1"/>
  <c r="AE413" i="1" a="1"/>
  <c r="AE540" i="1" a="1"/>
  <c r="AE449" i="1" a="1"/>
  <c r="AE297" i="1" a="1"/>
  <c r="AE524" i="1" a="1"/>
  <c r="AE28" i="1" a="1"/>
  <c r="AE71" i="1" a="1"/>
  <c r="AE444" i="1" a="1"/>
  <c r="AE255" i="1" a="1"/>
  <c r="AE122" i="1" a="1"/>
  <c r="AE332" i="1" a="1"/>
  <c r="AE198" i="1" a="1"/>
  <c r="AE312" i="1" a="1"/>
  <c r="AE189" i="1" a="1"/>
  <c r="AE490" i="1" a="1"/>
  <c r="AE139" i="1" a="1"/>
  <c r="AE249" i="1" a="1"/>
  <c r="AE369" i="1" a="1"/>
  <c r="AE526" i="1" a="1"/>
  <c r="AE176" i="1" a="1"/>
  <c r="AE454" i="1" a="1"/>
  <c r="AE288" i="1" a="1"/>
  <c r="AE442" i="1" a="1"/>
  <c r="AE553" i="1" a="1"/>
  <c r="AE203" i="1" a="1"/>
  <c r="AE46" i="1" a="1"/>
  <c r="AE70" i="1" a="1"/>
  <c r="AE418" i="1" a="1"/>
  <c r="AE115" i="1" a="1"/>
  <c r="AE144" i="1" a="1"/>
  <c r="AE99" i="1" a="1"/>
  <c r="AE106" i="1" a="1"/>
  <c r="AE27" i="1" a="1"/>
  <c r="AE31" i="1" a="1"/>
  <c r="AE591" i="1" a="1"/>
  <c r="AE126" i="1" a="1"/>
  <c r="AE271" i="1" a="1"/>
  <c r="AE215" i="1" a="1"/>
  <c r="AE316" i="1" a="1"/>
  <c r="AE77" i="1" a="1"/>
  <c r="AE114" i="1" a="1"/>
  <c r="AE520" i="1" a="1"/>
  <c r="AE455" i="1" a="1"/>
  <c r="AE79" i="1" a="1"/>
  <c r="AE507" i="1" a="1"/>
  <c r="AE319" i="1" a="1"/>
  <c r="AE541" i="1" a="1"/>
  <c r="AE473" i="1" a="1"/>
  <c r="AE334" i="1" a="1"/>
  <c r="AE546" i="1" a="1"/>
  <c r="AE260" i="1" a="1"/>
  <c r="AE535" i="1" a="1"/>
  <c r="AE511" i="1" a="1"/>
  <c r="AE170" i="1" a="1"/>
  <c r="AE342" i="1" a="1"/>
  <c r="AE279" i="1" a="1"/>
  <c r="AE76" i="1" a="1"/>
  <c r="AE304" i="1" a="1"/>
  <c r="AE9" i="1" a="1"/>
  <c r="AE398" i="1" a="1"/>
  <c r="AE471" i="1" a="1"/>
  <c r="AE574" i="1" a="1"/>
  <c r="AE180" i="1" a="1"/>
  <c r="AE186" i="1" a="1"/>
  <c r="AE478" i="1" a="1"/>
  <c r="AE88" i="1" a="1"/>
  <c r="AE499" i="1" a="1"/>
  <c r="AE441" i="1" a="1"/>
  <c r="AE348" i="1" a="1"/>
  <c r="AE167" i="1" a="1"/>
  <c r="AE108" i="1" a="1"/>
  <c r="AE23" i="1" a="1"/>
  <c r="AE242" i="1" a="1"/>
  <c r="AE467" i="1" a="1"/>
  <c r="AE175" i="1" a="1"/>
  <c r="AE110" i="1" a="1"/>
  <c r="AE56" i="1" a="1"/>
  <c r="AE131" i="1" a="1"/>
  <c r="AE87" i="1" a="1"/>
  <c r="AE100" i="1" a="1"/>
  <c r="AE235" i="1" a="1"/>
  <c r="AE327" i="1" a="1"/>
  <c r="AE50" i="1" a="1"/>
  <c r="AE266" i="1" a="1"/>
  <c r="AE411" i="1" a="1"/>
  <c r="AE128" i="1" a="1"/>
  <c r="AE299" i="1" a="1"/>
  <c r="AE505" i="1" a="1"/>
  <c r="AE67" i="1" a="1"/>
  <c r="AE54" i="1" a="1"/>
  <c r="AE577" i="1" a="1"/>
  <c r="AE146" i="1" a="1"/>
  <c r="AE292" i="1" a="1"/>
  <c r="AE38" i="1" a="1"/>
  <c r="AE104" i="1" a="1"/>
  <c r="AE443" i="1" a="1"/>
  <c r="AE479" i="1" a="1"/>
  <c r="AE69" i="1" a="1"/>
  <c r="AE98" i="1" a="1"/>
  <c r="AE307" i="1" a="1"/>
  <c r="AE545" i="1" a="1"/>
  <c r="AE173" i="1" a="1"/>
  <c r="AE337" i="1" a="1"/>
  <c r="AE580" i="1" a="1"/>
  <c r="AE64" i="1" a="1"/>
  <c r="AE565" i="1" a="1"/>
  <c r="AE204" i="1" a="1"/>
  <c r="AE324" i="1" a="1"/>
  <c r="AE240" i="1" a="1"/>
  <c r="AE538" i="1" a="1"/>
  <c r="AE195" i="1" a="1"/>
  <c r="AE470" i="1" a="1"/>
  <c r="AE389" i="1" a="1"/>
  <c r="AE228" i="1" a="1"/>
  <c r="AE162" i="1" a="1"/>
  <c r="AE305" i="1" a="1"/>
  <c r="AE281" i="1" a="1"/>
  <c r="AE570" i="1" a="1"/>
  <c r="AE336" i="1" a="1"/>
  <c r="AE130" i="1" a="1"/>
  <c r="AE269" i="1" a="1"/>
  <c r="AE201" i="1" a="1"/>
  <c r="AE393" i="1" a="1"/>
  <c r="AE440" i="1" a="1"/>
  <c r="AE395" i="1" a="1"/>
  <c r="AE402" i="1" a="1"/>
  <c r="AE328" i="1" a="1"/>
  <c r="AE10" i="1" a="1"/>
  <c r="AE57" i="1" a="1"/>
  <c r="AE48" i="1" a="1"/>
  <c r="AE227" i="1" a="1"/>
  <c r="AE86" i="1" a="1"/>
  <c r="AE353" i="1" a="1"/>
  <c r="AE270" i="1" a="1"/>
  <c r="AE549" i="1" a="1"/>
  <c r="AE197" i="1" a="1"/>
  <c r="AE80" i="1" a="1"/>
  <c r="AE273" i="1" a="1"/>
  <c r="AE585" i="1" a="1"/>
  <c r="AE246" i="1" a="1"/>
  <c r="AE268" i="1" a="1"/>
  <c r="AE127" i="1" a="1"/>
  <c r="AE293" i="1" a="1"/>
  <c r="AE283" i="1" a="1"/>
  <c r="AE529" i="1" a="1"/>
  <c r="AE578" i="1" a="1"/>
  <c r="AE358" i="1" a="1"/>
  <c r="AE40" i="1" a="1"/>
  <c r="AE349" i="1" a="1"/>
  <c r="AE39" i="1" a="1"/>
  <c r="AE451" i="1" a="1"/>
  <c r="AE448" i="1" a="1"/>
  <c r="AE477" i="1" a="1"/>
  <c r="AE544" i="1" a="1"/>
  <c r="AE388" i="1" a="1"/>
  <c r="AE465" i="1" a="1"/>
  <c r="AE51" i="1" a="1"/>
  <c r="AE129" i="1" a="1"/>
  <c r="AE132" i="1" a="1"/>
  <c r="AE360" i="1" a="1"/>
  <c r="AE155" i="1" a="1"/>
  <c r="AE326" i="1" a="1"/>
  <c r="AE310" i="1" a="1"/>
  <c r="AE232" i="1" a="1"/>
  <c r="AE593" i="1" a="1"/>
  <c r="AE468" i="1" a="1"/>
  <c r="AE501" i="1" a="1"/>
  <c r="AE486" i="1" a="1"/>
  <c r="AE245" i="1" a="1"/>
  <c r="AE429" i="1" a="1"/>
  <c r="AE408" i="1" a="1"/>
  <c r="AE37" i="1" a="1"/>
  <c r="AE44" i="1" a="1"/>
  <c r="AE371" i="1" a="1"/>
  <c r="AE252" i="1" a="1"/>
  <c r="AE412" i="1" a="1"/>
  <c r="AE436" i="1" a="1"/>
  <c r="AE458" i="1" a="1"/>
  <c r="AE403" i="1" a="1"/>
  <c r="AE116" i="1" a="1"/>
  <c r="AE487" i="1" a="1"/>
  <c r="AE95" i="1" a="1"/>
  <c r="AE375" i="1" a="1"/>
  <c r="AE265" i="1" a="1"/>
  <c r="AE314" i="1" a="1"/>
  <c r="AE506" i="1" a="1"/>
  <c r="AE345" i="1" a="1"/>
  <c r="AE229" i="1" a="1"/>
  <c r="AE525" i="1" a="1"/>
  <c r="AE66" i="1" a="1"/>
  <c r="AE317" i="1" a="1"/>
  <c r="AE313" i="1" a="1"/>
  <c r="AE338" i="1" a="1"/>
  <c r="AE85" i="1" a="1"/>
  <c r="AE542" i="1" a="1"/>
  <c r="AE464" i="1" a="1"/>
  <c r="AE361" i="1" a="1"/>
  <c r="AE558" i="1" a="1"/>
  <c r="AE368" i="1" a="1"/>
  <c r="AE163" i="1" a="1"/>
  <c r="AE344" i="1" a="1"/>
  <c r="AE179" i="1" a="1"/>
  <c r="AE315" i="1" a="1"/>
  <c r="AE300" i="1" a="1"/>
  <c r="AE103" i="1" a="1"/>
  <c r="AE125" i="1" a="1"/>
  <c r="AE426" i="1" a="1"/>
  <c r="AE20" i="1" a="1"/>
  <c r="AE556" i="1" a="1"/>
  <c r="AE401" i="1" a="1"/>
  <c r="AE121" i="1" a="1"/>
  <c r="AE497" i="1" a="1"/>
  <c r="AE474" i="1" a="1"/>
  <c r="AE447" i="1" a="1"/>
  <c r="AE238" i="1" a="1"/>
  <c r="AE182" i="1" a="1"/>
  <c r="AE372" i="1" a="1"/>
  <c r="AE248" i="1" a="1"/>
  <c r="AE294" i="1" a="1"/>
  <c r="AE280" i="1" a="1"/>
  <c r="AE485" i="1" a="1"/>
  <c r="AE493" i="1" a="1"/>
  <c r="AE407" i="1" a="1"/>
  <c r="AE290" i="1" a="1"/>
  <c r="AE160" i="1" a="1"/>
  <c r="AE543" i="1" a="1"/>
  <c r="AE481" i="1" a="1"/>
  <c r="AE423" i="1" a="1"/>
  <c r="AE378" i="1" a="1"/>
  <c r="AE509" i="1" a="1"/>
  <c r="AE22" i="1" a="1"/>
  <c r="AE263" i="1" a="1"/>
  <c r="AE205" i="1" a="1"/>
  <c r="AE339" i="1" a="1"/>
  <c r="AE133" i="1" a="1"/>
  <c r="AE259" i="1" a="1"/>
  <c r="AE93" i="1" a="1"/>
  <c r="AE277" i="1" a="1"/>
  <c r="AE537" i="1" a="1"/>
  <c r="AE428" i="1" a="1"/>
  <c r="AE136" i="1" a="1"/>
  <c r="AE584" i="1" a="1"/>
  <c r="AE521" i="1" a="1"/>
  <c r="AE123" i="1" a="1"/>
  <c r="AE421" i="1" a="1"/>
  <c r="AE222" i="1" a="1"/>
  <c r="AE522" i="1" a="1"/>
  <c r="AE560" i="1" a="1"/>
  <c r="AE188" i="1" a="1"/>
  <c r="AE567" i="1" a="1"/>
  <c r="AE320" i="1" a="1"/>
  <c r="AE112" i="1" a="1"/>
  <c r="AE572" i="1" a="1"/>
  <c r="AE480" i="1" a="1"/>
  <c r="AE362" i="1" a="1"/>
  <c r="AE472" i="1" a="1"/>
  <c r="AE286" i="1" a="1"/>
  <c r="AE512" i="1" a="1"/>
  <c r="AE234" i="1" a="1"/>
  <c r="AE199" i="1" a="1"/>
  <c r="AE571" i="1" a="1"/>
  <c r="AE513" i="1" a="1"/>
  <c r="AE340" i="1" a="1"/>
  <c r="AE384" i="1" a="1"/>
  <c r="AE323" i="1" a="1"/>
  <c r="AE547" i="1" a="1"/>
  <c r="AE533" i="1" a="1"/>
  <c r="AE551" i="1" a="1"/>
  <c r="AE216" i="1" a="1"/>
  <c r="AE289" i="1" a="1"/>
  <c r="AE42" i="1" a="1"/>
  <c r="AE224" i="1" a="1"/>
  <c r="AE251" i="1" a="1"/>
  <c r="AE333" i="1" a="1"/>
  <c r="AE272" i="1" a="1"/>
  <c r="AE519" i="1" a="1"/>
  <c r="AE282" i="1" a="1"/>
  <c r="AE583" i="1" a="1"/>
  <c r="AE275" i="1" a="1"/>
  <c r="AE241" i="1" a="1"/>
  <c r="AE145" i="1" a="1"/>
  <c r="AE576" i="1" a="1"/>
  <c r="AE355" i="1" a="1"/>
  <c r="AE329" i="1" a="1"/>
  <c r="AE491" i="1" a="1"/>
  <c r="AE404" i="1" a="1"/>
  <c r="AE430" i="1" a="1"/>
  <c r="AE432" i="1" a="1"/>
  <c r="AE236" i="1" a="1"/>
  <c r="AE250" i="1" a="1"/>
  <c r="AE193" i="1" a="1"/>
  <c r="AE141" i="1" a="1"/>
  <c r="AE391" i="1" a="1"/>
  <c r="AE78" i="1" a="1"/>
  <c r="AE207" i="1" a="1"/>
  <c r="AE35" i="1" a="1"/>
  <c r="AE392" i="1" a="1"/>
  <c r="AE154" i="1" a="1"/>
  <c r="AE150" i="1" a="1"/>
  <c r="AE335" i="1" a="1"/>
  <c r="AE379" i="1" a="1"/>
  <c r="AE59" i="1" a="1"/>
  <c r="AE200" i="1" a="1"/>
  <c r="AE469" i="1" a="1"/>
  <c r="AE191" i="1" a="1"/>
  <c r="AE417" i="1" a="1"/>
  <c r="AE34" i="1" a="1"/>
  <c r="AE253" i="1" a="1"/>
  <c r="AE498" i="1" a="1"/>
  <c r="AE552" i="1" a="1"/>
  <c r="AE557" i="1" a="1"/>
  <c r="AE510" i="1" a="1"/>
  <c r="AE202" i="1" a="1"/>
  <c r="AE504" i="1" a="1"/>
  <c r="AE367" i="1" a="1"/>
  <c r="AE357" i="1" a="1"/>
  <c r="AE168" i="1" a="1"/>
  <c r="AE396" i="1" a="1"/>
  <c r="AE518" i="1" a="1"/>
  <c r="AE434" i="1" a="1"/>
  <c r="AE96" i="1" a="1"/>
  <c r="AE26" i="1" a="1"/>
  <c r="AE196" i="1" a="1"/>
  <c r="AE550" i="1" a="1"/>
  <c r="AE453" i="1" a="1"/>
  <c r="AE291" i="1" a="1"/>
  <c r="AE117" i="1" a="1"/>
  <c r="AE536" i="1" a="1"/>
  <c r="AE387" i="1" a="1"/>
  <c r="AE159" i="1" a="1"/>
  <c r="AE446" i="1" a="1"/>
  <c r="AE143" i="1" a="1"/>
  <c r="AE124" i="1" a="1"/>
  <c r="AE156" i="1" a="1"/>
  <c r="AE25" i="1" a="1"/>
  <c r="AE233" i="1" a="1"/>
  <c r="AE539" i="1" a="1"/>
  <c r="AE532" i="1" a="1"/>
  <c r="AE566" i="1" a="1"/>
  <c r="AE588" i="1" a="1"/>
  <c r="AE356" i="1" a="1"/>
  <c r="AE90" i="1" a="1"/>
  <c r="AE192" i="1" a="1"/>
  <c r="AE63" i="1" a="1"/>
  <c r="AE226" i="1" a="1"/>
  <c r="AE113" i="1" a="1"/>
  <c r="AE169" i="1" a="1"/>
  <c r="AE376" i="1" a="1"/>
  <c r="AE190" i="1" a="1"/>
  <c r="AE531" i="1" a="1"/>
  <c r="AE559" i="1" a="1"/>
  <c r="AE321" i="1" a="1"/>
  <c r="AE561" i="1" a="1"/>
  <c r="AE359" i="1" a="1"/>
  <c r="AE399" i="1" a="1"/>
  <c r="AE74" i="1" a="1"/>
  <c r="AE597" i="1" a="1"/>
  <c r="AE569" i="1" a="1"/>
  <c r="AE147" i="1" a="1"/>
  <c r="AE515" i="1" a="1"/>
  <c r="AE456" i="1" a="1"/>
  <c r="AE152" i="1" a="1"/>
  <c r="AE62" i="1" a="1"/>
  <c r="AE171" i="1" a="1"/>
  <c r="AE365" i="1" a="1"/>
  <c r="AE212" i="1" a="1"/>
  <c r="AE489" i="1" a="1"/>
  <c r="AE517" i="1" a="1"/>
  <c r="AE594" i="1" a="1"/>
  <c r="AE437" i="1" a="1"/>
  <c r="AE209" i="1" a="1"/>
  <c r="AE352" i="1" a="1"/>
  <c r="AE400" i="1" a="1"/>
  <c r="AE267" i="1" a="1"/>
  <c r="AE261" i="1" a="1"/>
  <c r="AE476" i="1" a="1"/>
  <c r="AE211" i="1" a="1"/>
  <c r="AE65" i="1" a="1"/>
  <c r="AE445" i="1" a="1"/>
  <c r="AE206" i="1" a="1"/>
  <c r="AE194" i="1" a="1"/>
  <c r="AE264" i="1" a="1"/>
  <c r="AE52" i="1" a="1"/>
  <c r="AE29" i="1" a="1"/>
  <c r="AE47" i="1" a="1"/>
  <c r="AE475" i="1" a="1"/>
  <c r="AE287" i="1" a="1"/>
  <c r="AE68" i="1" a="1"/>
  <c r="AE237" i="1" a="1"/>
  <c r="AE164" i="1" a="1"/>
  <c r="AE341" i="1" a="1"/>
  <c r="AE343" i="1" a="1"/>
  <c r="AE582" i="1" a="1"/>
  <c r="AE364" i="1" a="1"/>
  <c r="AE84" i="1" a="1"/>
  <c r="AE450" i="1" a="1"/>
  <c r="AE386" i="1" a="1"/>
  <c r="AE482" i="1" a="1"/>
  <c r="AE424" i="1" a="1"/>
  <c r="AE49" i="1" a="1"/>
  <c r="AE91" i="1" a="1"/>
  <c r="AE579" i="1" a="1"/>
  <c r="AE244" i="1" a="1"/>
  <c r="AE102" i="1" a="1"/>
  <c r="AE595" i="1" a="1"/>
  <c r="AE592" i="1" a="1"/>
  <c r="AE165" i="1" a="1"/>
  <c r="AE483" i="1" a="1"/>
  <c r="AE161" i="1" a="1"/>
  <c r="AE554" i="1" a="1"/>
  <c r="AE488" i="1" a="1"/>
  <c r="AE346" i="1" a="1"/>
  <c r="AE590" i="1" a="1"/>
  <c r="AE439" i="1" a="1"/>
  <c r="AE534" i="1" a="1"/>
  <c r="AE184" i="1" a="1"/>
  <c r="AE394" i="1" a="1"/>
  <c r="AE422" i="1" a="1"/>
  <c r="AE492" i="1" a="1"/>
  <c r="AE208" i="1" a="1"/>
  <c r="AE466" i="1" a="1"/>
  <c r="AE502" i="1" a="1"/>
  <c r="AE581" i="1" a="1"/>
  <c r="AE427" i="1" a="1"/>
  <c r="AE153" i="1" a="1"/>
  <c r="AE406" i="1" a="1"/>
  <c r="AE72" i="1" a="1"/>
  <c r="AE306" i="1" a="1"/>
  <c r="AE564" i="1" a="1"/>
  <c r="AE463" i="1" a="1"/>
  <c r="AE73" i="1" a="1"/>
  <c r="AE431" i="1" a="1"/>
  <c r="AE350" i="1" a="1"/>
  <c r="AE223" i="1" a="1"/>
  <c r="AE331" i="1" a="1"/>
  <c r="AE587" i="1" a="1"/>
  <c r="AE33" i="1" a="1"/>
  <c r="AE530" i="1" a="1"/>
  <c r="AE276" i="1" a="1"/>
  <c r="AE258" i="1" a="1"/>
  <c r="AE137" i="1" a="1"/>
  <c r="AE514" i="1" a="1"/>
  <c r="AE45" i="1" a="1"/>
  <c r="AE274" i="1" a="1"/>
  <c r="AE308" i="1" a="1"/>
  <c r="AE523" i="1" a="1"/>
  <c r="AE148" i="1" a="1"/>
  <c r="AE183" i="1" a="1"/>
  <c r="AE433" i="1" a="1"/>
  <c r="AE596" i="1" a="1"/>
  <c r="AE370" i="1" a="1"/>
  <c r="AE573" i="1" a="1"/>
  <c r="AE397" i="1" a="1"/>
  <c r="AE177" i="1" a="1"/>
  <c r="AE82" i="1" a="1"/>
  <c r="AE599" i="1" a="1"/>
  <c r="AE452" i="1" a="1"/>
  <c r="AE296" i="1" a="1"/>
  <c r="AE185" i="1" a="1"/>
  <c r="AE309" i="1" a="1"/>
  <c r="AE285" i="1" a="1"/>
  <c r="AE496" i="1" a="1"/>
  <c r="AE83" i="1" a="1"/>
  <c r="AE563" i="1" a="1"/>
  <c r="AE503" i="1" a="1"/>
  <c r="AE330" i="1" a="1"/>
  <c r="AE32" i="1" a="1"/>
  <c r="AE172" i="1" a="1"/>
  <c r="AE568" i="1" a="1"/>
  <c r="AE111" i="1" a="1"/>
  <c r="AE55" i="1" a="1"/>
  <c r="AE225" i="1" a="1"/>
  <c r="AE420" i="1" a="1"/>
  <c r="AE214" i="1" a="1"/>
  <c r="AE494" i="1" a="1"/>
  <c r="AE385" i="1" a="1"/>
  <c r="AE311" i="1" a="1"/>
  <c r="AE459" i="1" a="1"/>
  <c r="AE81" i="1" a="1"/>
  <c r="AE107" i="1" a="1"/>
  <c r="AE462" i="1" a="1"/>
  <c r="AE410" i="1" a="1"/>
  <c r="AE230" i="1" a="1"/>
  <c r="AE119" i="1" a="1"/>
  <c r="AE178" i="1" a="1"/>
  <c r="AE484" i="1" a="1"/>
  <c r="AE435" i="1" a="1"/>
  <c r="AE256" i="1" a="1"/>
  <c r="AB612" i="1" a="1"/>
  <c r="AB684" i="1" a="1"/>
  <c r="AB651" i="1" a="1"/>
  <c r="AB652" i="1" a="1"/>
  <c r="AB630" i="1" a="1"/>
  <c r="AB639" i="1" a="1"/>
  <c r="AB644" i="1" a="1"/>
  <c r="AB664" i="1" a="1"/>
  <c r="AB601" i="1" a="1"/>
  <c r="AB617" i="1" a="1"/>
  <c r="AB632" i="1" a="1"/>
  <c r="AB627" i="1" a="1"/>
  <c r="AB686" i="1" a="1"/>
  <c r="AB688" i="1" a="1"/>
  <c r="AB648" i="1" a="1"/>
  <c r="AB635" i="1" a="1"/>
  <c r="AB696" i="1" a="1"/>
  <c r="AB690" i="1" a="1"/>
  <c r="AB653" i="1" a="1"/>
  <c r="AB605" i="1" a="1"/>
  <c r="AB668" i="1" a="1"/>
  <c r="AB643" i="1" a="1"/>
  <c r="AB669" i="1" a="1"/>
  <c r="AB629" i="1" a="1"/>
  <c r="AB621" i="1" a="1"/>
  <c r="AB675" i="1" a="1"/>
  <c r="AB647" i="1" a="1"/>
  <c r="AB619" i="1" a="1"/>
  <c r="AB693" i="1" a="1"/>
  <c r="AB665" i="1" a="1"/>
  <c r="AB607" i="1" a="1"/>
  <c r="AB654" i="1" a="1"/>
  <c r="AB637" i="1" a="1"/>
  <c r="AB628" i="1" a="1"/>
  <c r="AB685" i="1" a="1"/>
  <c r="AB631" i="1" a="1"/>
  <c r="AB618" i="1" a="1"/>
  <c r="AB679" i="1" a="1"/>
  <c r="AB616" i="1" a="1"/>
  <c r="AB624" i="1" a="1"/>
  <c r="AB650" i="1" a="1"/>
  <c r="AB638" i="1" a="1"/>
  <c r="AB626" i="1" a="1"/>
  <c r="AB640" i="1" a="1"/>
  <c r="AB687" i="1" a="1"/>
  <c r="AB695" i="1" a="1"/>
  <c r="AB678" i="1" a="1"/>
  <c r="AB649" i="1" a="1"/>
  <c r="AB663" i="1" a="1"/>
  <c r="AB634" i="1" a="1"/>
  <c r="AB614" i="1" a="1"/>
  <c r="AB698" i="1" a="1"/>
  <c r="AB646" i="1" a="1"/>
  <c r="AB615" i="1" a="1"/>
  <c r="AB670" i="1" a="1"/>
  <c r="AB622" i="1" a="1"/>
  <c r="AB672" i="1" a="1"/>
  <c r="AB699" i="1" a="1"/>
  <c r="AB697" i="1" a="1"/>
  <c r="AB625" i="1" a="1"/>
  <c r="AB667" i="1" a="1"/>
  <c r="AB659" i="1" a="1"/>
  <c r="AB604" i="1" a="1"/>
  <c r="AB682" i="1" a="1"/>
  <c r="AB610" i="1" a="1"/>
  <c r="AB657" i="1" a="1"/>
  <c r="AB658" i="1" a="1"/>
  <c r="AB681" i="1" a="1"/>
  <c r="AB680" i="1" a="1"/>
  <c r="AB671" i="1" a="1"/>
  <c r="AB611" i="1" a="1"/>
  <c r="AB608" i="1" a="1"/>
  <c r="AB692" i="1" a="1"/>
  <c r="AB609" i="1" a="1"/>
  <c r="AB642" i="1" a="1"/>
  <c r="AB636" i="1" a="1"/>
  <c r="AB645" i="1" a="1"/>
  <c r="AB655" i="1" a="1"/>
  <c r="AB662" i="1" a="1"/>
  <c r="AB661" i="1" a="1"/>
  <c r="AB603" i="1" a="1"/>
  <c r="AB676" i="1" a="1"/>
  <c r="AB677" i="1" a="1"/>
  <c r="AB620" i="1" a="1"/>
  <c r="AB656" i="1" a="1"/>
  <c r="AB691" i="1" a="1"/>
  <c r="AB694" i="1" a="1"/>
  <c r="AB641" i="1" a="1"/>
  <c r="AB660" i="1" a="1"/>
  <c r="AB602" i="1" a="1"/>
  <c r="AB623" i="1" a="1"/>
  <c r="AB613" i="1" a="1"/>
  <c r="AB689" i="1" a="1"/>
  <c r="AB633" i="1" a="1"/>
  <c r="AB683" i="1" a="1"/>
  <c r="AB606" i="1" a="1"/>
  <c r="AB674" i="1" a="1"/>
  <c r="AB673" i="1" a="1"/>
  <c r="AB666" i="1" a="1"/>
  <c r="AD17" i="1" l="1"/>
  <c r="AD18" i="1"/>
  <c r="AD16" i="1"/>
  <c r="AD14" i="1"/>
  <c r="AD15" i="1"/>
  <c r="AD13" i="1"/>
  <c r="AD12" i="1"/>
  <c r="AD11" i="1"/>
  <c r="AE256" i="1"/>
  <c r="AE435" i="1"/>
  <c r="AE484" i="1"/>
  <c r="AE178" i="1"/>
  <c r="AE119" i="1"/>
  <c r="AE230" i="1"/>
  <c r="AE410" i="1"/>
  <c r="AE462" i="1"/>
  <c r="AE107" i="1"/>
  <c r="AE81" i="1"/>
  <c r="AE459" i="1"/>
  <c r="AE311" i="1"/>
  <c r="AE385" i="1"/>
  <c r="AE494" i="1"/>
  <c r="AE214" i="1"/>
  <c r="AE420" i="1"/>
  <c r="AE225" i="1"/>
  <c r="AE55" i="1"/>
  <c r="AE111" i="1"/>
  <c r="AE568" i="1"/>
  <c r="AE172" i="1"/>
  <c r="AE32" i="1"/>
  <c r="AE330" i="1"/>
  <c r="AE503" i="1"/>
  <c r="AE563" i="1"/>
  <c r="AE83" i="1"/>
  <c r="AE496" i="1"/>
  <c r="AE285" i="1"/>
  <c r="AE309" i="1"/>
  <c r="AE185" i="1"/>
  <c r="AE296" i="1"/>
  <c r="AE452" i="1"/>
  <c r="AE599" i="1"/>
  <c r="AE82" i="1"/>
  <c r="AE177" i="1"/>
  <c r="AE397" i="1"/>
  <c r="AE573" i="1"/>
  <c r="AE370" i="1"/>
  <c r="AE596" i="1"/>
  <c r="AE433" i="1"/>
  <c r="AE183" i="1"/>
  <c r="AE148" i="1"/>
  <c r="AE523" i="1"/>
  <c r="AE308" i="1"/>
  <c r="AE274" i="1"/>
  <c r="AE45" i="1"/>
  <c r="AE514" i="1"/>
  <c r="AE137" i="1"/>
  <c r="AE258" i="1"/>
  <c r="AE276" i="1"/>
  <c r="AE530" i="1"/>
  <c r="AE33" i="1"/>
  <c r="AE587" i="1"/>
  <c r="AE331" i="1"/>
  <c r="AE223" i="1"/>
  <c r="AE350" i="1"/>
  <c r="AE431" i="1"/>
  <c r="AE73" i="1"/>
  <c r="AE463" i="1"/>
  <c r="AE564" i="1"/>
  <c r="AE306" i="1"/>
  <c r="AE72" i="1"/>
  <c r="AE406" i="1"/>
  <c r="AE153" i="1"/>
  <c r="AE427" i="1"/>
  <c r="AE581" i="1"/>
  <c r="AE502" i="1"/>
  <c r="AE466" i="1"/>
  <c r="AE208" i="1"/>
  <c r="AE492" i="1"/>
  <c r="AE422" i="1"/>
  <c r="AE394" i="1"/>
  <c r="AE184" i="1"/>
  <c r="AE534" i="1"/>
  <c r="AE439" i="1"/>
  <c r="AE590" i="1"/>
  <c r="AE346" i="1"/>
  <c r="AE488" i="1"/>
  <c r="AE554" i="1"/>
  <c r="AE161" i="1"/>
  <c r="AE483" i="1"/>
  <c r="AE165" i="1"/>
  <c r="AE592" i="1"/>
  <c r="AE595" i="1"/>
  <c r="AE102" i="1"/>
  <c r="AE244" i="1"/>
  <c r="AE579" i="1"/>
  <c r="AE91" i="1"/>
  <c r="AE49" i="1"/>
  <c r="AE424" i="1"/>
  <c r="AE482" i="1"/>
  <c r="AE386" i="1"/>
  <c r="AE450" i="1"/>
  <c r="AE84" i="1"/>
  <c r="AE364" i="1"/>
  <c r="AE582" i="1"/>
  <c r="AE343" i="1"/>
  <c r="AE341" i="1"/>
  <c r="AE164" i="1"/>
  <c r="AE237" i="1"/>
  <c r="AE68" i="1"/>
  <c r="AE287" i="1"/>
  <c r="AE475" i="1"/>
  <c r="AE47" i="1"/>
  <c r="AE29" i="1"/>
  <c r="AE52" i="1"/>
  <c r="AE264" i="1"/>
  <c r="AE194" i="1"/>
  <c r="AE206" i="1"/>
  <c r="AE445" i="1"/>
  <c r="AE65" i="1"/>
  <c r="AE211" i="1"/>
  <c r="AE476" i="1"/>
  <c r="AE261" i="1"/>
  <c r="AE267" i="1"/>
  <c r="AE400" i="1"/>
  <c r="AE352" i="1"/>
  <c r="AE209" i="1"/>
  <c r="AE437" i="1"/>
  <c r="AE594" i="1"/>
  <c r="AE517" i="1"/>
  <c r="AE489" i="1"/>
  <c r="AE212" i="1"/>
  <c r="AE365" i="1"/>
  <c r="AE171" i="1"/>
  <c r="AE62" i="1"/>
  <c r="AE152" i="1"/>
  <c r="AE456" i="1"/>
  <c r="AE515" i="1"/>
  <c r="AE147" i="1"/>
  <c r="AE569" i="1"/>
  <c r="AE597" i="1"/>
  <c r="AE74" i="1"/>
  <c r="AE399" i="1"/>
  <c r="AE359" i="1"/>
  <c r="AE561" i="1"/>
  <c r="AE321" i="1"/>
  <c r="AE559" i="1"/>
  <c r="AE531" i="1"/>
  <c r="AE190" i="1"/>
  <c r="AE376" i="1"/>
  <c r="AE169" i="1"/>
  <c r="AE113" i="1"/>
  <c r="AE226" i="1"/>
  <c r="AE63" i="1"/>
  <c r="AE192" i="1"/>
  <c r="AE90" i="1"/>
  <c r="AE356" i="1"/>
  <c r="AE588" i="1"/>
  <c r="AE566" i="1"/>
  <c r="AE532" i="1"/>
  <c r="AE539" i="1"/>
  <c r="AE233" i="1"/>
  <c r="AE25" i="1"/>
  <c r="AE156" i="1"/>
  <c r="AE124" i="1"/>
  <c r="AE143" i="1"/>
  <c r="AE446" i="1"/>
  <c r="AE159" i="1"/>
  <c r="AE387" i="1"/>
  <c r="AE536" i="1"/>
  <c r="AE117" i="1"/>
  <c r="AE291" i="1"/>
  <c r="AE453" i="1"/>
  <c r="AE550" i="1"/>
  <c r="AE196" i="1"/>
  <c r="AE26" i="1"/>
  <c r="AE96" i="1"/>
  <c r="AE434" i="1"/>
  <c r="AE518" i="1"/>
  <c r="AE396" i="1"/>
  <c r="AE168" i="1"/>
  <c r="AE357" i="1"/>
  <c r="AE367" i="1"/>
  <c r="AE504" i="1"/>
  <c r="AE202" i="1"/>
  <c r="AE510" i="1"/>
  <c r="AE557" i="1"/>
  <c r="AE552" i="1"/>
  <c r="AE498" i="1"/>
  <c r="AE253" i="1"/>
  <c r="AE34" i="1"/>
  <c r="AE417" i="1"/>
  <c r="AE191" i="1"/>
  <c r="AE469" i="1"/>
  <c r="AE200" i="1"/>
  <c r="AE59" i="1"/>
  <c r="AE379" i="1"/>
  <c r="AE335" i="1"/>
  <c r="AE150" i="1"/>
  <c r="AE154" i="1"/>
  <c r="AE392" i="1"/>
  <c r="AE35" i="1"/>
  <c r="AE207" i="1"/>
  <c r="AE78" i="1"/>
  <c r="AE391" i="1"/>
  <c r="AE141" i="1"/>
  <c r="AE193" i="1"/>
  <c r="AE250" i="1"/>
  <c r="AE236" i="1"/>
  <c r="AE432" i="1"/>
  <c r="AE430" i="1"/>
  <c r="AE404" i="1"/>
  <c r="AE491" i="1"/>
  <c r="AE329" i="1"/>
  <c r="AE355" i="1"/>
  <c r="AE576" i="1"/>
  <c r="AE145" i="1"/>
  <c r="AE241" i="1"/>
  <c r="AE275" i="1"/>
  <c r="AE583" i="1"/>
  <c r="AE282" i="1"/>
  <c r="AE519" i="1"/>
  <c r="AE272" i="1"/>
  <c r="AE333" i="1"/>
  <c r="AE251" i="1"/>
  <c r="AE224" i="1"/>
  <c r="AE42" i="1"/>
  <c r="AE289" i="1"/>
  <c r="AE216" i="1"/>
  <c r="AE551" i="1"/>
  <c r="AE533" i="1"/>
  <c r="AE547" i="1"/>
  <c r="AE323" i="1"/>
  <c r="AE384" i="1"/>
  <c r="AE340" i="1"/>
  <c r="AE513" i="1"/>
  <c r="AE571" i="1"/>
  <c r="AE199" i="1"/>
  <c r="AE234" i="1"/>
  <c r="AE512" i="1"/>
  <c r="AE286" i="1"/>
  <c r="AE472" i="1"/>
  <c r="AE362" i="1"/>
  <c r="AE480" i="1"/>
  <c r="AE572" i="1"/>
  <c r="AE112" i="1"/>
  <c r="AE320" i="1"/>
  <c r="AE567" i="1"/>
  <c r="AE188" i="1"/>
  <c r="AE560" i="1"/>
  <c r="AE522" i="1"/>
  <c r="AE222" i="1"/>
  <c r="AE421" i="1"/>
  <c r="AE123" i="1"/>
  <c r="AE521" i="1"/>
  <c r="AE584" i="1"/>
  <c r="AE136" i="1"/>
  <c r="AE428" i="1"/>
  <c r="AE537" i="1"/>
  <c r="AE277" i="1"/>
  <c r="AE93" i="1"/>
  <c r="AE259" i="1"/>
  <c r="AE133" i="1"/>
  <c r="AE339" i="1"/>
  <c r="AE205" i="1"/>
  <c r="AE263" i="1"/>
  <c r="AE22" i="1"/>
  <c r="AE509" i="1"/>
  <c r="AE378" i="1"/>
  <c r="AE423" i="1"/>
  <c r="AE481" i="1"/>
  <c r="AE543" i="1"/>
  <c r="AE160" i="1"/>
  <c r="AE290" i="1"/>
  <c r="AE407" i="1"/>
  <c r="AE493" i="1"/>
  <c r="AE485" i="1"/>
  <c r="AE280" i="1"/>
  <c r="AE294" i="1"/>
  <c r="AE248" i="1"/>
  <c r="AE372" i="1"/>
  <c r="AE182" i="1"/>
  <c r="AE238" i="1"/>
  <c r="AE447" i="1"/>
  <c r="AE474" i="1"/>
  <c r="AE497" i="1"/>
  <c r="AE121" i="1"/>
  <c r="AE401" i="1"/>
  <c r="AE556" i="1"/>
  <c r="AE20" i="1"/>
  <c r="AE426" i="1"/>
  <c r="AE125" i="1"/>
  <c r="AE103" i="1"/>
  <c r="AE300" i="1"/>
  <c r="AE315" i="1"/>
  <c r="AE179" i="1"/>
  <c r="AE344" i="1"/>
  <c r="AE163" i="1"/>
  <c r="AE368" i="1"/>
  <c r="AE558" i="1"/>
  <c r="AE361" i="1"/>
  <c r="AE464" i="1"/>
  <c r="AE542" i="1"/>
  <c r="AE85" i="1"/>
  <c r="AE338" i="1"/>
  <c r="AE313" i="1"/>
  <c r="AE317" i="1"/>
  <c r="AE66" i="1"/>
  <c r="AE525" i="1"/>
  <c r="AE229" i="1"/>
  <c r="AE345" i="1"/>
  <c r="AE506" i="1"/>
  <c r="AE314" i="1"/>
  <c r="AE265" i="1"/>
  <c r="AE375" i="1"/>
  <c r="AE95" i="1"/>
  <c r="AE487" i="1"/>
  <c r="AE116" i="1"/>
  <c r="AE403" i="1"/>
  <c r="AE458" i="1"/>
  <c r="AE436" i="1"/>
  <c r="AE412" i="1"/>
  <c r="AE252" i="1"/>
  <c r="AE371" i="1"/>
  <c r="AE44" i="1"/>
  <c r="AE37" i="1"/>
  <c r="AE408" i="1"/>
  <c r="AE429" i="1"/>
  <c r="AE245" i="1"/>
  <c r="AE486" i="1"/>
  <c r="AE501" i="1"/>
  <c r="AE468" i="1"/>
  <c r="AE593" i="1"/>
  <c r="AE232" i="1"/>
  <c r="AE310" i="1"/>
  <c r="AE326" i="1"/>
  <c r="AE155" i="1"/>
  <c r="AE360" i="1"/>
  <c r="AE132" i="1"/>
  <c r="AE129" i="1"/>
  <c r="AE51" i="1"/>
  <c r="AE465" i="1"/>
  <c r="AE388" i="1"/>
  <c r="AE544" i="1"/>
  <c r="AE477" i="1"/>
  <c r="AE448" i="1"/>
  <c r="AE451" i="1"/>
  <c r="AE39" i="1"/>
  <c r="AE349" i="1"/>
  <c r="AE40" i="1"/>
  <c r="AE358" i="1"/>
  <c r="AE578" i="1"/>
  <c r="AE529" i="1"/>
  <c r="AE283" i="1"/>
  <c r="AE293" i="1"/>
  <c r="AE127" i="1"/>
  <c r="AE268" i="1"/>
  <c r="AE246" i="1"/>
  <c r="AE585" i="1"/>
  <c r="AE273" i="1"/>
  <c r="AE80" i="1"/>
  <c r="AE197" i="1"/>
  <c r="AE549" i="1"/>
  <c r="AE270" i="1"/>
  <c r="AE353" i="1"/>
  <c r="AE86" i="1"/>
  <c r="AE227" i="1"/>
  <c r="AE48" i="1"/>
  <c r="AE57" i="1"/>
  <c r="AE10" i="1"/>
  <c r="AE328" i="1"/>
  <c r="AE402" i="1"/>
  <c r="AE395" i="1"/>
  <c r="AE440" i="1"/>
  <c r="AE393" i="1"/>
  <c r="AE201" i="1"/>
  <c r="AE269" i="1"/>
  <c r="AE130" i="1"/>
  <c r="AE336" i="1"/>
  <c r="AE570" i="1"/>
  <c r="AE281" i="1"/>
  <c r="AE305" i="1"/>
  <c r="AE162" i="1"/>
  <c r="AE228" i="1"/>
  <c r="AE389" i="1"/>
  <c r="AE470" i="1"/>
  <c r="AE195" i="1"/>
  <c r="AE538" i="1"/>
  <c r="AE240" i="1"/>
  <c r="AE324" i="1"/>
  <c r="AE204" i="1"/>
  <c r="AE565" i="1"/>
  <c r="AE64" i="1"/>
  <c r="AE580" i="1"/>
  <c r="AE337" i="1"/>
  <c r="AE173" i="1"/>
  <c r="AE545" i="1"/>
  <c r="AE307" i="1"/>
  <c r="AE98" i="1"/>
  <c r="AE69" i="1"/>
  <c r="AE479" i="1"/>
  <c r="AE443" i="1"/>
  <c r="AE104" i="1"/>
  <c r="AE38" i="1"/>
  <c r="AE292" i="1"/>
  <c r="AE146" i="1"/>
  <c r="AE577" i="1"/>
  <c r="AE54" i="1"/>
  <c r="AE67" i="1"/>
  <c r="AE505" i="1"/>
  <c r="AE299" i="1"/>
  <c r="AE128" i="1"/>
  <c r="AE411" i="1"/>
  <c r="AE266" i="1"/>
  <c r="AE50" i="1"/>
  <c r="AE327" i="1"/>
  <c r="AE235" i="1"/>
  <c r="AE100" i="1"/>
  <c r="AE87" i="1"/>
  <c r="AE131" i="1"/>
  <c r="AE56" i="1"/>
  <c r="AE110" i="1"/>
  <c r="AE175" i="1"/>
  <c r="AE467" i="1"/>
  <c r="AE242" i="1"/>
  <c r="AE23" i="1"/>
  <c r="AE108" i="1"/>
  <c r="AE167" i="1"/>
  <c r="AE348" i="1"/>
  <c r="AE441" i="1"/>
  <c r="AE499" i="1"/>
  <c r="AE88" i="1"/>
  <c r="AE478" i="1"/>
  <c r="AE186" i="1"/>
  <c r="AE180" i="1"/>
  <c r="AE574" i="1"/>
  <c r="AE471" i="1"/>
  <c r="AE398" i="1"/>
  <c r="AE9" i="1"/>
  <c r="AE304" i="1"/>
  <c r="AE76" i="1"/>
  <c r="AE279" i="1"/>
  <c r="AE342" i="1"/>
  <c r="AE170" i="1"/>
  <c r="AE511" i="1"/>
  <c r="AE535" i="1"/>
  <c r="AE260" i="1"/>
  <c r="AE546" i="1"/>
  <c r="AE334" i="1"/>
  <c r="AE473" i="1"/>
  <c r="AE541" i="1"/>
  <c r="AE319" i="1"/>
  <c r="AE507" i="1"/>
  <c r="AE79" i="1"/>
  <c r="AE455" i="1"/>
  <c r="AE520" i="1"/>
  <c r="AE114" i="1"/>
  <c r="AE77" i="1"/>
  <c r="AE316" i="1"/>
  <c r="AE215" i="1"/>
  <c r="AE271" i="1"/>
  <c r="AE126" i="1"/>
  <c r="AE591" i="1"/>
  <c r="AE31" i="1"/>
  <c r="AE27" i="1"/>
  <c r="AE106" i="1"/>
  <c r="AE99" i="1"/>
  <c r="AE144" i="1"/>
  <c r="AE115" i="1"/>
  <c r="AE418" i="1"/>
  <c r="AE70" i="1"/>
  <c r="AE46" i="1"/>
  <c r="AE203" i="1"/>
  <c r="AE553" i="1"/>
  <c r="AE442" i="1"/>
  <c r="AE288" i="1"/>
  <c r="AE454" i="1"/>
  <c r="AE176" i="1"/>
  <c r="AE526" i="1"/>
  <c r="AE369" i="1"/>
  <c r="AE249" i="1"/>
  <c r="AE139" i="1"/>
  <c r="AE490" i="1"/>
  <c r="AE189" i="1"/>
  <c r="AE312" i="1"/>
  <c r="AE198" i="1"/>
  <c r="AE332" i="1"/>
  <c r="AE122" i="1"/>
  <c r="AE255" i="1"/>
  <c r="AE444" i="1"/>
  <c r="AE71" i="1"/>
  <c r="AE28" i="1"/>
  <c r="AE524" i="1"/>
  <c r="AE297" i="1"/>
  <c r="AE449" i="1"/>
  <c r="AE540" i="1"/>
  <c r="AE413" i="1"/>
  <c r="AE75" i="1"/>
  <c r="AE295" i="1"/>
  <c r="AE94" i="1"/>
  <c r="AE548" i="1"/>
  <c r="AE301" i="1"/>
  <c r="AE43" i="1"/>
  <c r="AE383" i="1"/>
  <c r="AE58" i="1"/>
  <c r="AE380" i="1"/>
  <c r="AE138" i="1"/>
  <c r="AE231" i="1"/>
  <c r="AE149" i="1"/>
  <c r="AE174" i="1"/>
  <c r="AE140" i="1"/>
  <c r="AE460" i="1"/>
  <c r="AE325" i="1"/>
  <c r="AE347" i="1"/>
  <c r="AE562" i="1"/>
  <c r="AE134" i="1"/>
  <c r="AE41" i="1"/>
  <c r="AE187" i="1"/>
  <c r="AE92" i="1"/>
  <c r="AE575" i="1"/>
  <c r="AE555" i="1"/>
  <c r="AE262" i="1"/>
  <c r="AE381" i="1"/>
  <c r="AE508" i="1"/>
  <c r="AE495" i="1"/>
  <c r="AE516" i="1"/>
  <c r="AE36" i="1"/>
  <c r="AE157" i="1"/>
  <c r="AE419" i="1"/>
  <c r="AE284" i="1"/>
  <c r="AE322" i="1"/>
  <c r="AE239" i="1"/>
  <c r="AE151" i="1"/>
  <c r="AE254" i="1"/>
  <c r="AE390" i="1"/>
  <c r="AE461" i="1"/>
  <c r="AE158" i="1"/>
  <c r="AE19" i="1"/>
  <c r="AE217" i="1"/>
  <c r="AE278" i="1"/>
  <c r="AE500" i="1"/>
  <c r="AE89" i="1"/>
  <c r="AE221" i="1"/>
  <c r="AE219" i="1"/>
  <c r="AE101" i="1"/>
  <c r="AE416" i="1"/>
  <c r="AE438" i="1"/>
  <c r="AE257" i="1"/>
  <c r="AE118" i="1"/>
  <c r="AE409" i="1"/>
  <c r="AE30" i="1"/>
  <c r="AE220" i="1"/>
  <c r="AE181" i="1"/>
  <c r="AE318" i="1"/>
  <c r="AE302" i="1"/>
  <c r="AE142" i="1"/>
  <c r="AE457" i="1"/>
  <c r="AE354" i="1"/>
  <c r="AE598" i="1"/>
  <c r="AE382" i="1"/>
  <c r="AE415" i="1"/>
  <c r="AE60" i="1"/>
  <c r="AE97" i="1"/>
  <c r="AE105" i="1"/>
  <c r="AE120" i="1"/>
  <c r="AE303" i="1"/>
  <c r="AE166" i="1"/>
  <c r="AE213" i="1"/>
  <c r="AE405" i="1"/>
  <c r="AE589" i="1"/>
  <c r="AE61" i="1"/>
  <c r="AE135" i="1"/>
  <c r="AE586" i="1"/>
  <c r="AE210" i="1"/>
  <c r="AE298" i="1"/>
  <c r="AE218" i="1"/>
  <c r="AE351" i="1"/>
  <c r="AE528" i="1"/>
  <c r="AE21" i="1"/>
  <c r="AE414" i="1"/>
  <c r="AE53" i="1"/>
  <c r="AE527" i="1"/>
  <c r="AE247" i="1"/>
  <c r="AE363" i="1"/>
  <c r="AE373" i="1"/>
  <c r="AE366" i="1"/>
  <c r="AE425" i="1"/>
  <c r="AE374" i="1"/>
  <c r="AE243" i="1"/>
  <c r="AE24" i="1"/>
  <c r="AE109" i="1"/>
  <c r="AE377" i="1"/>
  <c r="AB632" i="1"/>
  <c r="AB686" i="1"/>
  <c r="AB678" i="1"/>
  <c r="AB614" i="1"/>
  <c r="AB671" i="1"/>
  <c r="AB625" i="1"/>
  <c r="AB679" i="1"/>
  <c r="AB606" i="1"/>
  <c r="AB603" i="1"/>
  <c r="AB670" i="1"/>
  <c r="AB621" i="1"/>
  <c r="AB648" i="1"/>
  <c r="AB662" i="1"/>
  <c r="AB634" i="1"/>
  <c r="AB675" i="1"/>
  <c r="AB663" i="1"/>
  <c r="AB653" i="1"/>
  <c r="AB617" i="1"/>
  <c r="AB664" i="1"/>
  <c r="AB688" i="1"/>
  <c r="AB637" i="1"/>
  <c r="AB628" i="1"/>
  <c r="AB689" i="1"/>
  <c r="AB697" i="1"/>
  <c r="AB613" i="1"/>
  <c r="AB610" i="1"/>
  <c r="AB618" i="1"/>
  <c r="AB640" i="1"/>
  <c r="AB639" i="1"/>
  <c r="AB611" i="1"/>
  <c r="AB619" i="1"/>
  <c r="AB659" i="1"/>
  <c r="AB641" i="1"/>
  <c r="AB682" i="1"/>
  <c r="AB647" i="1"/>
  <c r="AB667" i="1"/>
  <c r="AB698" i="1"/>
  <c r="AB630" i="1"/>
  <c r="AB642" i="1"/>
  <c r="AB631" i="1"/>
  <c r="AB677" i="1"/>
  <c r="AB657" i="1"/>
  <c r="AB681" i="1"/>
  <c r="AB699" i="1"/>
  <c r="AB652" i="1"/>
  <c r="AB655" i="1"/>
  <c r="AB629" i="1"/>
  <c r="AB602" i="1"/>
  <c r="AB612" i="1"/>
  <c r="AB685" i="1"/>
  <c r="AB676" i="1"/>
  <c r="AB691" i="1"/>
  <c r="AB674" i="1"/>
  <c r="AB651" i="1"/>
  <c r="AB672" i="1"/>
  <c r="AB668" i="1"/>
  <c r="AB645" i="1"/>
  <c r="AB692" i="1"/>
  <c r="AB604" i="1"/>
  <c r="AB638" i="1"/>
  <c r="AB661" i="1"/>
  <c r="AB626" i="1"/>
  <c r="AB650" i="1"/>
  <c r="AB695" i="1"/>
  <c r="AB627" i="1"/>
  <c r="AB684" i="1"/>
  <c r="AB669" i="1"/>
  <c r="AB666" i="1"/>
  <c r="AB608" i="1"/>
  <c r="AB607" i="1"/>
  <c r="AB643" i="1"/>
  <c r="AB644" i="1"/>
  <c r="AB694" i="1"/>
  <c r="AB673" i="1"/>
  <c r="AB658" i="1"/>
  <c r="AB616" i="1"/>
  <c r="AB622" i="1"/>
  <c r="AB680" i="1"/>
  <c r="AB649" i="1"/>
  <c r="AB635" i="1"/>
  <c r="AB615" i="1"/>
  <c r="AB633" i="1"/>
  <c r="AB693" i="1"/>
  <c r="AB601" i="1"/>
  <c r="AB609" i="1"/>
  <c r="AB665" i="1"/>
  <c r="AB683" i="1"/>
  <c r="AB690" i="1"/>
  <c r="AB620" i="1"/>
  <c r="AB623" i="1"/>
  <c r="AB687" i="1"/>
  <c r="AB624" i="1"/>
  <c r="AB660" i="1"/>
  <c r="AB636" i="1"/>
  <c r="AB605" i="1"/>
  <c r="AB654" i="1"/>
  <c r="AB646" i="1"/>
  <c r="AB656" i="1"/>
  <c r="AB696" i="1"/>
  <c r="AE17" i="1" a="1"/>
  <c r="AE18" i="1" a="1"/>
  <c r="AE16" i="1" a="1"/>
  <c r="AE14" i="1" a="1"/>
  <c r="AE15" i="1" a="1"/>
  <c r="AE13" i="1" a="1"/>
  <c r="AE12" i="1" a="1"/>
  <c r="AE11" i="1" a="1"/>
  <c r="AF256" i="1" a="1"/>
  <c r="AF385" i="1" a="1"/>
  <c r="AF563" i="1" a="1"/>
  <c r="AF573" i="1" a="1"/>
  <c r="AF258" i="1" a="1"/>
  <c r="AF306" i="1" a="1"/>
  <c r="AF394" i="1" a="1"/>
  <c r="AF595" i="1" a="1"/>
  <c r="AF582" i="1" a="1"/>
  <c r="AF194" i="1" a="1"/>
  <c r="AF594" i="1" a="1"/>
  <c r="AF597" i="1" a="1"/>
  <c r="AF226" i="1" a="1"/>
  <c r="AF124" i="1" a="1"/>
  <c r="AF96" i="1" a="1"/>
  <c r="AF498" i="1" a="1"/>
  <c r="AF392" i="1" a="1"/>
  <c r="AF491" i="1" a="1"/>
  <c r="AF251" i="1" a="1"/>
  <c r="AF571" i="1" a="1"/>
  <c r="AF188" i="1" a="1"/>
  <c r="AF93" i="1" a="1"/>
  <c r="AF543" i="1" a="1"/>
  <c r="AF447" i="1" a="1"/>
  <c r="AF315" i="1" a="1"/>
  <c r="AF317" i="1" a="1"/>
  <c r="AF403" i="1" a="1"/>
  <c r="AF501" i="1" a="1"/>
  <c r="AF388" i="1" a="1"/>
  <c r="AF529" i="1" a="1"/>
  <c r="AF353" i="1" a="1"/>
  <c r="AF269" i="1" a="1"/>
  <c r="AF240" i="1" a="1"/>
  <c r="AF479" i="1" a="1"/>
  <c r="AF411" i="1" a="1"/>
  <c r="AF467" i="1" a="1"/>
  <c r="AF574" i="1" a="1"/>
  <c r="AF260" i="1" a="1"/>
  <c r="AF316" i="1" a="1"/>
  <c r="AF70" i="1" a="1"/>
  <c r="AF490" i="1" a="1"/>
  <c r="AF449" i="1" a="1"/>
  <c r="AF138" i="1" a="1"/>
  <c r="AF92" i="1" a="1"/>
  <c r="AF322" i="1" a="1"/>
  <c r="AF221" i="1" a="1"/>
  <c r="AF318" i="1" a="1"/>
  <c r="AF303" i="1" a="1"/>
  <c r="AF528" i="1" a="1"/>
  <c r="AF24" i="1" a="1"/>
  <c r="AF312" i="1" a="1"/>
  <c r="AF555" i="1" a="1"/>
  <c r="AF101" i="1" a="1"/>
  <c r="AF213" i="1" a="1"/>
  <c r="AF377" i="1" a="1"/>
  <c r="AF262" i="1" a="1"/>
  <c r="AF405" i="1" a="1"/>
  <c r="AF119" i="1" a="1"/>
  <c r="AF153" i="1" a="1"/>
  <c r="AF237" i="1" a="1"/>
  <c r="AF365" i="1" a="1"/>
  <c r="AF356" i="1" a="1"/>
  <c r="AF168" i="1" a="1"/>
  <c r="AF391" i="1" a="1"/>
  <c r="AF216" i="1" a="1"/>
  <c r="AF421" i="1" a="1"/>
  <c r="AF205" i="1" a="1"/>
  <c r="AF401" i="1" a="1"/>
  <c r="AF252" i="1" a="1"/>
  <c r="AF268" i="1" a="1"/>
  <c r="AF281" i="1" a="1"/>
  <c r="AF327" i="1" a="1"/>
  <c r="AF304" i="1" a="1"/>
  <c r="AF591" i="1" a="1"/>
  <c r="AF295" i="1" a="1"/>
  <c r="AF390" i="1" a="1"/>
  <c r="AF354" i="1" a="1"/>
  <c r="AF527" i="1" a="1"/>
  <c r="AF55" i="1" a="1"/>
  <c r="AF68" i="1" a="1"/>
  <c r="AF536" i="1" a="1"/>
  <c r="AF472" i="1" a="1"/>
  <c r="AF558" i="1" a="1"/>
  <c r="AF246" i="1" a="1"/>
  <c r="AF348" i="1" a="1"/>
  <c r="AF122" i="1" a="1"/>
  <c r="AF598" i="1" a="1"/>
  <c r="AF296" i="1" a="1"/>
  <c r="AF488" i="1" a="1"/>
  <c r="AF287" i="1" a="1"/>
  <c r="AF62" i="1" a="1"/>
  <c r="AF566" i="1" a="1"/>
  <c r="AF367" i="1" a="1"/>
  <c r="AF193" i="1" a="1"/>
  <c r="AF362" i="1" a="1"/>
  <c r="AF280" i="1" a="1"/>
  <c r="AF20" i="1" a="1"/>
  <c r="AF314" i="1" a="1"/>
  <c r="AF155" i="1" a="1"/>
  <c r="AF328" i="1" a="1"/>
  <c r="AF577" i="1" a="1"/>
  <c r="AF435" i="1" a="1"/>
  <c r="AF494" i="1" a="1"/>
  <c r="AF83" i="1" a="1"/>
  <c r="AF370" i="1" a="1"/>
  <c r="AF276" i="1" a="1"/>
  <c r="AF72" i="1" a="1"/>
  <c r="AF184" i="1" a="1"/>
  <c r="AF102" i="1" a="1"/>
  <c r="AF343" i="1" a="1"/>
  <c r="AF206" i="1" a="1"/>
  <c r="AF517" i="1" a="1"/>
  <c r="AF74" i="1" a="1"/>
  <c r="AF63" i="1" a="1"/>
  <c r="AF143" i="1" a="1"/>
  <c r="AF434" i="1" a="1"/>
  <c r="AF253" i="1" a="1"/>
  <c r="AF35" i="1" a="1"/>
  <c r="AF329" i="1" a="1"/>
  <c r="AF224" i="1" a="1"/>
  <c r="AF199" i="1" a="1"/>
  <c r="AF560" i="1" a="1"/>
  <c r="AF259" i="1" a="1"/>
  <c r="AF160" i="1" a="1"/>
  <c r="AF474" i="1" a="1"/>
  <c r="AF179" i="1" a="1"/>
  <c r="AF66" i="1" a="1"/>
  <c r="AF458" i="1" a="1"/>
  <c r="AF468" i="1" a="1"/>
  <c r="AF544" i="1" a="1"/>
  <c r="AF283" i="1" a="1"/>
  <c r="AF86" i="1" a="1"/>
  <c r="AF130" i="1" a="1"/>
  <c r="AF324" i="1" a="1"/>
  <c r="AF443" i="1" a="1"/>
  <c r="AF266" i="1" a="1"/>
  <c r="AF242" i="1" a="1"/>
  <c r="AF471" i="1" a="1"/>
  <c r="AF546" i="1" a="1"/>
  <c r="AF215" i="1" a="1"/>
  <c r="AF46" i="1" a="1"/>
  <c r="AF189" i="1" a="1"/>
  <c r="AF540" i="1" a="1"/>
  <c r="AF231" i="1" a="1"/>
  <c r="AF575" i="1" a="1"/>
  <c r="AF239" i="1" a="1"/>
  <c r="AF219" i="1" a="1"/>
  <c r="AF302" i="1" a="1"/>
  <c r="AF166" i="1" a="1"/>
  <c r="AF21" i="1" a="1"/>
  <c r="AF109" i="1" a="1"/>
  <c r="AF203" i="1" a="1"/>
  <c r="AF149" i="1" a="1"/>
  <c r="AF151" i="1" a="1"/>
  <c r="AF142" i="1" a="1"/>
  <c r="AF414" i="1" a="1"/>
  <c r="AF416" i="1" a="1"/>
  <c r="AF457" i="1" a="1"/>
  <c r="AF53" i="1" a="1"/>
  <c r="AF225" i="1" a="1"/>
  <c r="AF587" i="1" a="1"/>
  <c r="AF590" i="1" a="1"/>
  <c r="AF91" i="1" a="1"/>
  <c r="AF211" i="1" a="1"/>
  <c r="AF561" i="1" a="1"/>
  <c r="AF387" i="1" a="1"/>
  <c r="AF191" i="1" a="1"/>
  <c r="AF145" i="1" a="1"/>
  <c r="AF286" i="1" a="1"/>
  <c r="AF493" i="1" a="1"/>
  <c r="AF345" i="1" a="1"/>
  <c r="AF57" i="1" a="1"/>
  <c r="AF64" i="1" a="1"/>
  <c r="AF292" i="1" a="1"/>
  <c r="AF167" i="1" a="1"/>
  <c r="AF541" i="1" a="1"/>
  <c r="AF442" i="1" a="1"/>
  <c r="AF140" i="1" a="1"/>
  <c r="AF438" i="1" a="1"/>
  <c r="AF589" i="1" a="1"/>
  <c r="AF230" i="1" a="1"/>
  <c r="AF476" i="1" a="1"/>
  <c r="AF469" i="1" a="1"/>
  <c r="AF263" i="1" a="1"/>
  <c r="AF371" i="1" a="1"/>
  <c r="AF10" i="1" a="1"/>
  <c r="AF235" i="1" a="1"/>
  <c r="AF288" i="1" a="1"/>
  <c r="AF461" i="1" a="1"/>
  <c r="AF523" i="1" a="1"/>
  <c r="AF223" i="1" a="1"/>
  <c r="AF581" i="1" a="1"/>
  <c r="AF424" i="1" a="1"/>
  <c r="AF261" i="1" a="1"/>
  <c r="AF559" i="1" a="1"/>
  <c r="AF117" i="1" a="1"/>
  <c r="AF200" i="1" a="1"/>
  <c r="AF533" i="1" a="1"/>
  <c r="AF22" i="1" a="1"/>
  <c r="AF361" i="1" a="1"/>
  <c r="AF44" i="1" a="1"/>
  <c r="AF39" i="1" a="1"/>
  <c r="AF162" i="1" a="1"/>
  <c r="AF100" i="1" a="1"/>
  <c r="AF441" i="1" a="1"/>
  <c r="AF279" i="1" a="1"/>
  <c r="AF507" i="1" a="1"/>
  <c r="AF454" i="1" a="1"/>
  <c r="AF548" i="1" a="1"/>
  <c r="AF325" i="1" a="1"/>
  <c r="AF495" i="1" a="1"/>
  <c r="AF118" i="1" a="1"/>
  <c r="AF135" i="1" a="1"/>
  <c r="AF363" i="1" a="1"/>
  <c r="AF462" i="1" a="1"/>
  <c r="AF37" i="1" a="1"/>
  <c r="AF301" i="1" a="1"/>
  <c r="AF599" i="1" a="1"/>
  <c r="AF379" i="1" a="1"/>
  <c r="AF378" i="1" a="1"/>
  <c r="AF132" i="1" a="1"/>
  <c r="AF88" i="1" a="1"/>
  <c r="AF36" i="1" a="1"/>
  <c r="AF82" i="1" a="1"/>
  <c r="AF45" i="1" a="1"/>
  <c r="AF73" i="1" a="1"/>
  <c r="AF208" i="1" a="1"/>
  <c r="AF483" i="1" a="1"/>
  <c r="AF450" i="1" a="1"/>
  <c r="AF29" i="1" a="1"/>
  <c r="AF352" i="1" a="1"/>
  <c r="AF515" i="1" a="1"/>
  <c r="AF550" i="1" a="1"/>
  <c r="AF510" i="1" a="1"/>
  <c r="AF335" i="1" a="1"/>
  <c r="AF519" i="1" a="1"/>
  <c r="AF112" i="1" a="1"/>
  <c r="AF428" i="1" a="1"/>
  <c r="AF103" i="1" a="1"/>
  <c r="AF95" i="1" a="1"/>
  <c r="AF129" i="1" a="1"/>
  <c r="AF440" i="1" a="1"/>
  <c r="AF505" i="1" a="1"/>
  <c r="AF478" i="1" a="1"/>
  <c r="AF369" i="1" a="1"/>
  <c r="AF134" i="1" a="1"/>
  <c r="AF298" i="1" a="1"/>
  <c r="AF177" i="1" a="1"/>
  <c r="AF340" i="1" a="1"/>
  <c r="AF245" i="1" a="1"/>
  <c r="AF186" i="1" a="1"/>
  <c r="AF220" i="1" a="1"/>
  <c r="AF397" i="1" a="1"/>
  <c r="AF137" i="1" a="1"/>
  <c r="AF422" i="1" a="1"/>
  <c r="AF364" i="1" a="1"/>
  <c r="AF437" i="1" a="1"/>
  <c r="AF569" i="1" a="1"/>
  <c r="AF26" i="1" a="1"/>
  <c r="AF552" i="1" a="1"/>
  <c r="AF333" i="1" a="1"/>
  <c r="AF277" i="1" a="1"/>
  <c r="AF484" i="1" a="1"/>
  <c r="AF214" i="1" a="1"/>
  <c r="AF496" i="1" a="1"/>
  <c r="AF596" i="1" a="1"/>
  <c r="AF530" i="1" a="1"/>
  <c r="AF534" i="1" a="1"/>
  <c r="AF244" i="1" a="1"/>
  <c r="AF341" i="1" a="1"/>
  <c r="AF445" i="1" a="1"/>
  <c r="AF489" i="1" a="1"/>
  <c r="AF399" i="1" a="1"/>
  <c r="AF192" i="1" a="1"/>
  <c r="AF446" i="1" a="1"/>
  <c r="AF518" i="1" a="1"/>
  <c r="AF34" i="1" a="1"/>
  <c r="AF207" i="1" a="1"/>
  <c r="AF355" i="1" a="1"/>
  <c r="AF42" i="1" a="1"/>
  <c r="AF234" i="1" a="1"/>
  <c r="AF522" i="1" a="1"/>
  <c r="AF133" i="1" a="1"/>
  <c r="AF290" i="1" a="1"/>
  <c r="AF497" i="1" a="1"/>
  <c r="AF344" i="1" a="1"/>
  <c r="AF525" i="1" a="1"/>
  <c r="AF436" i="1" a="1"/>
  <c r="AF593" i="1" a="1"/>
  <c r="AF477" i="1" a="1"/>
  <c r="AF293" i="1" a="1"/>
  <c r="AF227" i="1" a="1"/>
  <c r="AF336" i="1" a="1"/>
  <c r="AF204" i="1" a="1"/>
  <c r="AF104" i="1" a="1"/>
  <c r="AF23" i="1" a="1"/>
  <c r="AF398" i="1" a="1"/>
  <c r="AF334" i="1" a="1"/>
  <c r="AF271" i="1" a="1"/>
  <c r="AF413" i="1" a="1"/>
  <c r="AF183" i="1" a="1"/>
  <c r="AF368" i="1" a="1"/>
  <c r="AF332" i="1" a="1"/>
  <c r="AF148" i="1" a="1"/>
  <c r="AF331" i="1" a="1"/>
  <c r="AF346" i="1" a="1"/>
  <c r="AF171" i="1" a="1"/>
  <c r="AF588" i="1" a="1"/>
  <c r="AF141" i="1" a="1"/>
  <c r="AF551" i="1" a="1"/>
  <c r="AF485" i="1" a="1"/>
  <c r="AF506" i="1" a="1"/>
  <c r="AF451" i="1" a="1"/>
  <c r="AF580" i="1" a="1"/>
  <c r="AF76" i="1" a="1"/>
  <c r="AF31" i="1" a="1"/>
  <c r="AF460" i="1" a="1"/>
  <c r="AF257" i="1" a="1"/>
  <c r="AF247" i="1" a="1"/>
  <c r="AF410" i="1" a="1"/>
  <c r="AF521" i="1" a="1"/>
  <c r="AF337" i="1" a="1"/>
  <c r="AF255" i="1" a="1"/>
  <c r="AF382" i="1" a="1"/>
  <c r="AF568" i="1" a="1"/>
  <c r="AF502" i="1" a="1"/>
  <c r="AF482" i="1" a="1"/>
  <c r="AF267" i="1" a="1"/>
  <c r="AF531" i="1" a="1"/>
  <c r="AF291" i="1" a="1"/>
  <c r="AF59" i="1" a="1"/>
  <c r="AF583" i="1" a="1"/>
  <c r="AF584" i="1" a="1"/>
  <c r="AF294" i="1" a="1"/>
  <c r="AF464" i="1" a="1"/>
  <c r="AF360" i="1" a="1"/>
  <c r="AF273" i="1" a="1"/>
  <c r="AF228" i="1" a="1"/>
  <c r="AF54" i="1" a="1"/>
  <c r="AF499" i="1" a="1"/>
  <c r="AF79" i="1" a="1"/>
  <c r="AF176" i="1" a="1"/>
  <c r="AF347" i="1" a="1"/>
  <c r="AF19" i="1" a="1"/>
  <c r="AF415" i="1" a="1"/>
  <c r="AF373" i="1" a="1"/>
  <c r="AF172" i="1" a="1"/>
  <c r="AF274" i="1" a="1"/>
  <c r="AF466" i="1" a="1"/>
  <c r="AF386" i="1" a="1"/>
  <c r="AF400" i="1" a="1"/>
  <c r="AF190" i="1" a="1"/>
  <c r="AF453" i="1" a="1"/>
  <c r="AF282" i="1" a="1"/>
  <c r="AF323" i="1" a="1"/>
  <c r="AF572" i="1" a="1"/>
  <c r="AF136" i="1" a="1"/>
  <c r="AF125" i="1" a="1"/>
  <c r="AF542" i="1" a="1"/>
  <c r="AF408" i="1" a="1"/>
  <c r="AF40" i="1" a="1"/>
  <c r="AF395" i="1" a="1"/>
  <c r="AF545" i="1" a="1"/>
  <c r="AF131" i="1" a="1"/>
  <c r="AF342" i="1" a="1"/>
  <c r="AF99" i="1" a="1"/>
  <c r="AF43" i="1" a="1"/>
  <c r="AF217" i="1" a="1"/>
  <c r="AF210" i="1" a="1"/>
  <c r="AF81" i="1" a="1"/>
  <c r="AF233" i="1" a="1"/>
  <c r="AF384" i="1" a="1"/>
  <c r="AF372" i="1" a="1"/>
  <c r="AF429" i="1" a="1"/>
  <c r="AF197" i="1" a="1"/>
  <c r="AF307" i="1" a="1"/>
  <c r="AF56" i="1" a="1"/>
  <c r="AF170" i="1" a="1"/>
  <c r="AF144" i="1" a="1"/>
  <c r="AF28" i="1" a="1"/>
  <c r="AF383" i="1" a="1"/>
  <c r="AF278" i="1" a="1"/>
  <c r="AF97" i="1" a="1"/>
  <c r="AF330" i="1" a="1"/>
  <c r="AF463" i="1" a="1"/>
  <c r="AF165" i="1" a="1"/>
  <c r="AF84" i="1" a="1"/>
  <c r="AF209" i="1" a="1"/>
  <c r="AF169" i="1" a="1"/>
  <c r="AF196" i="1" a="1"/>
  <c r="AF150" i="1" a="1"/>
  <c r="AF272" i="1" a="1"/>
  <c r="AF537" i="1" a="1"/>
  <c r="AF338" i="1" a="1"/>
  <c r="AF51" i="1" a="1"/>
  <c r="AF549" i="1" a="1"/>
  <c r="AF393" i="1" a="1"/>
  <c r="AF98" i="1" a="1"/>
  <c r="AF299" i="1" a="1"/>
  <c r="AF511" i="1" a="1"/>
  <c r="AF115" i="1" a="1"/>
  <c r="AF524" i="1" a="1"/>
  <c r="AF41" i="1" a="1"/>
  <c r="AF419" i="1" a="1"/>
  <c r="AF105" i="1" a="1"/>
  <c r="AF374" i="1" a="1"/>
  <c r="AF503" i="1" a="1"/>
  <c r="AF564" i="1" a="1"/>
  <c r="AF264" i="1" a="1"/>
  <c r="AF156" i="1" a="1"/>
  <c r="AF154" i="1" a="1"/>
  <c r="AF513" i="1" a="1"/>
  <c r="AF481" i="1" a="1"/>
  <c r="AF300" i="1" a="1"/>
  <c r="AF116" i="1" a="1"/>
  <c r="AF486" i="1" a="1"/>
  <c r="AF578" i="1" a="1"/>
  <c r="AF201" i="1" a="1"/>
  <c r="AF538" i="1" a="1"/>
  <c r="AF128" i="1" a="1"/>
  <c r="AF175" i="1" a="1"/>
  <c r="AF180" i="1" a="1"/>
  <c r="AF77" i="1" a="1"/>
  <c r="AF418" i="1" a="1"/>
  <c r="AF139" i="1" a="1"/>
  <c r="AF297" i="1" a="1"/>
  <c r="AF380" i="1" a="1"/>
  <c r="AF187" i="1" a="1"/>
  <c r="AF284" i="1" a="1"/>
  <c r="AF89" i="1" a="1"/>
  <c r="AF181" i="1" a="1"/>
  <c r="AF120" i="1" a="1"/>
  <c r="AF351" i="1" a="1"/>
  <c r="AF243" i="1" a="1"/>
  <c r="AF178" i="1" a="1"/>
  <c r="AF420" i="1" a="1"/>
  <c r="AF285" i="1" a="1"/>
  <c r="AF433" i="1" a="1"/>
  <c r="AF33" i="1" a="1"/>
  <c r="AF406" i="1" a="1"/>
  <c r="AF439" i="1" a="1"/>
  <c r="AF579" i="1" a="1"/>
  <c r="AF164" i="1" a="1"/>
  <c r="AF65" i="1" a="1"/>
  <c r="AF212" i="1" a="1"/>
  <c r="AF359" i="1" a="1"/>
  <c r="AF90" i="1" a="1"/>
  <c r="AF159" i="1" a="1"/>
  <c r="AF396" i="1" a="1"/>
  <c r="AF417" i="1" a="1"/>
  <c r="AF78" i="1" a="1"/>
  <c r="AF576" i="1" a="1"/>
  <c r="AF289" i="1" a="1"/>
  <c r="AF512" i="1" a="1"/>
  <c r="AF222" i="1" a="1"/>
  <c r="AF339" i="1" a="1"/>
  <c r="AF407" i="1" a="1"/>
  <c r="AF121" i="1" a="1"/>
  <c r="AF163" i="1" a="1"/>
  <c r="AF229" i="1" a="1"/>
  <c r="AF412" i="1" a="1"/>
  <c r="AF232" i="1" a="1"/>
  <c r="AF448" i="1" a="1"/>
  <c r="AF127" i="1" a="1"/>
  <c r="AF48" i="1" a="1"/>
  <c r="AF570" i="1" a="1"/>
  <c r="AF565" i="1" a="1"/>
  <c r="AF38" i="1" a="1"/>
  <c r="AF50" i="1" a="1"/>
  <c r="AF108" i="1" a="1"/>
  <c r="AF9" i="1" a="1"/>
  <c r="AF473" i="1" a="1"/>
  <c r="AF126" i="1" a="1"/>
  <c r="AF553" i="1" a="1"/>
  <c r="AF198" i="1" a="1"/>
  <c r="AF75" i="1" a="1"/>
  <c r="AF174" i="1" a="1"/>
  <c r="AF254" i="1" a="1"/>
  <c r="AF309" i="1" a="1"/>
  <c r="AF310" i="1" a="1"/>
  <c r="AF381" i="1" a="1"/>
  <c r="AF185" i="1" a="1"/>
  <c r="AF427" i="1" a="1"/>
  <c r="AF49" i="1" a="1"/>
  <c r="AF321" i="1" a="1"/>
  <c r="AF357" i="1" a="1"/>
  <c r="AF241" i="1" a="1"/>
  <c r="AF123" i="1" a="1"/>
  <c r="AF556" i="1" a="1"/>
  <c r="AF326" i="1" a="1"/>
  <c r="AF305" i="1" a="1"/>
  <c r="AF146" i="1" a="1"/>
  <c r="AF319" i="1" a="1"/>
  <c r="AF94" i="1" a="1"/>
  <c r="AF508" i="1" a="1"/>
  <c r="AF61" i="1" a="1"/>
  <c r="AF111" i="1" a="1"/>
  <c r="AF275" i="1" a="1"/>
  <c r="AF585" i="1" a="1"/>
  <c r="AF27" i="1" a="1"/>
  <c r="AF158" i="1" a="1"/>
  <c r="AF452" i="1" a="1"/>
  <c r="AF308" i="1" a="1"/>
  <c r="AF350" i="1" a="1"/>
  <c r="AF554" i="1" a="1"/>
  <c r="AF475" i="1" a="1"/>
  <c r="AF152" i="1" a="1"/>
  <c r="AF532" i="1" a="1"/>
  <c r="AF504" i="1" a="1"/>
  <c r="AF250" i="1" a="1"/>
  <c r="AF547" i="1" a="1"/>
  <c r="AF480" i="1" a="1"/>
  <c r="AF509" i="1" a="1"/>
  <c r="AF426" i="1" a="1"/>
  <c r="AF265" i="1" a="1"/>
  <c r="AF349" i="1" a="1"/>
  <c r="AF402" i="1" a="1"/>
  <c r="AF173" i="1" a="1"/>
  <c r="AF87" i="1" a="1"/>
  <c r="AF106" i="1" a="1"/>
  <c r="AF444" i="1" a="1"/>
  <c r="AF516" i="1" a="1"/>
  <c r="AF409" i="1" a="1"/>
  <c r="AF586" i="1" a="1"/>
  <c r="AF107" i="1" a="1"/>
  <c r="AF431" i="1" a="1"/>
  <c r="AF161" i="1" a="1"/>
  <c r="AF47" i="1" a="1"/>
  <c r="AF456" i="1" a="1"/>
  <c r="AF539" i="1" a="1"/>
  <c r="AF202" i="1" a="1"/>
  <c r="AF236" i="1" a="1"/>
  <c r="AF248" i="1" a="1"/>
  <c r="AF375" i="1" a="1"/>
  <c r="AF80" i="1" a="1"/>
  <c r="AF389" i="1" a="1"/>
  <c r="AF67" i="1" a="1"/>
  <c r="AF455" i="1" a="1"/>
  <c r="AF526" i="1" a="1"/>
  <c r="AF71" i="1" a="1"/>
  <c r="AF562" i="1" a="1"/>
  <c r="AF30" i="1" a="1"/>
  <c r="AF60" i="1" a="1"/>
  <c r="AF366" i="1" a="1"/>
  <c r="AF32" i="1" a="1"/>
  <c r="AF376" i="1" a="1"/>
  <c r="AF432" i="1" a="1"/>
  <c r="AF423" i="1" a="1"/>
  <c r="AF85" i="1" a="1"/>
  <c r="AF470" i="1" a="1"/>
  <c r="AF520" i="1" a="1"/>
  <c r="AF157" i="1" a="1"/>
  <c r="AF425" i="1" a="1"/>
  <c r="AF459" i="1" a="1"/>
  <c r="AF514" i="1" a="1"/>
  <c r="AF492" i="1" a="1"/>
  <c r="AF52" i="1" a="1"/>
  <c r="AF147" i="1" a="1"/>
  <c r="AF25" i="1" a="1"/>
  <c r="AF557" i="1" a="1"/>
  <c r="AF430" i="1" a="1"/>
  <c r="AF320" i="1" a="1"/>
  <c r="AF182" i="1" a="1"/>
  <c r="AF487" i="1" a="1"/>
  <c r="AF358" i="1" a="1"/>
  <c r="AF195" i="1" a="1"/>
  <c r="AF110" i="1" a="1"/>
  <c r="AF114" i="1" a="1"/>
  <c r="AF249" i="1" a="1"/>
  <c r="AF58" i="1" a="1"/>
  <c r="AF500" i="1" a="1"/>
  <c r="AF218" i="1" a="1"/>
  <c r="AF311" i="1" a="1"/>
  <c r="AF592" i="1" a="1"/>
  <c r="AF113" i="1" a="1"/>
  <c r="AF404" i="1" a="1"/>
  <c r="AF567" i="1" a="1"/>
  <c r="AF238" i="1" a="1"/>
  <c r="AF313" i="1" a="1"/>
  <c r="AF465" i="1" a="1"/>
  <c r="AF270" i="1" a="1"/>
  <c r="AF69" i="1" a="1"/>
  <c r="AF535" i="1" a="1"/>
  <c r="AC631" i="1" a="1"/>
  <c r="AC622" i="1" a="1"/>
  <c r="AC676" i="1" a="1"/>
  <c r="AC611" i="1" a="1"/>
  <c r="AC650" i="1" a="1"/>
  <c r="AC649" i="1" a="1"/>
  <c r="AC601" i="1" a="1"/>
  <c r="AC683" i="1" a="1"/>
  <c r="AC672" i="1" a="1"/>
  <c r="AC633" i="1" a="1"/>
  <c r="AC669" i="1" a="1"/>
  <c r="AC694" i="1" a="1"/>
  <c r="AC639" i="1" a="1"/>
  <c r="AC682" i="1" a="1"/>
  <c r="AC688" i="1" a="1"/>
  <c r="AC674" i="1" a="1"/>
  <c r="AC686" i="1" a="1"/>
  <c r="AC648" i="1" a="1"/>
  <c r="AC678" i="1" a="1"/>
  <c r="AC618" i="1" a="1"/>
  <c r="AC629" i="1" a="1"/>
  <c r="AC657" i="1" a="1"/>
  <c r="AC626" i="1" a="1"/>
  <c r="AC634" i="1" a="1"/>
  <c r="AC603" i="1" a="1"/>
  <c r="AC646" i="1" a="1"/>
  <c r="AC664" i="1" a="1"/>
  <c r="AC620" i="1" a="1"/>
  <c r="AC610" i="1" a="1"/>
  <c r="AC654" i="1" a="1"/>
  <c r="AC691" i="1" a="1"/>
  <c r="AC642" i="1" a="1"/>
  <c r="AC681" i="1" a="1"/>
  <c r="AC679" i="1" a="1"/>
  <c r="AC615" i="1" a="1"/>
  <c r="AC699" i="1" a="1"/>
  <c r="AC697" i="1" a="1"/>
  <c r="AC690" i="1" a="1"/>
  <c r="AC644" i="1" a="1"/>
  <c r="AC680" i="1" a="1"/>
  <c r="AC653" i="1" a="1"/>
  <c r="AC652" i="1" a="1"/>
  <c r="AC693" i="1" a="1"/>
  <c r="AC667" i="1" a="1"/>
  <c r="AC687" i="1" a="1"/>
  <c r="AC627" i="1" a="1"/>
  <c r="AC628" i="1" a="1"/>
  <c r="AC640" i="1" a="1"/>
  <c r="AC661" i="1" a="1"/>
  <c r="AC658" i="1" a="1"/>
  <c r="AC684" i="1" a="1"/>
  <c r="AC605" i="1" a="1"/>
  <c r="AC607" i="1" a="1"/>
  <c r="AC638" i="1" a="1"/>
  <c r="AC608" i="1" a="1"/>
  <c r="AC609" i="1" a="1"/>
  <c r="AC643" i="1" a="1"/>
  <c r="AC614" i="1" a="1"/>
  <c r="AC698" i="1" a="1"/>
  <c r="AC623" i="1" a="1"/>
  <c r="AC612" i="1" a="1"/>
  <c r="AC670" i="1" a="1"/>
  <c r="AC662" i="1" a="1"/>
  <c r="AC671" i="1" a="1"/>
  <c r="AC656" i="1" a="1"/>
  <c r="AC645" i="1" a="1"/>
  <c r="AC616" i="1" a="1"/>
  <c r="AC692" i="1" a="1"/>
  <c r="AC673" i="1" a="1"/>
  <c r="AC630" i="1" a="1"/>
  <c r="AC696" i="1" a="1"/>
  <c r="AC685" i="1" a="1"/>
  <c r="AC602" i="1" a="1"/>
  <c r="AC625" i="1" a="1"/>
  <c r="AC617" i="1" a="1"/>
  <c r="AC677" i="1" a="1"/>
  <c r="AC619" i="1" a="1"/>
  <c r="AC689" i="1" a="1"/>
  <c r="AC613" i="1" a="1"/>
  <c r="AC651" i="1" a="1"/>
  <c r="AC675" i="1" a="1"/>
  <c r="AC637" i="1" a="1"/>
  <c r="AC660" i="1" a="1"/>
  <c r="AC632" i="1" a="1"/>
  <c r="AC635" i="1" a="1"/>
  <c r="AC621" i="1" a="1"/>
  <c r="AC663" i="1" a="1"/>
  <c r="AC655" i="1" a="1"/>
  <c r="AC606" i="1" a="1"/>
  <c r="AC636" i="1" a="1"/>
  <c r="AC668" i="1" a="1"/>
  <c r="AC604" i="1" a="1"/>
  <c r="AC641" i="1" a="1"/>
  <c r="AC624" i="1" a="1"/>
  <c r="AC695" i="1" a="1"/>
  <c r="AC666" i="1" a="1"/>
  <c r="AC659" i="1" a="1"/>
  <c r="AC647" i="1" a="1"/>
  <c r="AC665" i="1" a="1"/>
  <c r="AE18" i="1" l="1"/>
  <c r="AE17" i="1"/>
  <c r="AE16" i="1"/>
  <c r="AE13" i="1"/>
  <c r="AE15" i="1"/>
  <c r="AE14" i="1"/>
  <c r="AE12" i="1"/>
  <c r="AE11" i="1"/>
  <c r="AF535" i="1"/>
  <c r="AF69" i="1"/>
  <c r="AF270" i="1"/>
  <c r="AF465" i="1"/>
  <c r="AF313" i="1"/>
  <c r="AF238" i="1"/>
  <c r="AF567" i="1"/>
  <c r="AF404" i="1"/>
  <c r="AF113" i="1"/>
  <c r="AF592" i="1"/>
  <c r="AF311" i="1"/>
  <c r="AF218" i="1"/>
  <c r="AF500" i="1"/>
  <c r="AF58" i="1"/>
  <c r="AF249" i="1"/>
  <c r="AF114" i="1"/>
  <c r="AF110" i="1"/>
  <c r="AF195" i="1"/>
  <c r="AF358" i="1"/>
  <c r="AF487" i="1"/>
  <c r="AF182" i="1"/>
  <c r="AF320" i="1"/>
  <c r="AF430" i="1"/>
  <c r="AF557" i="1"/>
  <c r="AF25" i="1"/>
  <c r="AF147" i="1"/>
  <c r="AF52" i="1"/>
  <c r="AF492" i="1"/>
  <c r="AF514" i="1"/>
  <c r="AF459" i="1"/>
  <c r="AF425" i="1"/>
  <c r="AF157" i="1"/>
  <c r="AF520" i="1"/>
  <c r="AF470" i="1"/>
  <c r="AF85" i="1"/>
  <c r="AF423" i="1"/>
  <c r="AF432" i="1"/>
  <c r="AF376" i="1"/>
  <c r="AF32" i="1"/>
  <c r="AF366" i="1"/>
  <c r="AF60" i="1"/>
  <c r="AF30" i="1"/>
  <c r="AF562" i="1"/>
  <c r="AF71" i="1"/>
  <c r="AF526" i="1"/>
  <c r="AF455" i="1"/>
  <c r="AF67" i="1"/>
  <c r="AF389" i="1"/>
  <c r="AF80" i="1"/>
  <c r="AF375" i="1"/>
  <c r="AF248" i="1"/>
  <c r="AF236" i="1"/>
  <c r="AF202" i="1"/>
  <c r="AF539" i="1"/>
  <c r="AF456" i="1"/>
  <c r="AF47" i="1"/>
  <c r="AF161" i="1"/>
  <c r="AF431" i="1"/>
  <c r="AF107" i="1"/>
  <c r="AF586" i="1"/>
  <c r="AF409" i="1"/>
  <c r="AF516" i="1"/>
  <c r="AF444" i="1"/>
  <c r="AF106" i="1"/>
  <c r="AF87" i="1"/>
  <c r="AF173" i="1"/>
  <c r="AF402" i="1"/>
  <c r="AF349" i="1"/>
  <c r="AF265" i="1"/>
  <c r="AF426" i="1"/>
  <c r="AF509" i="1"/>
  <c r="AF480" i="1"/>
  <c r="AF547" i="1"/>
  <c r="AF250" i="1"/>
  <c r="AF504" i="1"/>
  <c r="AF532" i="1"/>
  <c r="AF152" i="1"/>
  <c r="AF475" i="1"/>
  <c r="AF554" i="1"/>
  <c r="AF350" i="1"/>
  <c r="AF308" i="1"/>
  <c r="AF452" i="1"/>
  <c r="AF158" i="1"/>
  <c r="AF27" i="1"/>
  <c r="AF585" i="1"/>
  <c r="AF275" i="1"/>
  <c r="AF111" i="1"/>
  <c r="AF61" i="1"/>
  <c r="AF508" i="1"/>
  <c r="AF94" i="1"/>
  <c r="AF319" i="1"/>
  <c r="AF146" i="1"/>
  <c r="AF305" i="1"/>
  <c r="AF326" i="1"/>
  <c r="AF556" i="1"/>
  <c r="AF123" i="1"/>
  <c r="AF241" i="1"/>
  <c r="AF357" i="1"/>
  <c r="AF321" i="1"/>
  <c r="AF49" i="1"/>
  <c r="AF427" i="1"/>
  <c r="AF185" i="1"/>
  <c r="AF381" i="1"/>
  <c r="AF310" i="1"/>
  <c r="AF309" i="1"/>
  <c r="AF254" i="1"/>
  <c r="AF174" i="1"/>
  <c r="AF75" i="1"/>
  <c r="AF198" i="1"/>
  <c r="AF553" i="1"/>
  <c r="AF126" i="1"/>
  <c r="AF473" i="1"/>
  <c r="AF9" i="1"/>
  <c r="AF108" i="1"/>
  <c r="AF50" i="1"/>
  <c r="AF38" i="1"/>
  <c r="AF565" i="1"/>
  <c r="AF570" i="1"/>
  <c r="AF48" i="1"/>
  <c r="AF127" i="1"/>
  <c r="AF448" i="1"/>
  <c r="AF232" i="1"/>
  <c r="AF412" i="1"/>
  <c r="AF229" i="1"/>
  <c r="AF163" i="1"/>
  <c r="AF121" i="1"/>
  <c r="AF407" i="1"/>
  <c r="AF339" i="1"/>
  <c r="AF222" i="1"/>
  <c r="AF512" i="1"/>
  <c r="AF289" i="1"/>
  <c r="AF576" i="1"/>
  <c r="AF78" i="1"/>
  <c r="AF417" i="1"/>
  <c r="AF396" i="1"/>
  <c r="AF159" i="1"/>
  <c r="AF90" i="1"/>
  <c r="AF359" i="1"/>
  <c r="AF212" i="1"/>
  <c r="AF65" i="1"/>
  <c r="AF164" i="1"/>
  <c r="AF579" i="1"/>
  <c r="AF439" i="1"/>
  <c r="AF406" i="1"/>
  <c r="AF33" i="1"/>
  <c r="AF433" i="1"/>
  <c r="AF285" i="1"/>
  <c r="AF420" i="1"/>
  <c r="AF178" i="1"/>
  <c r="AF243" i="1"/>
  <c r="AF351" i="1"/>
  <c r="AF120" i="1"/>
  <c r="AF181" i="1"/>
  <c r="AF89" i="1"/>
  <c r="AF284" i="1"/>
  <c r="AF187" i="1"/>
  <c r="AF380" i="1"/>
  <c r="AF297" i="1"/>
  <c r="AF139" i="1"/>
  <c r="AF418" i="1"/>
  <c r="AF77" i="1"/>
  <c r="AF180" i="1"/>
  <c r="AF175" i="1"/>
  <c r="AF128" i="1"/>
  <c r="AF538" i="1"/>
  <c r="AF201" i="1"/>
  <c r="AF578" i="1"/>
  <c r="AF486" i="1"/>
  <c r="AF116" i="1"/>
  <c r="AF300" i="1"/>
  <c r="AF481" i="1"/>
  <c r="AF513" i="1"/>
  <c r="AF154" i="1"/>
  <c r="AF156" i="1"/>
  <c r="AF264" i="1"/>
  <c r="AF564" i="1"/>
  <c r="AF503" i="1"/>
  <c r="AF374" i="1"/>
  <c r="AF105" i="1"/>
  <c r="AF419" i="1"/>
  <c r="AF41" i="1"/>
  <c r="AF524" i="1"/>
  <c r="AF115" i="1"/>
  <c r="AF511" i="1"/>
  <c r="AF299" i="1"/>
  <c r="AF98" i="1"/>
  <c r="AF393" i="1"/>
  <c r="AF549" i="1"/>
  <c r="AF51" i="1"/>
  <c r="AF338" i="1"/>
  <c r="AF537" i="1"/>
  <c r="AF272" i="1"/>
  <c r="AF150" i="1"/>
  <c r="AF196" i="1"/>
  <c r="AF169" i="1"/>
  <c r="AF209" i="1"/>
  <c r="AF84" i="1"/>
  <c r="AF165" i="1"/>
  <c r="AF463" i="1"/>
  <c r="AF330" i="1"/>
  <c r="AF97" i="1"/>
  <c r="AF278" i="1"/>
  <c r="AF383" i="1"/>
  <c r="AF28" i="1"/>
  <c r="AF144" i="1"/>
  <c r="AF170" i="1"/>
  <c r="AF56" i="1"/>
  <c r="AF307" i="1"/>
  <c r="AF197" i="1"/>
  <c r="AF429" i="1"/>
  <c r="AF372" i="1"/>
  <c r="AF384" i="1"/>
  <c r="AF233" i="1"/>
  <c r="AF81" i="1"/>
  <c r="AF210" i="1"/>
  <c r="AF217" i="1"/>
  <c r="AF43" i="1"/>
  <c r="AF99" i="1"/>
  <c r="AF342" i="1"/>
  <c r="AF131" i="1"/>
  <c r="AF545" i="1"/>
  <c r="AF395" i="1"/>
  <c r="AF40" i="1"/>
  <c r="AF408" i="1"/>
  <c r="AF542" i="1"/>
  <c r="AF125" i="1"/>
  <c r="AF136" i="1"/>
  <c r="AF572" i="1"/>
  <c r="AF323" i="1"/>
  <c r="AF282" i="1"/>
  <c r="AF453" i="1"/>
  <c r="AF190" i="1"/>
  <c r="AF400" i="1"/>
  <c r="AF386" i="1"/>
  <c r="AF466" i="1"/>
  <c r="AF274" i="1"/>
  <c r="AF172" i="1"/>
  <c r="AF373" i="1"/>
  <c r="AF415" i="1"/>
  <c r="AF19" i="1"/>
  <c r="AF347" i="1"/>
  <c r="AF176" i="1"/>
  <c r="AF79" i="1"/>
  <c r="AF499" i="1"/>
  <c r="AF54" i="1"/>
  <c r="AF228" i="1"/>
  <c r="AF273" i="1"/>
  <c r="AF360" i="1"/>
  <c r="AF464" i="1"/>
  <c r="AF294" i="1"/>
  <c r="AF584" i="1"/>
  <c r="AF583" i="1"/>
  <c r="AF59" i="1"/>
  <c r="AF291" i="1"/>
  <c r="AF531" i="1"/>
  <c r="AF267" i="1"/>
  <c r="AF482" i="1"/>
  <c r="AF502" i="1"/>
  <c r="AF568" i="1"/>
  <c r="AF382" i="1"/>
  <c r="AF255" i="1"/>
  <c r="AF337" i="1"/>
  <c r="AF521" i="1"/>
  <c r="AF410" i="1"/>
  <c r="AF247" i="1"/>
  <c r="AF257" i="1"/>
  <c r="AF460" i="1"/>
  <c r="AF31" i="1"/>
  <c r="AF76" i="1"/>
  <c r="AF580" i="1"/>
  <c r="AF451" i="1"/>
  <c r="AF506" i="1"/>
  <c r="AF485" i="1"/>
  <c r="AF551" i="1"/>
  <c r="AF141" i="1"/>
  <c r="AF588" i="1"/>
  <c r="AF171" i="1"/>
  <c r="AF346" i="1"/>
  <c r="AF331" i="1"/>
  <c r="AF148" i="1"/>
  <c r="AF332" i="1"/>
  <c r="AF368" i="1"/>
  <c r="AF183" i="1"/>
  <c r="AF413" i="1"/>
  <c r="AF271" i="1"/>
  <c r="AF334" i="1"/>
  <c r="AF398" i="1"/>
  <c r="AF23" i="1"/>
  <c r="AF104" i="1"/>
  <c r="AF204" i="1"/>
  <c r="AF336" i="1"/>
  <c r="AF227" i="1"/>
  <c r="AF293" i="1"/>
  <c r="AF477" i="1"/>
  <c r="AF593" i="1"/>
  <c r="AF436" i="1"/>
  <c r="AF525" i="1"/>
  <c r="AF344" i="1"/>
  <c r="AF497" i="1"/>
  <c r="AF290" i="1"/>
  <c r="AF133" i="1"/>
  <c r="AF522" i="1"/>
  <c r="AF234" i="1"/>
  <c r="AF42" i="1"/>
  <c r="AF355" i="1"/>
  <c r="AF207" i="1"/>
  <c r="AF34" i="1"/>
  <c r="AF518" i="1"/>
  <c r="AF446" i="1"/>
  <c r="AF192" i="1"/>
  <c r="AF399" i="1"/>
  <c r="AF489" i="1"/>
  <c r="AF445" i="1"/>
  <c r="AF341" i="1"/>
  <c r="AF244" i="1"/>
  <c r="AF534" i="1"/>
  <c r="AF530" i="1"/>
  <c r="AF596" i="1"/>
  <c r="AF496" i="1"/>
  <c r="AF214" i="1"/>
  <c r="AF484" i="1"/>
  <c r="AF277" i="1"/>
  <c r="AF333" i="1"/>
  <c r="AF552" i="1"/>
  <c r="AF26" i="1"/>
  <c r="AF569" i="1"/>
  <c r="AF437" i="1"/>
  <c r="AF364" i="1"/>
  <c r="AF422" i="1"/>
  <c r="AF137" i="1"/>
  <c r="AF397" i="1"/>
  <c r="AF220" i="1"/>
  <c r="AF186" i="1"/>
  <c r="AF245" i="1"/>
  <c r="AF340" i="1"/>
  <c r="AF177" i="1"/>
  <c r="AF298" i="1"/>
  <c r="AF134" i="1"/>
  <c r="AF369" i="1"/>
  <c r="AF478" i="1"/>
  <c r="AF505" i="1"/>
  <c r="AF440" i="1"/>
  <c r="AF129" i="1"/>
  <c r="AF95" i="1"/>
  <c r="AF103" i="1"/>
  <c r="AF428" i="1"/>
  <c r="AF112" i="1"/>
  <c r="AF519" i="1"/>
  <c r="AF335" i="1"/>
  <c r="AF510" i="1"/>
  <c r="AF550" i="1"/>
  <c r="AF515" i="1"/>
  <c r="AF352" i="1"/>
  <c r="AF29" i="1"/>
  <c r="AF450" i="1"/>
  <c r="AF483" i="1"/>
  <c r="AF208" i="1"/>
  <c r="AF73" i="1"/>
  <c r="AF45" i="1"/>
  <c r="AF82" i="1"/>
  <c r="AF36" i="1"/>
  <c r="AF88" i="1"/>
  <c r="AF132" i="1"/>
  <c r="AF378" i="1"/>
  <c r="AF379" i="1"/>
  <c r="AF599" i="1"/>
  <c r="AF301" i="1"/>
  <c r="AF37" i="1"/>
  <c r="AF462" i="1"/>
  <c r="AF363" i="1"/>
  <c r="AF135" i="1"/>
  <c r="AF118" i="1"/>
  <c r="AF495" i="1"/>
  <c r="AF325" i="1"/>
  <c r="AF548" i="1"/>
  <c r="AF454" i="1"/>
  <c r="AF507" i="1"/>
  <c r="AF279" i="1"/>
  <c r="AF441" i="1"/>
  <c r="AF100" i="1"/>
  <c r="AF162" i="1"/>
  <c r="AF39" i="1"/>
  <c r="AF44" i="1"/>
  <c r="AF361" i="1"/>
  <c r="AF22" i="1"/>
  <c r="AF533" i="1"/>
  <c r="AF200" i="1"/>
  <c r="AF117" i="1"/>
  <c r="AF559" i="1"/>
  <c r="AF261" i="1"/>
  <c r="AF424" i="1"/>
  <c r="AF581" i="1"/>
  <c r="AF223" i="1"/>
  <c r="AF523" i="1"/>
  <c r="AF461" i="1"/>
  <c r="AF288" i="1"/>
  <c r="AF235" i="1"/>
  <c r="AF10" i="1"/>
  <c r="AF371" i="1"/>
  <c r="AF263" i="1"/>
  <c r="AF469" i="1"/>
  <c r="AF476" i="1"/>
  <c r="AF230" i="1"/>
  <c r="AF589" i="1"/>
  <c r="AF438" i="1"/>
  <c r="AF140" i="1"/>
  <c r="AF442" i="1"/>
  <c r="AF541" i="1"/>
  <c r="AF167" i="1"/>
  <c r="AF292" i="1"/>
  <c r="AF64" i="1"/>
  <c r="AF57" i="1"/>
  <c r="AF345" i="1"/>
  <c r="AF493" i="1"/>
  <c r="AF286" i="1"/>
  <c r="AF145" i="1"/>
  <c r="AF191" i="1"/>
  <c r="AF387" i="1"/>
  <c r="AF561" i="1"/>
  <c r="AF211" i="1"/>
  <c r="AF91" i="1"/>
  <c r="AF590" i="1"/>
  <c r="AF587" i="1"/>
  <c r="AF225" i="1"/>
  <c r="AF53" i="1"/>
  <c r="AF457" i="1"/>
  <c r="AF416" i="1"/>
  <c r="AF414" i="1"/>
  <c r="AF142" i="1"/>
  <c r="AF151" i="1"/>
  <c r="AF149" i="1"/>
  <c r="AF203" i="1"/>
  <c r="AF109" i="1"/>
  <c r="AF21" i="1"/>
  <c r="AF166" i="1"/>
  <c r="AF302" i="1"/>
  <c r="AF219" i="1"/>
  <c r="AF239" i="1"/>
  <c r="AF575" i="1"/>
  <c r="AF231" i="1"/>
  <c r="AF540" i="1"/>
  <c r="AF189" i="1"/>
  <c r="AF46" i="1"/>
  <c r="AF215" i="1"/>
  <c r="AF546" i="1"/>
  <c r="AF471" i="1"/>
  <c r="AF242" i="1"/>
  <c r="AF266" i="1"/>
  <c r="AF443" i="1"/>
  <c r="AF324" i="1"/>
  <c r="AF130" i="1"/>
  <c r="AF86" i="1"/>
  <c r="AF283" i="1"/>
  <c r="AF544" i="1"/>
  <c r="AF468" i="1"/>
  <c r="AF458" i="1"/>
  <c r="AF66" i="1"/>
  <c r="AF179" i="1"/>
  <c r="AF474" i="1"/>
  <c r="AF160" i="1"/>
  <c r="AF259" i="1"/>
  <c r="AF560" i="1"/>
  <c r="AF199" i="1"/>
  <c r="AF224" i="1"/>
  <c r="AF329" i="1"/>
  <c r="AF35" i="1"/>
  <c r="AF253" i="1"/>
  <c r="AF434" i="1"/>
  <c r="AF143" i="1"/>
  <c r="AF63" i="1"/>
  <c r="AF74" i="1"/>
  <c r="AF517" i="1"/>
  <c r="AF206" i="1"/>
  <c r="AF343" i="1"/>
  <c r="AF102" i="1"/>
  <c r="AF184" i="1"/>
  <c r="AF72" i="1"/>
  <c r="AF276" i="1"/>
  <c r="AF370" i="1"/>
  <c r="AF83" i="1"/>
  <c r="AF494" i="1"/>
  <c r="AF435" i="1"/>
  <c r="AF577" i="1"/>
  <c r="AF328" i="1"/>
  <c r="AF155" i="1"/>
  <c r="AF314" i="1"/>
  <c r="AF20" i="1"/>
  <c r="AF280" i="1"/>
  <c r="AF362" i="1"/>
  <c r="AF193" i="1"/>
  <c r="AF367" i="1"/>
  <c r="AF566" i="1"/>
  <c r="AF62" i="1"/>
  <c r="AF287" i="1"/>
  <c r="AF488" i="1"/>
  <c r="AF296" i="1"/>
  <c r="AF598" i="1"/>
  <c r="AF122" i="1"/>
  <c r="AF348" i="1"/>
  <c r="AF246" i="1"/>
  <c r="AF558" i="1"/>
  <c r="AF472" i="1"/>
  <c r="AF536" i="1"/>
  <c r="AF68" i="1"/>
  <c r="AF55" i="1"/>
  <c r="AF527" i="1"/>
  <c r="AF354" i="1"/>
  <c r="AF390" i="1"/>
  <c r="AF295" i="1"/>
  <c r="AF591" i="1"/>
  <c r="AF304" i="1"/>
  <c r="AF327" i="1"/>
  <c r="AF281" i="1"/>
  <c r="AF268" i="1"/>
  <c r="AF252" i="1"/>
  <c r="AF401" i="1"/>
  <c r="AF205" i="1"/>
  <c r="AF421" i="1"/>
  <c r="AF216" i="1"/>
  <c r="AF391" i="1"/>
  <c r="AF168" i="1"/>
  <c r="AF356" i="1"/>
  <c r="AF365" i="1"/>
  <c r="AF237" i="1"/>
  <c r="AF153" i="1"/>
  <c r="AF119" i="1"/>
  <c r="AF405" i="1"/>
  <c r="AF262" i="1"/>
  <c r="AF377" i="1"/>
  <c r="AF213" i="1"/>
  <c r="AF101" i="1"/>
  <c r="AF555" i="1"/>
  <c r="AF312" i="1"/>
  <c r="AF24" i="1"/>
  <c r="AF528" i="1"/>
  <c r="AF303" i="1"/>
  <c r="AF318" i="1"/>
  <c r="AF221" i="1"/>
  <c r="AF322" i="1"/>
  <c r="AF92" i="1"/>
  <c r="AF138" i="1"/>
  <c r="AF449" i="1"/>
  <c r="AF490" i="1"/>
  <c r="AF70" i="1"/>
  <c r="AF316" i="1"/>
  <c r="AF260" i="1"/>
  <c r="AF574" i="1"/>
  <c r="AF467" i="1"/>
  <c r="AF411" i="1"/>
  <c r="AF479" i="1"/>
  <c r="AF240" i="1"/>
  <c r="AF269" i="1"/>
  <c r="AF353" i="1"/>
  <c r="AF529" i="1"/>
  <c r="AF388" i="1"/>
  <c r="AF501" i="1"/>
  <c r="AF403" i="1"/>
  <c r="AF317" i="1"/>
  <c r="AF315" i="1"/>
  <c r="AF447" i="1"/>
  <c r="AF543" i="1"/>
  <c r="AF93" i="1"/>
  <c r="AF188" i="1"/>
  <c r="AF571" i="1"/>
  <c r="AF251" i="1"/>
  <c r="AF491" i="1"/>
  <c r="AF392" i="1"/>
  <c r="AF498" i="1"/>
  <c r="AF96" i="1"/>
  <c r="AF124" i="1"/>
  <c r="AF226" i="1"/>
  <c r="AF597" i="1"/>
  <c r="AF594" i="1"/>
  <c r="AF194" i="1"/>
  <c r="AF582" i="1"/>
  <c r="AF595" i="1"/>
  <c r="AF394" i="1"/>
  <c r="AF306" i="1"/>
  <c r="AF258" i="1"/>
  <c r="AF573" i="1"/>
  <c r="AF563" i="1"/>
  <c r="AF385" i="1"/>
  <c r="AF256" i="1"/>
  <c r="AC695" i="1"/>
  <c r="AC676" i="1"/>
  <c r="AC699" i="1"/>
  <c r="AC682" i="1"/>
  <c r="AC610" i="1"/>
  <c r="AC634" i="1"/>
  <c r="AC636" i="1"/>
  <c r="AC623" i="1"/>
  <c r="AC601" i="1"/>
  <c r="AC635" i="1"/>
  <c r="AC658" i="1"/>
  <c r="AC650" i="1"/>
  <c r="AC685" i="1"/>
  <c r="AC642" i="1"/>
  <c r="AC641" i="1"/>
  <c r="AC688" i="1"/>
  <c r="AC614" i="1"/>
  <c r="AC667" i="1"/>
  <c r="AC655" i="1"/>
  <c r="AC647" i="1"/>
  <c r="AC620" i="1"/>
  <c r="AC693" i="1"/>
  <c r="AC673" i="1"/>
  <c r="AC607" i="1"/>
  <c r="AC626" i="1"/>
  <c r="AC681" i="1"/>
  <c r="AC664" i="1"/>
  <c r="AC662" i="1"/>
  <c r="AC603" i="1"/>
  <c r="AC687" i="1"/>
  <c r="AC674" i="1"/>
  <c r="AC675" i="1"/>
  <c r="AC618" i="1"/>
  <c r="AC690" i="1"/>
  <c r="AC649" i="1"/>
  <c r="AC694" i="1"/>
  <c r="AC608" i="1"/>
  <c r="AC612" i="1"/>
  <c r="AC659" i="1"/>
  <c r="AC613" i="1"/>
  <c r="AC648" i="1"/>
  <c r="AC606" i="1"/>
  <c r="AC622" i="1"/>
  <c r="AC627" i="1"/>
  <c r="AC625" i="1"/>
  <c r="AC660" i="1"/>
  <c r="AC683" i="1"/>
  <c r="AC644" i="1"/>
  <c r="AC666" i="1"/>
  <c r="AC661" i="1"/>
  <c r="AC617" i="1"/>
  <c r="AC637" i="1"/>
  <c r="AC696" i="1"/>
  <c r="AC633" i="1"/>
  <c r="AC616" i="1"/>
  <c r="AC643" i="1"/>
  <c r="AC669" i="1"/>
  <c r="AC645" i="1"/>
  <c r="AC602" i="1"/>
  <c r="AC630" i="1"/>
  <c r="AC697" i="1"/>
  <c r="AC678" i="1"/>
  <c r="AC640" i="1"/>
  <c r="AC692" i="1"/>
  <c r="AC691" i="1"/>
  <c r="AC652" i="1"/>
  <c r="AC656" i="1"/>
  <c r="AC624" i="1"/>
  <c r="AC665" i="1"/>
  <c r="AC668" i="1"/>
  <c r="AC657" i="1"/>
  <c r="AC619" i="1"/>
  <c r="AC689" i="1"/>
  <c r="AC653" i="1"/>
  <c r="AC621" i="1"/>
  <c r="AC686" i="1"/>
  <c r="AC639" i="1"/>
  <c r="AC631" i="1"/>
  <c r="AC670" i="1"/>
  <c r="AC646" i="1"/>
  <c r="AC609" i="1"/>
  <c r="AC684" i="1"/>
  <c r="AC638" i="1"/>
  <c r="AC672" i="1"/>
  <c r="AC611" i="1"/>
  <c r="AC628" i="1"/>
  <c r="AC663" i="1"/>
  <c r="AC679" i="1"/>
  <c r="AC632" i="1"/>
  <c r="AC604" i="1"/>
  <c r="AC677" i="1"/>
  <c r="AC605" i="1"/>
  <c r="AC671" i="1"/>
  <c r="AC654" i="1"/>
  <c r="AC615" i="1"/>
  <c r="AC680" i="1"/>
  <c r="AC651" i="1"/>
  <c r="AC629" i="1"/>
  <c r="AC698" i="1"/>
  <c r="AF18" i="1" a="1"/>
  <c r="AF17" i="1" a="1"/>
  <c r="AF16" i="1" a="1"/>
  <c r="AF13" i="1" a="1"/>
  <c r="AF15" i="1" a="1"/>
  <c r="AF14" i="1" a="1"/>
  <c r="AF12" i="1" a="1"/>
  <c r="AF11" i="1" a="1"/>
  <c r="AG535" i="1" a="1"/>
  <c r="AG500" i="1" a="1"/>
  <c r="AG25" i="1" a="1"/>
  <c r="AG432" i="1" a="1"/>
  <c r="AG80" i="1" a="1"/>
  <c r="AG409" i="1" a="1"/>
  <c r="AG480" i="1" a="1"/>
  <c r="AG27" i="1" a="1"/>
  <c r="AG123" i="1" a="1"/>
  <c r="AG75" i="1" a="1"/>
  <c r="AG127" i="1" a="1"/>
  <c r="AG576" i="1" a="1"/>
  <c r="AG406" i="1" a="1"/>
  <c r="AG187" i="1" a="1"/>
  <c r="AG486" i="1" a="1"/>
  <c r="AG419" i="1" a="1"/>
  <c r="AG278" i="1" a="1"/>
  <c r="AG81" i="1" a="1"/>
  <c r="AG125" i="1" a="1"/>
  <c r="AG373" i="1" a="1"/>
  <c r="AG294" i="1" a="1"/>
  <c r="AG337" i="1" a="1"/>
  <c r="AG551" i="1" a="1"/>
  <c r="AG334" i="1" a="1"/>
  <c r="AG525" i="1" a="1"/>
  <c r="AG446" i="1" a="1"/>
  <c r="AG214" i="1" a="1"/>
  <c r="AG220" i="1" a="1"/>
  <c r="AG29" i="1" a="1"/>
  <c r="AG599" i="1" a="1"/>
  <c r="AG279" i="1" a="1"/>
  <c r="AG261" i="1" a="1"/>
  <c r="AG476" i="1" a="1"/>
  <c r="AG345" i="1" a="1"/>
  <c r="AG53" i="1" a="1"/>
  <c r="AG219" i="1" a="1"/>
  <c r="AG443" i="1" a="1"/>
  <c r="AG259" i="1" a="1"/>
  <c r="AG206" i="1" a="1"/>
  <c r="AG155" i="1" a="1"/>
  <c r="AG598" i="1" a="1"/>
  <c r="AG295" i="1" a="1"/>
  <c r="AG168" i="1" a="1"/>
  <c r="AG312" i="1" a="1"/>
  <c r="AG316" i="1" a="1"/>
  <c r="AG403" i="1" a="1"/>
  <c r="AG96" i="1" a="1"/>
  <c r="AG563" i="1" a="1"/>
  <c r="AG313" i="1" a="1"/>
  <c r="AG362" i="1" a="1"/>
  <c r="AG30" i="1" a="1"/>
  <c r="AG427" i="1" a="1"/>
  <c r="AG77" i="1" a="1"/>
  <c r="AG342" i="1" a="1"/>
  <c r="AG331" i="1" a="1"/>
  <c r="AG26" i="1" a="1"/>
  <c r="AG135" i="1" a="1"/>
  <c r="AG151" i="1" a="1"/>
  <c r="AG276" i="1" a="1"/>
  <c r="AG221" i="1" a="1"/>
  <c r="AG562" i="1" a="1"/>
  <c r="AG456" i="1" a="1"/>
  <c r="AG475" i="1" a="1"/>
  <c r="AG94" i="1" a="1"/>
  <c r="AG108" i="1" a="1"/>
  <c r="AG359" i="1" a="1"/>
  <c r="AG156" i="1" a="1"/>
  <c r="AG209" i="1" a="1"/>
  <c r="AG307" i="1" a="1"/>
  <c r="AG190" i="1" a="1"/>
  <c r="AG31" i="1" a="1"/>
  <c r="AG234" i="1" a="1"/>
  <c r="AG118" i="1" a="1"/>
  <c r="AG541" i="1" a="1"/>
  <c r="AG46" i="1" a="1"/>
  <c r="AG370" i="1" a="1"/>
  <c r="AG405" i="1" a="1"/>
  <c r="AG582" i="1" a="1"/>
  <c r="AG157" i="1" a="1"/>
  <c r="AG545" i="1" a="1"/>
  <c r="AG335" i="1" a="1"/>
  <c r="AG434" i="1" a="1"/>
  <c r="AG520" i="1" a="1"/>
  <c r="AG349" i="1" a="1"/>
  <c r="AG146" i="1" a="1"/>
  <c r="AG38" i="1" a="1"/>
  <c r="AG65" i="1" a="1"/>
  <c r="AG564" i="1" a="1"/>
  <c r="AG429" i="1" a="1"/>
  <c r="AG386" i="1" a="1"/>
  <c r="AG502" i="1" a="1"/>
  <c r="AG293" i="1" a="1"/>
  <c r="AG369" i="1" a="1"/>
  <c r="AG88" i="1" a="1"/>
  <c r="AG292" i="1" a="1"/>
  <c r="AG109" i="1" a="1"/>
  <c r="AG66" i="1" a="1"/>
  <c r="AG62" i="1" a="1"/>
  <c r="AG377" i="1" a="1"/>
  <c r="AG353" i="1" a="1"/>
  <c r="AG592" i="1" a="1"/>
  <c r="AG372" i="1" a="1"/>
  <c r="AG422" i="1" a="1"/>
  <c r="AG471" i="1" a="1"/>
  <c r="AG213" i="1" a="1"/>
  <c r="AG85" i="1" a="1"/>
  <c r="AG426" i="1" a="1"/>
  <c r="AG326" i="1" a="1"/>
  <c r="AG570" i="1" a="1"/>
  <c r="AG579" i="1" a="1"/>
  <c r="AG201" i="1" a="1"/>
  <c r="AG338" i="1" a="1"/>
  <c r="AG274" i="1" a="1"/>
  <c r="AG413" i="1" a="1"/>
  <c r="AG34" i="1" a="1"/>
  <c r="AG137" i="1" a="1"/>
  <c r="AG378" i="1" a="1"/>
  <c r="AG263" i="1" a="1"/>
  <c r="AG57" i="1" a="1"/>
  <c r="AG587" i="1" a="1"/>
  <c r="AG166" i="1" a="1"/>
  <c r="AG74" i="1" a="1"/>
  <c r="AG488" i="1" a="1"/>
  <c r="AG216" i="1" a="1"/>
  <c r="AG392" i="1" a="1"/>
  <c r="AG218" i="1" a="1"/>
  <c r="AG271" i="1" a="1"/>
  <c r="AG266" i="1" a="1"/>
  <c r="AG498" i="1" a="1"/>
  <c r="AG69" i="1" a="1"/>
  <c r="AG58" i="1" a="1"/>
  <c r="AG147" i="1" a="1"/>
  <c r="AG376" i="1" a="1"/>
  <c r="AG375" i="1" a="1"/>
  <c r="AG516" i="1" a="1"/>
  <c r="AG547" i="1" a="1"/>
  <c r="AG585" i="1" a="1"/>
  <c r="AG241" i="1" a="1"/>
  <c r="AG198" i="1" a="1"/>
  <c r="AG448" i="1" a="1"/>
  <c r="AG78" i="1" a="1"/>
  <c r="AG33" i="1" a="1"/>
  <c r="AG380" i="1" a="1"/>
  <c r="AG116" i="1" a="1"/>
  <c r="AG41" i="1" a="1"/>
  <c r="AG537" i="1" a="1"/>
  <c r="AG383" i="1" a="1"/>
  <c r="AG210" i="1" a="1"/>
  <c r="AG136" i="1" a="1"/>
  <c r="AG415" i="1" a="1"/>
  <c r="AG584" i="1" a="1"/>
  <c r="AG521" i="1" a="1"/>
  <c r="AG141" i="1" a="1"/>
  <c r="AG398" i="1" a="1"/>
  <c r="AG344" i="1" a="1"/>
  <c r="AG192" i="1" a="1"/>
  <c r="AG484" i="1" a="1"/>
  <c r="AG186" i="1" a="1"/>
  <c r="AG129" i="1" a="1"/>
  <c r="AG450" i="1" a="1"/>
  <c r="AG301" i="1" a="1"/>
  <c r="AG441" i="1" a="1"/>
  <c r="AG424" i="1" a="1"/>
  <c r="AG230" i="1" a="1"/>
  <c r="AG493" i="1" a="1"/>
  <c r="AG457" i="1" a="1"/>
  <c r="AG239" i="1" a="1"/>
  <c r="AG324" i="1" a="1"/>
  <c r="AG560" i="1" a="1"/>
  <c r="AG343" i="1" a="1"/>
  <c r="AG314" i="1" a="1"/>
  <c r="AG122" i="1" a="1"/>
  <c r="AG591" i="1" a="1"/>
  <c r="AG356" i="1" a="1"/>
  <c r="AG24" i="1" a="1"/>
  <c r="AG260" i="1" a="1"/>
  <c r="AG317" i="1" a="1"/>
  <c r="AG124" i="1" a="1"/>
  <c r="AG385" i="1" a="1"/>
  <c r="AG110" i="1" a="1"/>
  <c r="AG283" i="1" a="1"/>
  <c r="AG459" i="1" a="1"/>
  <c r="AG9" i="1" a="1"/>
  <c r="AG299" i="1" a="1"/>
  <c r="AG531" i="1" a="1"/>
  <c r="AG522" i="1" a="1"/>
  <c r="AG112" i="1" a="1"/>
  <c r="AG442" i="1" a="1"/>
  <c r="AG35" i="1" a="1"/>
  <c r="AG268" i="1" a="1"/>
  <c r="AG194" i="1" a="1"/>
  <c r="AG425" i="1" a="1"/>
  <c r="AG173" i="1" a="1"/>
  <c r="AG185" i="1" a="1"/>
  <c r="AG243" i="1" a="1"/>
  <c r="AG98" i="1" a="1"/>
  <c r="AG499" i="1" a="1"/>
  <c r="AG148" i="1" a="1"/>
  <c r="AG244" i="1" a="1"/>
  <c r="AG519" i="1" a="1"/>
  <c r="AG361" i="1" a="1"/>
  <c r="AG561" i="1" a="1"/>
  <c r="AG468" i="1" a="1"/>
  <c r="AG536" i="1" a="1"/>
  <c r="AG322" i="1" a="1"/>
  <c r="AG487" i="1" a="1"/>
  <c r="AG482" i="1" a="1"/>
  <c r="AG22" i="1" a="1"/>
  <c r="AG401" i="1" a="1"/>
  <c r="AG526" i="1" a="1"/>
  <c r="AG161" i="1" a="1"/>
  <c r="AG350" i="1" a="1"/>
  <c r="AG310" i="1" a="1"/>
  <c r="AG339" i="1" a="1"/>
  <c r="AG120" i="1" a="1"/>
  <c r="AG165" i="1" a="1"/>
  <c r="AG395" i="1" a="1"/>
  <c r="AG228" i="1" a="1"/>
  <c r="AG368" i="1" a="1"/>
  <c r="AG364" i="1" a="1"/>
  <c r="AG510" i="1" a="1"/>
  <c r="AG533" i="1" a="1"/>
  <c r="AG91" i="1" a="1"/>
  <c r="AG546" i="1" a="1"/>
  <c r="AG143" i="1" a="1"/>
  <c r="AG205" i="1" a="1"/>
  <c r="AG138" i="1" a="1"/>
  <c r="AG251" i="1" a="1"/>
  <c r="AG320" i="1" a="1"/>
  <c r="AG503" i="1" a="1"/>
  <c r="AG477" i="1" a="1"/>
  <c r="AG64" i="1" a="1"/>
  <c r="AG287" i="1" a="1"/>
  <c r="AG491" i="1" a="1"/>
  <c r="AG67" i="1" a="1"/>
  <c r="AG107" i="1" a="1"/>
  <c r="AG452" i="1" a="1"/>
  <c r="AG254" i="1" a="1"/>
  <c r="AG512" i="1" a="1"/>
  <c r="AG89" i="1" a="1"/>
  <c r="AG374" i="1" a="1"/>
  <c r="AG330" i="1" a="1"/>
  <c r="AG384" i="1" a="1"/>
  <c r="AG360" i="1" a="1"/>
  <c r="AG506" i="1" a="1"/>
  <c r="AG593" i="1" a="1"/>
  <c r="AG596" i="1" a="1"/>
  <c r="AG505" i="1" a="1"/>
  <c r="AG454" i="1" a="1"/>
  <c r="AG242" i="1" a="1"/>
  <c r="AG354" i="1" a="1"/>
  <c r="AG490" i="1" a="1"/>
  <c r="AG258" i="1" a="1"/>
  <c r="AG557" i="1" a="1"/>
  <c r="AG255" i="1" a="1"/>
  <c r="AG302" i="1" a="1"/>
  <c r="AG70" i="1" a="1"/>
  <c r="AG270" i="1" a="1"/>
  <c r="AG249" i="1" a="1"/>
  <c r="AG52" i="1" a="1"/>
  <c r="AG32" i="1" a="1"/>
  <c r="AG248" i="1" a="1"/>
  <c r="AG444" i="1" a="1"/>
  <c r="AG250" i="1" a="1"/>
  <c r="AG275" i="1" a="1"/>
  <c r="AG357" i="1" a="1"/>
  <c r="AG553" i="1" a="1"/>
  <c r="AG232" i="1" a="1"/>
  <c r="AG417" i="1" a="1"/>
  <c r="AG433" i="1" a="1"/>
  <c r="AG297" i="1" a="1"/>
  <c r="AG300" i="1" a="1"/>
  <c r="AG524" i="1" a="1"/>
  <c r="AG272" i="1" a="1"/>
  <c r="AG28" i="1" a="1"/>
  <c r="AG217" i="1" a="1"/>
  <c r="AG572" i="1" a="1"/>
  <c r="AG19" i="1" a="1"/>
  <c r="AG583" i="1" a="1"/>
  <c r="AG410" i="1" a="1"/>
  <c r="AG588" i="1" a="1"/>
  <c r="AG23" i="1" a="1"/>
  <c r="AG497" i="1" a="1"/>
  <c r="AG399" i="1" a="1"/>
  <c r="AG277" i="1" a="1"/>
  <c r="AG245" i="1" a="1"/>
  <c r="AG95" i="1" a="1"/>
  <c r="AG483" i="1" a="1"/>
  <c r="AG37" i="1" a="1"/>
  <c r="AG100" i="1" a="1"/>
  <c r="AG581" i="1" a="1"/>
  <c r="AG589" i="1" a="1"/>
  <c r="AG286" i="1" a="1"/>
  <c r="AG416" i="1" a="1"/>
  <c r="AG575" i="1" a="1"/>
  <c r="AG130" i="1" a="1"/>
  <c r="AG199" i="1" a="1"/>
  <c r="AG102" i="1" a="1"/>
  <c r="AG20" i="1" a="1"/>
  <c r="AG348" i="1" a="1"/>
  <c r="AG304" i="1" a="1"/>
  <c r="AG365" i="1" a="1"/>
  <c r="AG528" i="1" a="1"/>
  <c r="AG574" i="1" a="1"/>
  <c r="AG315" i="1" a="1"/>
  <c r="AG226" i="1" a="1"/>
  <c r="AG256" i="1" a="1"/>
  <c r="AG60" i="1" a="1"/>
  <c r="AG61" i="1" a="1"/>
  <c r="AG49" i="1" a="1"/>
  <c r="AG229" i="1" a="1"/>
  <c r="AG420" i="1" a="1"/>
  <c r="AG513" i="1" a="1"/>
  <c r="AG196" i="1" a="1"/>
  <c r="AG99" i="1" a="1"/>
  <c r="AG176" i="1" a="1"/>
  <c r="AG104" i="1" a="1"/>
  <c r="AG445" i="1" a="1"/>
  <c r="AG177" i="1" a="1"/>
  <c r="AG73" i="1" a="1"/>
  <c r="AG39" i="1" a="1"/>
  <c r="AG140" i="1" a="1"/>
  <c r="AG142" i="1" a="1"/>
  <c r="AG329" i="1" a="1"/>
  <c r="AG558" i="1" a="1"/>
  <c r="AG153" i="1" a="1"/>
  <c r="AG411" i="1" a="1"/>
  <c r="AG594" i="1" a="1"/>
  <c r="AG195" i="1" a="1"/>
  <c r="AG539" i="1" a="1"/>
  <c r="AG87" i="1" a="1"/>
  <c r="AG508" i="1" a="1"/>
  <c r="AG163" i="1" a="1"/>
  <c r="AG178" i="1" a="1"/>
  <c r="AG154" i="1" a="1"/>
  <c r="AG56" i="1" a="1"/>
  <c r="AG79" i="1" a="1"/>
  <c r="AG460" i="1" a="1"/>
  <c r="AG341" i="1" a="1"/>
  <c r="AG45" i="1" a="1"/>
  <c r="AG461" i="1" a="1"/>
  <c r="AG387" i="1" a="1"/>
  <c r="AG544" i="1" a="1"/>
  <c r="AG193" i="1" a="1"/>
  <c r="AG119" i="1" a="1"/>
  <c r="AG93" i="1" a="1"/>
  <c r="AG567" i="1" a="1"/>
  <c r="AG180" i="1" a="1"/>
  <c r="AG267" i="1" a="1"/>
  <c r="AG569" i="1" a="1"/>
  <c r="AG288" i="1" a="1"/>
  <c r="AG253" i="1" a="1"/>
  <c r="AG252" i="1" a="1"/>
  <c r="AG188" i="1" a="1"/>
  <c r="AG404" i="1" a="1"/>
  <c r="AG402" i="1" a="1"/>
  <c r="AG319" i="1" a="1"/>
  <c r="AG50" i="1" a="1"/>
  <c r="AG212" i="1" a="1"/>
  <c r="AG175" i="1" a="1"/>
  <c r="AG393" i="1" a="1"/>
  <c r="AG197" i="1" a="1"/>
  <c r="AG400" i="1" a="1"/>
  <c r="AG76" i="1" a="1"/>
  <c r="AG227" i="1" a="1"/>
  <c r="AG534" i="1" a="1"/>
  <c r="AG134" i="1" a="1"/>
  <c r="AG495" i="1" a="1"/>
  <c r="AG167" i="1" a="1"/>
  <c r="AG203" i="1" a="1"/>
  <c r="AG458" i="1" a="1"/>
  <c r="AG566" i="1" a="1"/>
  <c r="AG262" i="1" a="1"/>
  <c r="AG571" i="1" a="1"/>
  <c r="AG113" i="1" a="1"/>
  <c r="AG128" i="1" a="1"/>
  <c r="AG580" i="1" a="1"/>
  <c r="AG325" i="1" a="1"/>
  <c r="AG494" i="1" a="1"/>
  <c r="AG394" i="1" a="1"/>
  <c r="AG455" i="1" a="1"/>
  <c r="AG431" i="1" a="1"/>
  <c r="AG308" i="1" a="1"/>
  <c r="AG309" i="1" a="1"/>
  <c r="AG565" i="1" a="1"/>
  <c r="AG181" i="1" a="1"/>
  <c r="AG51" i="1" a="1"/>
  <c r="AG40" i="1" a="1"/>
  <c r="AG273" i="1" a="1"/>
  <c r="AG451" i="1" a="1"/>
  <c r="AG207" i="1" a="1"/>
  <c r="AG478" i="1" a="1"/>
  <c r="AG132" i="1" a="1"/>
  <c r="AG548" i="1" a="1"/>
  <c r="AG371" i="1" a="1"/>
  <c r="AG590" i="1" a="1"/>
  <c r="AG179" i="1" a="1"/>
  <c r="AG435" i="1" a="1"/>
  <c r="AG421" i="1" a="1"/>
  <c r="AG529" i="1" a="1"/>
  <c r="AG306" i="1" a="1"/>
  <c r="AG311" i="1" a="1"/>
  <c r="AG382" i="1" a="1"/>
  <c r="AG117" i="1" a="1"/>
  <c r="AG577" i="1" a="1"/>
  <c r="AG388" i="1" a="1"/>
  <c r="AG423" i="1" a="1"/>
  <c r="AG509" i="1" a="1"/>
  <c r="AG174" i="1" a="1"/>
  <c r="AG289" i="1" a="1"/>
  <c r="AG284" i="1" a="1"/>
  <c r="AG233" i="1" a="1"/>
  <c r="AG172" i="1" a="1"/>
  <c r="AG485" i="1" a="1"/>
  <c r="AG518" i="1" a="1"/>
  <c r="AG397" i="1" a="1"/>
  <c r="AG352" i="1" a="1"/>
  <c r="AG507" i="1" a="1"/>
  <c r="AG469" i="1" a="1"/>
  <c r="AG225" i="1" a="1"/>
  <c r="AG517" i="1" a="1"/>
  <c r="AG296" i="1" a="1"/>
  <c r="AG555" i="1" a="1"/>
  <c r="AG573" i="1" a="1"/>
  <c r="AG465" i="1" a="1"/>
  <c r="AG114" i="1" a="1"/>
  <c r="AG492" i="1" a="1"/>
  <c r="AG366" i="1" a="1"/>
  <c r="AG236" i="1" a="1"/>
  <c r="AG106" i="1" a="1"/>
  <c r="AG504" i="1" a="1"/>
  <c r="AG111" i="1" a="1"/>
  <c r="AG321" i="1" a="1"/>
  <c r="AG126" i="1" a="1"/>
  <c r="AG412" i="1" a="1"/>
  <c r="AG396" i="1" a="1"/>
  <c r="AG285" i="1" a="1"/>
  <c r="AG139" i="1" a="1"/>
  <c r="AG481" i="1" a="1"/>
  <c r="AG115" i="1" a="1"/>
  <c r="AG150" i="1" a="1"/>
  <c r="AG144" i="1" a="1"/>
  <c r="AG43" i="1" a="1"/>
  <c r="AG323" i="1" a="1"/>
  <c r="AG347" i="1" a="1"/>
  <c r="AG59" i="1" a="1"/>
  <c r="AG247" i="1" a="1"/>
  <c r="AG171" i="1" a="1"/>
  <c r="AG290" i="1" a="1"/>
  <c r="AG489" i="1" a="1"/>
  <c r="AG333" i="1" a="1"/>
  <c r="AG340" i="1" a="1"/>
  <c r="AG103" i="1" a="1"/>
  <c r="AG208" i="1" a="1"/>
  <c r="AG462" i="1" a="1"/>
  <c r="AG162" i="1" a="1"/>
  <c r="AG223" i="1" a="1"/>
  <c r="AG438" i="1" a="1"/>
  <c r="AG145" i="1" a="1"/>
  <c r="AG414" i="1" a="1"/>
  <c r="AG231" i="1" a="1"/>
  <c r="AG86" i="1" a="1"/>
  <c r="AG224" i="1" a="1"/>
  <c r="AG184" i="1" a="1"/>
  <c r="AG280" i="1" a="1"/>
  <c r="AG246" i="1" a="1"/>
  <c r="AG327" i="1" a="1"/>
  <c r="AG237" i="1" a="1"/>
  <c r="AG303" i="1" a="1"/>
  <c r="AG467" i="1" a="1"/>
  <c r="AG447" i="1" a="1"/>
  <c r="AG597" i="1" a="1"/>
  <c r="AG514" i="1" a="1"/>
  <c r="AG202" i="1" a="1"/>
  <c r="AG532" i="1" a="1"/>
  <c r="AG473" i="1" a="1"/>
  <c r="AG159" i="1" a="1"/>
  <c r="AG418" i="1" a="1"/>
  <c r="AG511" i="1" a="1"/>
  <c r="AG170" i="1" a="1"/>
  <c r="AG282" i="1" a="1"/>
  <c r="AG291" i="1" a="1"/>
  <c r="AG257" i="1" a="1"/>
  <c r="AG346" i="1" a="1"/>
  <c r="AG133" i="1" a="1"/>
  <c r="AG552" i="1" a="1"/>
  <c r="AG428" i="1" a="1"/>
  <c r="AG363" i="1" a="1"/>
  <c r="AG523" i="1" a="1"/>
  <c r="AG191" i="1" a="1"/>
  <c r="AG540" i="1" a="1"/>
  <c r="AG72" i="1" a="1"/>
  <c r="AG281" i="1" a="1"/>
  <c r="AG318" i="1" a="1"/>
  <c r="AG543" i="1" a="1"/>
  <c r="AG238" i="1" a="1"/>
  <c r="AG152" i="1" a="1"/>
  <c r="AG90" i="1" a="1"/>
  <c r="AG169" i="1" a="1"/>
  <c r="AG453" i="1" a="1"/>
  <c r="AG204" i="1" a="1"/>
  <c r="AG298" i="1" a="1"/>
  <c r="AG44" i="1" a="1"/>
  <c r="AG189" i="1" a="1"/>
  <c r="AG472" i="1" a="1"/>
  <c r="AG479" i="1" a="1"/>
  <c r="AG358" i="1" a="1"/>
  <c r="AG121" i="1" a="1"/>
  <c r="AG131" i="1" a="1"/>
  <c r="AG336" i="1" a="1"/>
  <c r="AG82" i="1" a="1"/>
  <c r="AG149" i="1" a="1"/>
  <c r="AG367" i="1" a="1"/>
  <c r="AG240" i="1" a="1"/>
  <c r="AG71" i="1" a="1"/>
  <c r="AG47" i="1" a="1"/>
  <c r="AG554" i="1" a="1"/>
  <c r="AG381" i="1" a="1"/>
  <c r="AG407" i="1" a="1"/>
  <c r="AG351" i="1" a="1"/>
  <c r="AG264" i="1" a="1"/>
  <c r="AG84" i="1" a="1"/>
  <c r="AG54" i="1" a="1"/>
  <c r="AG332" i="1" a="1"/>
  <c r="AG42" i="1" a="1"/>
  <c r="AG437" i="1" a="1"/>
  <c r="AG36" i="1" a="1"/>
  <c r="AG235" i="1" a="1"/>
  <c r="AG211" i="1" a="1"/>
  <c r="AG215" i="1" a="1"/>
  <c r="AG83" i="1" a="1"/>
  <c r="AG68" i="1" a="1"/>
  <c r="AG92" i="1" a="1"/>
  <c r="AG269" i="1" a="1"/>
  <c r="AG595" i="1" a="1"/>
  <c r="AG182" i="1" a="1"/>
  <c r="AG549" i="1" a="1"/>
  <c r="AG355" i="1" a="1"/>
  <c r="AG10" i="1" a="1"/>
  <c r="AG55" i="1" a="1"/>
  <c r="AG470" i="1" a="1"/>
  <c r="AG265" i="1" a="1"/>
  <c r="AG305" i="1" a="1"/>
  <c r="AG222" i="1" a="1"/>
  <c r="AG164" i="1" a="1"/>
  <c r="AG538" i="1" a="1"/>
  <c r="AG463" i="1" a="1"/>
  <c r="AG466" i="1" a="1"/>
  <c r="AG568" i="1" a="1"/>
  <c r="AG183" i="1" a="1"/>
  <c r="AG530" i="1" a="1"/>
  <c r="AG550" i="1" a="1"/>
  <c r="AG200" i="1" a="1"/>
  <c r="AG21" i="1" a="1"/>
  <c r="AG63" i="1" a="1"/>
  <c r="AG527" i="1" a="1"/>
  <c r="AG449" i="1" a="1"/>
  <c r="AG430" i="1" a="1"/>
  <c r="AG408" i="1" a="1"/>
  <c r="AG515" i="1" a="1"/>
  <c r="AG474" i="1" a="1"/>
  <c r="AG101" i="1" a="1"/>
  <c r="AG389" i="1" a="1"/>
  <c r="AG586" i="1" a="1"/>
  <c r="AG158" i="1" a="1"/>
  <c r="AG556" i="1" a="1"/>
  <c r="AG48" i="1" a="1"/>
  <c r="AG439" i="1" a="1"/>
  <c r="AG578" i="1" a="1"/>
  <c r="AG105" i="1" a="1"/>
  <c r="AG97" i="1" a="1"/>
  <c r="AG542" i="1" a="1"/>
  <c r="AG464" i="1" a="1"/>
  <c r="AG436" i="1" a="1"/>
  <c r="AG496" i="1" a="1"/>
  <c r="AG440" i="1" a="1"/>
  <c r="AG379" i="1" a="1"/>
  <c r="AG559" i="1" a="1"/>
  <c r="AG160" i="1" a="1"/>
  <c r="AG328" i="1" a="1"/>
  <c r="AG390" i="1" a="1"/>
  <c r="AG391" i="1" a="1"/>
  <c r="AG501" i="1" a="1"/>
  <c r="AD621" i="1" a="1"/>
  <c r="AD637" i="1" a="1"/>
  <c r="AD638" i="1" a="1"/>
  <c r="AD610" i="1" a="1"/>
  <c r="AD699" i="1" a="1"/>
  <c r="AD687" i="1" a="1"/>
  <c r="AD626" i="1" a="1"/>
  <c r="AD633" i="1" a="1"/>
  <c r="AD651" i="1" a="1"/>
  <c r="AD659" i="1" a="1"/>
  <c r="AD643" i="1" a="1"/>
  <c r="AD627" i="1" a="1"/>
  <c r="AD679" i="1" a="1"/>
  <c r="AD603" i="1" a="1"/>
  <c r="AD657" i="1" a="1"/>
  <c r="AD697" i="1" a="1"/>
  <c r="AD682" i="1" a="1"/>
  <c r="AD666" i="1" a="1"/>
  <c r="AD668" i="1" a="1"/>
  <c r="AD617" i="1" a="1"/>
  <c r="AD629" i="1" a="1"/>
  <c r="AD663" i="1" a="1"/>
  <c r="AD653" i="1" a="1"/>
  <c r="AD613" i="1" a="1"/>
  <c r="AD662" i="1" a="1"/>
  <c r="AD684" i="1" a="1"/>
  <c r="AD645" i="1" a="1"/>
  <c r="AD667" i="1" a="1"/>
  <c r="AD658" i="1" a="1"/>
  <c r="AD654" i="1" a="1"/>
  <c r="AD698" i="1" a="1"/>
  <c r="AD623" i="1" a="1"/>
  <c r="AD650" i="1" a="1"/>
  <c r="AD690" i="1" a="1"/>
  <c r="AD680" i="1" a="1"/>
  <c r="AD641" i="1" a="1"/>
  <c r="AD612" i="1" a="1"/>
  <c r="AD601" i="1" a="1"/>
  <c r="AD673" i="1" a="1"/>
  <c r="AD655" i="1" a="1"/>
  <c r="AD681" i="1" a="1"/>
  <c r="AD692" i="1" a="1"/>
  <c r="AD644" i="1" a="1"/>
  <c r="AD640" i="1" a="1"/>
  <c r="AD672" i="1" a="1"/>
  <c r="AD677" i="1" a="1"/>
  <c r="AD689" i="1" a="1"/>
  <c r="AD616" i="1" a="1"/>
  <c r="AD669" i="1" a="1"/>
  <c r="AD639" i="1" a="1"/>
  <c r="AD631" i="1" a="1"/>
  <c r="AD614" i="1" a="1"/>
  <c r="AD607" i="1" a="1"/>
  <c r="AD696" i="1" a="1"/>
  <c r="AD675" i="1" a="1"/>
  <c r="AD620" i="1" a="1"/>
  <c r="AD649" i="1" a="1"/>
  <c r="AD670" i="1" a="1"/>
  <c r="AD602" i="1" a="1"/>
  <c r="AD636" i="1" a="1"/>
  <c r="AD660" i="1" a="1"/>
  <c r="AD661" i="1" a="1"/>
  <c r="AD606" i="1" a="1"/>
  <c r="AD665" i="1" a="1"/>
  <c r="AD611" i="1" a="1"/>
  <c r="AD688" i="1" a="1"/>
  <c r="AD676" i="1" a="1"/>
  <c r="AD685" i="1" a="1"/>
  <c r="AD683" i="1" a="1"/>
  <c r="AD605" i="1" a="1"/>
  <c r="AD634" i="1" a="1"/>
  <c r="AD642" i="1" a="1"/>
  <c r="AD664" i="1" a="1"/>
  <c r="AD609" i="1" a="1"/>
  <c r="AD618" i="1" a="1"/>
  <c r="AD628" i="1" a="1"/>
  <c r="AD615" i="1" a="1"/>
  <c r="AD648" i="1" a="1"/>
  <c r="AD622" i="1" a="1"/>
  <c r="AD678" i="1" a="1"/>
  <c r="AD608" i="1" a="1"/>
  <c r="AD691" i="1" a="1"/>
  <c r="AD635" i="1" a="1"/>
  <c r="AD624" i="1" a="1"/>
  <c r="AD656" i="1" a="1"/>
  <c r="AD619" i="1" a="1"/>
  <c r="AD652" i="1" a="1"/>
  <c r="AD693" i="1" a="1"/>
  <c r="AD686" i="1" a="1"/>
  <c r="AD630" i="1" a="1"/>
  <c r="AD646" i="1" a="1"/>
  <c r="AD694" i="1" a="1"/>
  <c r="AD647" i="1" a="1"/>
  <c r="AD632" i="1" a="1"/>
  <c r="AD671" i="1" a="1"/>
  <c r="AD625" i="1" a="1"/>
  <c r="AD674" i="1" a="1"/>
  <c r="AD695" i="1" a="1"/>
  <c r="AD604" i="1" a="1"/>
  <c r="AF17" i="1" l="1"/>
  <c r="AF18" i="1"/>
  <c r="AF16" i="1"/>
  <c r="AF14" i="1"/>
  <c r="AF15" i="1"/>
  <c r="AF13" i="1"/>
  <c r="AF12" i="1"/>
  <c r="AF11" i="1"/>
  <c r="AG501" i="1"/>
  <c r="AG391" i="1"/>
  <c r="AG390" i="1"/>
  <c r="AG328" i="1"/>
  <c r="AG160" i="1"/>
  <c r="AG559" i="1"/>
  <c r="AG379" i="1"/>
  <c r="AG440" i="1"/>
  <c r="AG496" i="1"/>
  <c r="AG436" i="1"/>
  <c r="AG464" i="1"/>
  <c r="AG542" i="1"/>
  <c r="AG97" i="1"/>
  <c r="AG105" i="1"/>
  <c r="AG578" i="1"/>
  <c r="AG439" i="1"/>
  <c r="AG48" i="1"/>
  <c r="AG556" i="1"/>
  <c r="AG158" i="1"/>
  <c r="AG586" i="1"/>
  <c r="AG389" i="1"/>
  <c r="AG101" i="1"/>
  <c r="AG474" i="1"/>
  <c r="AG515" i="1"/>
  <c r="AG408" i="1"/>
  <c r="AG430" i="1"/>
  <c r="AG449" i="1"/>
  <c r="AG527" i="1"/>
  <c r="AG63" i="1"/>
  <c r="AG21" i="1"/>
  <c r="AG200" i="1"/>
  <c r="AG550" i="1"/>
  <c r="AG530" i="1"/>
  <c r="AG183" i="1"/>
  <c r="AG568" i="1"/>
  <c r="AG466" i="1"/>
  <c r="AG463" i="1"/>
  <c r="AG538" i="1"/>
  <c r="AG164" i="1"/>
  <c r="AG222" i="1"/>
  <c r="AG305" i="1"/>
  <c r="AG265" i="1"/>
  <c r="AG470" i="1"/>
  <c r="AG55" i="1"/>
  <c r="AG10" i="1"/>
  <c r="AG355" i="1"/>
  <c r="AG549" i="1"/>
  <c r="AG182" i="1"/>
  <c r="AG595" i="1"/>
  <c r="AG269" i="1"/>
  <c r="AG92" i="1"/>
  <c r="AG68" i="1"/>
  <c r="AG83" i="1"/>
  <c r="AG215" i="1"/>
  <c r="AG211" i="1"/>
  <c r="AG235" i="1"/>
  <c r="AG36" i="1"/>
  <c r="AG437" i="1"/>
  <c r="AG42" i="1"/>
  <c r="AG332" i="1"/>
  <c r="AG54" i="1"/>
  <c r="AG84" i="1"/>
  <c r="AG264" i="1"/>
  <c r="AG351" i="1"/>
  <c r="AG407" i="1"/>
  <c r="AG381" i="1"/>
  <c r="AG554" i="1"/>
  <c r="AG47" i="1"/>
  <c r="AG71" i="1"/>
  <c r="AG240" i="1"/>
  <c r="AG367" i="1"/>
  <c r="AG149" i="1"/>
  <c r="AG82" i="1"/>
  <c r="AG336" i="1"/>
  <c r="AG131" i="1"/>
  <c r="AG121" i="1"/>
  <c r="AG358" i="1"/>
  <c r="AG479" i="1"/>
  <c r="AG472" i="1"/>
  <c r="AG189" i="1"/>
  <c r="AG44" i="1"/>
  <c r="AG298" i="1"/>
  <c r="AG204" i="1"/>
  <c r="AG453" i="1"/>
  <c r="AG169" i="1"/>
  <c r="AG90" i="1"/>
  <c r="AG152" i="1"/>
  <c r="AG238" i="1"/>
  <c r="AG543" i="1"/>
  <c r="AG318" i="1"/>
  <c r="AG281" i="1"/>
  <c r="AG72" i="1"/>
  <c r="AG540" i="1"/>
  <c r="AG191" i="1"/>
  <c r="AG523" i="1"/>
  <c r="AG363" i="1"/>
  <c r="AG428" i="1"/>
  <c r="AG552" i="1"/>
  <c r="AG133" i="1"/>
  <c r="AG346" i="1"/>
  <c r="AG257" i="1"/>
  <c r="AG291" i="1"/>
  <c r="AG282" i="1"/>
  <c r="AG170" i="1"/>
  <c r="AG511" i="1"/>
  <c r="AG418" i="1"/>
  <c r="AG159" i="1"/>
  <c r="AG473" i="1"/>
  <c r="AG532" i="1"/>
  <c r="AG202" i="1"/>
  <c r="AG514" i="1"/>
  <c r="AG597" i="1"/>
  <c r="AG447" i="1"/>
  <c r="AG467" i="1"/>
  <c r="AG303" i="1"/>
  <c r="AG237" i="1"/>
  <c r="AG327" i="1"/>
  <c r="AG246" i="1"/>
  <c r="AG280" i="1"/>
  <c r="AG184" i="1"/>
  <c r="AG224" i="1"/>
  <c r="AG86" i="1"/>
  <c r="AG231" i="1"/>
  <c r="AG414" i="1"/>
  <c r="AG145" i="1"/>
  <c r="AG438" i="1"/>
  <c r="AG223" i="1"/>
  <c r="AG162" i="1"/>
  <c r="AG462" i="1"/>
  <c r="AG208" i="1"/>
  <c r="AG103" i="1"/>
  <c r="AG340" i="1"/>
  <c r="AG333" i="1"/>
  <c r="AG489" i="1"/>
  <c r="AG290" i="1"/>
  <c r="AG171" i="1"/>
  <c r="AG247" i="1"/>
  <c r="AG59" i="1"/>
  <c r="AG347" i="1"/>
  <c r="AG323" i="1"/>
  <c r="AG43" i="1"/>
  <c r="AG144" i="1"/>
  <c r="AG150" i="1"/>
  <c r="AG115" i="1"/>
  <c r="AG481" i="1"/>
  <c r="AG139" i="1"/>
  <c r="AG285" i="1"/>
  <c r="AG396" i="1"/>
  <c r="AG412" i="1"/>
  <c r="AG126" i="1"/>
  <c r="AG321" i="1"/>
  <c r="AG111" i="1"/>
  <c r="AG504" i="1"/>
  <c r="AG106" i="1"/>
  <c r="AG236" i="1"/>
  <c r="AG366" i="1"/>
  <c r="AG492" i="1"/>
  <c r="AG114" i="1"/>
  <c r="AG465" i="1"/>
  <c r="AG573" i="1"/>
  <c r="AG555" i="1"/>
  <c r="AG296" i="1"/>
  <c r="AG517" i="1"/>
  <c r="AG225" i="1"/>
  <c r="AG469" i="1"/>
  <c r="AG507" i="1"/>
  <c r="AG352" i="1"/>
  <c r="AG397" i="1"/>
  <c r="AG518" i="1"/>
  <c r="AG485" i="1"/>
  <c r="AG172" i="1"/>
  <c r="AG233" i="1"/>
  <c r="AG284" i="1"/>
  <c r="AG289" i="1"/>
  <c r="AG174" i="1"/>
  <c r="AG509" i="1"/>
  <c r="AG423" i="1"/>
  <c r="AG388" i="1"/>
  <c r="AG577" i="1"/>
  <c r="AG117" i="1"/>
  <c r="AG382" i="1"/>
  <c r="AG311" i="1"/>
  <c r="AG306" i="1"/>
  <c r="AG529" i="1"/>
  <c r="AG421" i="1"/>
  <c r="AG435" i="1"/>
  <c r="AG179" i="1"/>
  <c r="AG590" i="1"/>
  <c r="AG371" i="1"/>
  <c r="AG548" i="1"/>
  <c r="AG132" i="1"/>
  <c r="AG478" i="1"/>
  <c r="AG207" i="1"/>
  <c r="AG451" i="1"/>
  <c r="AG273" i="1"/>
  <c r="AG40" i="1"/>
  <c r="AG51" i="1"/>
  <c r="AG181" i="1"/>
  <c r="AG565" i="1"/>
  <c r="AG309" i="1"/>
  <c r="AG308" i="1"/>
  <c r="AG431" i="1"/>
  <c r="AG455" i="1"/>
  <c r="AG394" i="1"/>
  <c r="AG494" i="1"/>
  <c r="AG325" i="1"/>
  <c r="AG580" i="1"/>
  <c r="AG128" i="1"/>
  <c r="AG113" i="1"/>
  <c r="AG571" i="1"/>
  <c r="AG262" i="1"/>
  <c r="AG566" i="1"/>
  <c r="AG458" i="1"/>
  <c r="AG203" i="1"/>
  <c r="AG167" i="1"/>
  <c r="AG495" i="1"/>
  <c r="AG134" i="1"/>
  <c r="AG534" i="1"/>
  <c r="AG227" i="1"/>
  <c r="AG76" i="1"/>
  <c r="AG400" i="1"/>
  <c r="AG197" i="1"/>
  <c r="AG393" i="1"/>
  <c r="AG175" i="1"/>
  <c r="AG212" i="1"/>
  <c r="AG50" i="1"/>
  <c r="AG319" i="1"/>
  <c r="AG402" i="1"/>
  <c r="AG404" i="1"/>
  <c r="AG188" i="1"/>
  <c r="AG252" i="1"/>
  <c r="AG253" i="1"/>
  <c r="AG288" i="1"/>
  <c r="AG569" i="1"/>
  <c r="AG267" i="1"/>
  <c r="AG180" i="1"/>
  <c r="AG567" i="1"/>
  <c r="AG93" i="1"/>
  <c r="AG119" i="1"/>
  <c r="AG193" i="1"/>
  <c r="AG544" i="1"/>
  <c r="AG387" i="1"/>
  <c r="AG461" i="1"/>
  <c r="AG45" i="1"/>
  <c r="AG341" i="1"/>
  <c r="AG460" i="1"/>
  <c r="AG79" i="1"/>
  <c r="AG56" i="1"/>
  <c r="AG154" i="1"/>
  <c r="AG178" i="1"/>
  <c r="AG163" i="1"/>
  <c r="AG508" i="1"/>
  <c r="AG87" i="1"/>
  <c r="AG539" i="1"/>
  <c r="AG195" i="1"/>
  <c r="AG594" i="1"/>
  <c r="AG411" i="1"/>
  <c r="AG153" i="1"/>
  <c r="AG558" i="1"/>
  <c r="AG329" i="1"/>
  <c r="AG142" i="1"/>
  <c r="AG140" i="1"/>
  <c r="AG39" i="1"/>
  <c r="AG73" i="1"/>
  <c r="AG177" i="1"/>
  <c r="AG445" i="1"/>
  <c r="AG104" i="1"/>
  <c r="AG176" i="1"/>
  <c r="AG99" i="1"/>
  <c r="AG196" i="1"/>
  <c r="AG513" i="1"/>
  <c r="AG420" i="1"/>
  <c r="AG229" i="1"/>
  <c r="AG49" i="1"/>
  <c r="AG61" i="1"/>
  <c r="AG60" i="1"/>
  <c r="AG256" i="1"/>
  <c r="AG226" i="1"/>
  <c r="AG315" i="1"/>
  <c r="AG574" i="1"/>
  <c r="AG528" i="1"/>
  <c r="AG365" i="1"/>
  <c r="AG304" i="1"/>
  <c r="AG348" i="1"/>
  <c r="AG20" i="1"/>
  <c r="AG102" i="1"/>
  <c r="AG199" i="1"/>
  <c r="AG130" i="1"/>
  <c r="AG575" i="1"/>
  <c r="AG416" i="1"/>
  <c r="AG286" i="1"/>
  <c r="AG589" i="1"/>
  <c r="AG581" i="1"/>
  <c r="AG100" i="1"/>
  <c r="AG37" i="1"/>
  <c r="AG483" i="1"/>
  <c r="AG95" i="1"/>
  <c r="AG245" i="1"/>
  <c r="AG277" i="1"/>
  <c r="AG399" i="1"/>
  <c r="AG497" i="1"/>
  <c r="AG23" i="1"/>
  <c r="AG588" i="1"/>
  <c r="AG410" i="1"/>
  <c r="AG583" i="1"/>
  <c r="AG19" i="1"/>
  <c r="AG572" i="1"/>
  <c r="AG217" i="1"/>
  <c r="AG28" i="1"/>
  <c r="AG272" i="1"/>
  <c r="AG524" i="1"/>
  <c r="AG300" i="1"/>
  <c r="AG297" i="1"/>
  <c r="AG433" i="1"/>
  <c r="AG417" i="1"/>
  <c r="AG232" i="1"/>
  <c r="AG553" i="1"/>
  <c r="AG357" i="1"/>
  <c r="AG275" i="1"/>
  <c r="AG250" i="1"/>
  <c r="AG444" i="1"/>
  <c r="AG248" i="1"/>
  <c r="AG32" i="1"/>
  <c r="AG52" i="1"/>
  <c r="AG249" i="1"/>
  <c r="AG270" i="1"/>
  <c r="AG70" i="1"/>
  <c r="AG302" i="1"/>
  <c r="AG255" i="1"/>
  <c r="AG557" i="1"/>
  <c r="AG258" i="1"/>
  <c r="AG490" i="1"/>
  <c r="AG354" i="1"/>
  <c r="AG242" i="1"/>
  <c r="AG454" i="1"/>
  <c r="AG505" i="1"/>
  <c r="AG596" i="1"/>
  <c r="AG593" i="1"/>
  <c r="AG506" i="1"/>
  <c r="AG360" i="1"/>
  <c r="AG384" i="1"/>
  <c r="AG330" i="1"/>
  <c r="AG374" i="1"/>
  <c r="AG89" i="1"/>
  <c r="AG512" i="1"/>
  <c r="AG254" i="1"/>
  <c r="AG452" i="1"/>
  <c r="AG107" i="1"/>
  <c r="AG67" i="1"/>
  <c r="AG491" i="1"/>
  <c r="AG287" i="1"/>
  <c r="AG64" i="1"/>
  <c r="AG477" i="1"/>
  <c r="AG503" i="1"/>
  <c r="AG320" i="1"/>
  <c r="AG251" i="1"/>
  <c r="AG138" i="1"/>
  <c r="AG205" i="1"/>
  <c r="AG143" i="1"/>
  <c r="AG546" i="1"/>
  <c r="AG91" i="1"/>
  <c r="AG533" i="1"/>
  <c r="AG510" i="1"/>
  <c r="AG364" i="1"/>
  <c r="AG368" i="1"/>
  <c r="AG228" i="1"/>
  <c r="AG395" i="1"/>
  <c r="AG165" i="1"/>
  <c r="AG120" i="1"/>
  <c r="AG339" i="1"/>
  <c r="AG310" i="1"/>
  <c r="AG350" i="1"/>
  <c r="AG161" i="1"/>
  <c r="AG526" i="1"/>
  <c r="AG401" i="1"/>
  <c r="AG22" i="1"/>
  <c r="AG482" i="1"/>
  <c r="AG487" i="1"/>
  <c r="AG322" i="1"/>
  <c r="AG536" i="1"/>
  <c r="AG468" i="1"/>
  <c r="AG561" i="1"/>
  <c r="AG361" i="1"/>
  <c r="AG519" i="1"/>
  <c r="AG244" i="1"/>
  <c r="AG148" i="1"/>
  <c r="AG499" i="1"/>
  <c r="AG98" i="1"/>
  <c r="AG243" i="1"/>
  <c r="AG185" i="1"/>
  <c r="AG173" i="1"/>
  <c r="AG425" i="1"/>
  <c r="AG194" i="1"/>
  <c r="AG268" i="1"/>
  <c r="AG35" i="1"/>
  <c r="AG442" i="1"/>
  <c r="AG112" i="1"/>
  <c r="AG522" i="1"/>
  <c r="AG531" i="1"/>
  <c r="AG299" i="1"/>
  <c r="AG9" i="1"/>
  <c r="AG459" i="1"/>
  <c r="AG283" i="1"/>
  <c r="AG110" i="1"/>
  <c r="AG385" i="1"/>
  <c r="AG124" i="1"/>
  <c r="AG317" i="1"/>
  <c r="AG260" i="1"/>
  <c r="AG24" i="1"/>
  <c r="AG356" i="1"/>
  <c r="AG591" i="1"/>
  <c r="AG122" i="1"/>
  <c r="AG314" i="1"/>
  <c r="AG343" i="1"/>
  <c r="AG560" i="1"/>
  <c r="AG324" i="1"/>
  <c r="AG239" i="1"/>
  <c r="AG457" i="1"/>
  <c r="AG493" i="1"/>
  <c r="AG230" i="1"/>
  <c r="AG424" i="1"/>
  <c r="AG441" i="1"/>
  <c r="AG301" i="1"/>
  <c r="AG450" i="1"/>
  <c r="AG129" i="1"/>
  <c r="AG186" i="1"/>
  <c r="AG484" i="1"/>
  <c r="AG192" i="1"/>
  <c r="AG344" i="1"/>
  <c r="AG398" i="1"/>
  <c r="AG141" i="1"/>
  <c r="AG521" i="1"/>
  <c r="AG584" i="1"/>
  <c r="AG415" i="1"/>
  <c r="AG136" i="1"/>
  <c r="AG210" i="1"/>
  <c r="AG383" i="1"/>
  <c r="AG537" i="1"/>
  <c r="AG41" i="1"/>
  <c r="AG116" i="1"/>
  <c r="AG380" i="1"/>
  <c r="AG33" i="1"/>
  <c r="AG78" i="1"/>
  <c r="AG448" i="1"/>
  <c r="AG198" i="1"/>
  <c r="AG241" i="1"/>
  <c r="AG585" i="1"/>
  <c r="AG547" i="1"/>
  <c r="AG516" i="1"/>
  <c r="AG375" i="1"/>
  <c r="AG376" i="1"/>
  <c r="AG147" i="1"/>
  <c r="AG58" i="1"/>
  <c r="AG69" i="1"/>
  <c r="AG498" i="1"/>
  <c r="AG266" i="1"/>
  <c r="AG271" i="1"/>
  <c r="AG218" i="1"/>
  <c r="AG392" i="1"/>
  <c r="AG216" i="1"/>
  <c r="AG488" i="1"/>
  <c r="AG74" i="1"/>
  <c r="AG166" i="1"/>
  <c r="AG587" i="1"/>
  <c r="AG57" i="1"/>
  <c r="AG263" i="1"/>
  <c r="AG378" i="1"/>
  <c r="AG137" i="1"/>
  <c r="AG34" i="1"/>
  <c r="AG413" i="1"/>
  <c r="AG274" i="1"/>
  <c r="AG338" i="1"/>
  <c r="AG201" i="1"/>
  <c r="AG579" i="1"/>
  <c r="AG570" i="1"/>
  <c r="AG326" i="1"/>
  <c r="AG426" i="1"/>
  <c r="AG85" i="1"/>
  <c r="AG213" i="1"/>
  <c r="AG471" i="1"/>
  <c r="AG422" i="1"/>
  <c r="AG372" i="1"/>
  <c r="AG592" i="1"/>
  <c r="AG353" i="1"/>
  <c r="AG377" i="1"/>
  <c r="AG62" i="1"/>
  <c r="AG66" i="1"/>
  <c r="AG109" i="1"/>
  <c r="AG292" i="1"/>
  <c r="AG88" i="1"/>
  <c r="AG369" i="1"/>
  <c r="AG293" i="1"/>
  <c r="AG502" i="1"/>
  <c r="AG386" i="1"/>
  <c r="AG429" i="1"/>
  <c r="AG564" i="1"/>
  <c r="AG65" i="1"/>
  <c r="AG38" i="1"/>
  <c r="AG146" i="1"/>
  <c r="AG349" i="1"/>
  <c r="AG520" i="1"/>
  <c r="AG434" i="1"/>
  <c r="AG335" i="1"/>
  <c r="AG545" i="1"/>
  <c r="AG157" i="1"/>
  <c r="AG582" i="1"/>
  <c r="AG405" i="1"/>
  <c r="AG370" i="1"/>
  <c r="AG46" i="1"/>
  <c r="AG541" i="1"/>
  <c r="AG118" i="1"/>
  <c r="AG234" i="1"/>
  <c r="AG31" i="1"/>
  <c r="AG190" i="1"/>
  <c r="AG307" i="1"/>
  <c r="AG209" i="1"/>
  <c r="AG156" i="1"/>
  <c r="AG359" i="1"/>
  <c r="AG108" i="1"/>
  <c r="AG94" i="1"/>
  <c r="AG475" i="1"/>
  <c r="AG456" i="1"/>
  <c r="AG562" i="1"/>
  <c r="AG221" i="1"/>
  <c r="AG276" i="1"/>
  <c r="AG151" i="1"/>
  <c r="AG135" i="1"/>
  <c r="AG26" i="1"/>
  <c r="AG331" i="1"/>
  <c r="AG342" i="1"/>
  <c r="AG77" i="1"/>
  <c r="AG427" i="1"/>
  <c r="AG30" i="1"/>
  <c r="AG362" i="1"/>
  <c r="AG313" i="1"/>
  <c r="AG563" i="1"/>
  <c r="AG96" i="1"/>
  <c r="AG403" i="1"/>
  <c r="AG316" i="1"/>
  <c r="AG312" i="1"/>
  <c r="AG168" i="1"/>
  <c r="AG295" i="1"/>
  <c r="AG598" i="1"/>
  <c r="AG155" i="1"/>
  <c r="AG206" i="1"/>
  <c r="AG259" i="1"/>
  <c r="AG443" i="1"/>
  <c r="AG219" i="1"/>
  <c r="AG53" i="1"/>
  <c r="AG345" i="1"/>
  <c r="AG476" i="1"/>
  <c r="AG261" i="1"/>
  <c r="AG279" i="1"/>
  <c r="AG599" i="1"/>
  <c r="AG29" i="1"/>
  <c r="AG220" i="1"/>
  <c r="AG214" i="1"/>
  <c r="AG446" i="1"/>
  <c r="AG525" i="1"/>
  <c r="AG334" i="1"/>
  <c r="AG551" i="1"/>
  <c r="AG337" i="1"/>
  <c r="AG294" i="1"/>
  <c r="AG373" i="1"/>
  <c r="AG125" i="1"/>
  <c r="AG81" i="1"/>
  <c r="AG278" i="1"/>
  <c r="AG419" i="1"/>
  <c r="AG486" i="1"/>
  <c r="AG187" i="1"/>
  <c r="AG406" i="1"/>
  <c r="AG576" i="1"/>
  <c r="AG127" i="1"/>
  <c r="AG75" i="1"/>
  <c r="AG123" i="1"/>
  <c r="AG27" i="1"/>
  <c r="AG480" i="1"/>
  <c r="AG409" i="1"/>
  <c r="AG80" i="1"/>
  <c r="AG432" i="1"/>
  <c r="AG25" i="1"/>
  <c r="AG500" i="1"/>
  <c r="AG535" i="1"/>
  <c r="AD663" i="1"/>
  <c r="AD633" i="1"/>
  <c r="AD619" i="1"/>
  <c r="AD624" i="1"/>
  <c r="AD671" i="1"/>
  <c r="AD627" i="1"/>
  <c r="AD644" i="1"/>
  <c r="AD629" i="1"/>
  <c r="AD628" i="1"/>
  <c r="AD609" i="1"/>
  <c r="AD656" i="1"/>
  <c r="AD697" i="1"/>
  <c r="AD622" i="1"/>
  <c r="AD608" i="1"/>
  <c r="AD681" i="1"/>
  <c r="AD647" i="1"/>
  <c r="AD685" i="1"/>
  <c r="AD634" i="1"/>
  <c r="AD651" i="1"/>
  <c r="AD611" i="1"/>
  <c r="AD657" i="1"/>
  <c r="AD652" i="1"/>
  <c r="AD694" i="1"/>
  <c r="AD631" i="1"/>
  <c r="AD602" i="1"/>
  <c r="AD660" i="1"/>
  <c r="AD687" i="1"/>
  <c r="AD607" i="1"/>
  <c r="AD614" i="1"/>
  <c r="AD658" i="1"/>
  <c r="AD691" i="1"/>
  <c r="AD610" i="1"/>
  <c r="AD667" i="1"/>
  <c r="AD677" i="1"/>
  <c r="AD672" i="1"/>
  <c r="AD639" i="1"/>
  <c r="AD645" i="1"/>
  <c r="AD613" i="1"/>
  <c r="AD690" i="1"/>
  <c r="AD673" i="1"/>
  <c r="AD699" i="1"/>
  <c r="AD668" i="1"/>
  <c r="AD637" i="1"/>
  <c r="AD683" i="1"/>
  <c r="AD648" i="1"/>
  <c r="AD682" i="1"/>
  <c r="AD680" i="1"/>
  <c r="AD604" i="1"/>
  <c r="AD638" i="1"/>
  <c r="AD686" i="1"/>
  <c r="AD640" i="1"/>
  <c r="AD659" i="1"/>
  <c r="AD603" i="1"/>
  <c r="AD635" i="1"/>
  <c r="AD676" i="1"/>
  <c r="AD696" i="1"/>
  <c r="AD606" i="1"/>
  <c r="AD626" i="1"/>
  <c r="AD615" i="1"/>
  <c r="AD684" i="1"/>
  <c r="AD669" i="1"/>
  <c r="AD625" i="1"/>
  <c r="AD662" i="1"/>
  <c r="AD688" i="1"/>
  <c r="AD601" i="1"/>
  <c r="AD692" i="1"/>
  <c r="AD632" i="1"/>
  <c r="AD621" i="1"/>
  <c r="AD678" i="1"/>
  <c r="AD643" i="1"/>
  <c r="AD618" i="1"/>
  <c r="AD664" i="1"/>
  <c r="AD693" i="1"/>
  <c r="AD623" i="1"/>
  <c r="AD695" i="1"/>
  <c r="AD646" i="1"/>
  <c r="AD630" i="1"/>
  <c r="AD617" i="1"/>
  <c r="AD650" i="1"/>
  <c r="AD605" i="1"/>
  <c r="AD674" i="1"/>
  <c r="AD679" i="1"/>
  <c r="AD653" i="1"/>
  <c r="AD616" i="1"/>
  <c r="AD661" i="1"/>
  <c r="AD612" i="1"/>
  <c r="AD620" i="1"/>
  <c r="AD641" i="1"/>
  <c r="AD636" i="1"/>
  <c r="AD655" i="1"/>
  <c r="AD670" i="1"/>
  <c r="AD649" i="1"/>
  <c r="AD698" i="1"/>
  <c r="AD654" i="1"/>
  <c r="AD689" i="1"/>
  <c r="AD665" i="1"/>
  <c r="AD666" i="1"/>
  <c r="AD675" i="1"/>
  <c r="AD642" i="1"/>
  <c r="AG17" i="1" a="1"/>
  <c r="AG18" i="1" a="1"/>
  <c r="AG16" i="1" a="1"/>
  <c r="AG14" i="1" a="1"/>
  <c r="AG15" i="1" a="1"/>
  <c r="AG13" i="1" a="1"/>
  <c r="AG12" i="1" a="1"/>
  <c r="AG11" i="1" a="1"/>
  <c r="AH501" i="1" a="1"/>
  <c r="AH542" i="1" a="1"/>
  <c r="AH515" i="1" a="1"/>
  <c r="AH466" i="1" a="1"/>
  <c r="AH182" i="1" a="1"/>
  <c r="AH332" i="1" a="1"/>
  <c r="AH149" i="1" a="1"/>
  <c r="AH453" i="1" a="1"/>
  <c r="AH363" i="1" a="1"/>
  <c r="AH473" i="1" a="1"/>
  <c r="AH184" i="1" a="1"/>
  <c r="AH340" i="1" a="1"/>
  <c r="AH150" i="1" a="1"/>
  <c r="AH236" i="1" a="1"/>
  <c r="AH352" i="1" a="1"/>
  <c r="AH388" i="1" a="1"/>
  <c r="AH548" i="1" a="1"/>
  <c r="AH431" i="1" a="1"/>
  <c r="AH203" i="1" a="1"/>
  <c r="AH50" i="1" a="1"/>
  <c r="AH93" i="1" a="1"/>
  <c r="AH178" i="1" a="1"/>
  <c r="AH140" i="1" a="1"/>
  <c r="AH49" i="1" a="1"/>
  <c r="AH20" i="1" a="1"/>
  <c r="AH95" i="1" a="1"/>
  <c r="AH28" i="1" a="1"/>
  <c r="AH444" i="1" a="1"/>
  <c r="AH354" i="1" a="1"/>
  <c r="AH512" i="1" a="1"/>
  <c r="AH138" i="1" a="1"/>
  <c r="AH120" i="1" a="1"/>
  <c r="AH468" i="1" a="1"/>
  <c r="AH194" i="1" a="1"/>
  <c r="AH385" i="1" a="1"/>
  <c r="AH239" i="1" a="1"/>
  <c r="AH344" i="1" a="1"/>
  <c r="AH380" i="1" a="1"/>
  <c r="AH58" i="1" a="1"/>
  <c r="AH57" i="1" a="1"/>
  <c r="AH426" i="1" a="1"/>
  <c r="AH292" i="1" a="1"/>
  <c r="AH349" i="1" a="1"/>
  <c r="AH562" i="1" a="1"/>
  <c r="AH313" i="1" a="1"/>
  <c r="AH443" i="1" a="1"/>
  <c r="AH446" i="1" a="1"/>
  <c r="AH486" i="1" a="1"/>
  <c r="AH25" i="1" a="1"/>
  <c r="AH222" i="1" a="1"/>
  <c r="AH424" i="1" a="1"/>
  <c r="AH305" i="1" a="1"/>
  <c r="AH83" i="1" a="1"/>
  <c r="AH358" i="1" a="1"/>
  <c r="AH257" i="1" a="1"/>
  <c r="AH145" i="1" a="1"/>
  <c r="AH573" i="1" a="1"/>
  <c r="AH273" i="1" a="1"/>
  <c r="AH252" i="1" a="1"/>
  <c r="AH104" i="1" a="1"/>
  <c r="AH23" i="1" a="1"/>
  <c r="AH593" i="1" a="1"/>
  <c r="AH148" i="1" a="1"/>
  <c r="AH441" i="1" a="1"/>
  <c r="AH218" i="1" a="1"/>
  <c r="AH502" i="1" a="1"/>
  <c r="AH26" i="1" a="1"/>
  <c r="AH294" i="1" a="1"/>
  <c r="AH559" i="1" a="1"/>
  <c r="AH176" i="1" a="1"/>
  <c r="AH499" i="1" a="1"/>
  <c r="AH592" i="1" a="1"/>
  <c r="AH279" i="1" a="1"/>
  <c r="AH200" i="1" a="1"/>
  <c r="AH554" i="1" a="1"/>
  <c r="AH472" i="1" a="1"/>
  <c r="AH282" i="1" a="1"/>
  <c r="AH223" i="1" a="1"/>
  <c r="AH296" i="1" a="1"/>
  <c r="AH421" i="1" a="1"/>
  <c r="AH113" i="1" a="1"/>
  <c r="AH341" i="1" a="1"/>
  <c r="AH574" i="1" a="1"/>
  <c r="AH410" i="1" a="1"/>
  <c r="AH302" i="1" a="1"/>
  <c r="AH64" i="1" a="1"/>
  <c r="AH22" i="1" a="1"/>
  <c r="AH122" i="1" a="1"/>
  <c r="AH210" i="1" a="1"/>
  <c r="AH338" i="1" a="1"/>
  <c r="AH405" i="1" a="1"/>
  <c r="AH342" i="1" a="1"/>
  <c r="AH125" i="1" a="1"/>
  <c r="AH440" i="1" a="1"/>
  <c r="AH460" i="1" a="1"/>
  <c r="AH482" i="1" a="1"/>
  <c r="AH564" i="1" a="1"/>
  <c r="AH10" i="1" a="1"/>
  <c r="AH36" i="1" a="1"/>
  <c r="AH44" i="1" a="1"/>
  <c r="AH511" i="1" a="1"/>
  <c r="AH462" i="1" a="1"/>
  <c r="AH111" i="1" a="1"/>
  <c r="AH174" i="1" a="1"/>
  <c r="AH393" i="1" a="1"/>
  <c r="AH79" i="1" a="1"/>
  <c r="AH365" i="1" a="1"/>
  <c r="AH19" i="1" a="1"/>
  <c r="AH503" i="1" a="1"/>
  <c r="AH487" i="1" a="1"/>
  <c r="AH459" i="1" a="1"/>
  <c r="AH375" i="1" a="1"/>
  <c r="AH579" i="1" a="1"/>
  <c r="AH46" i="1" a="1"/>
  <c r="AH155" i="1" a="1"/>
  <c r="AH101" i="1" a="1"/>
  <c r="AH329" i="1" a="1"/>
  <c r="AH173" i="1" a="1"/>
  <c r="AH541" i="1" a="1"/>
  <c r="AH549" i="1" a="1"/>
  <c r="AH42" i="1" a="1"/>
  <c r="AH204" i="1" a="1"/>
  <c r="AH523" i="1" a="1"/>
  <c r="AH280" i="1" a="1"/>
  <c r="AH144" i="1" a="1"/>
  <c r="AH507" i="1" a="1"/>
  <c r="AH423" i="1" a="1"/>
  <c r="AH308" i="1" a="1"/>
  <c r="AH212" i="1" a="1"/>
  <c r="AH229" i="1" a="1"/>
  <c r="AH483" i="1" a="1"/>
  <c r="AH250" i="1" a="1"/>
  <c r="AH89" i="1" a="1"/>
  <c r="AH425" i="1" a="1"/>
  <c r="AH324" i="1" a="1"/>
  <c r="AH116" i="1" a="1"/>
  <c r="AH147" i="1" a="1"/>
  <c r="AH146" i="1" a="1"/>
  <c r="AH456" i="1" a="1"/>
  <c r="AH259" i="1" a="1"/>
  <c r="AH391" i="1" a="1"/>
  <c r="AH97" i="1" a="1"/>
  <c r="AH408" i="1" a="1"/>
  <c r="AH463" i="1" a="1"/>
  <c r="AH595" i="1" a="1"/>
  <c r="AH54" i="1" a="1"/>
  <c r="AH82" i="1" a="1"/>
  <c r="AH169" i="1" a="1"/>
  <c r="AH428" i="1" a="1"/>
  <c r="AH532" i="1" a="1"/>
  <c r="AH224" i="1" a="1"/>
  <c r="AH333" i="1" a="1"/>
  <c r="AH115" i="1" a="1"/>
  <c r="AH366" i="1" a="1"/>
  <c r="AH397" i="1" a="1"/>
  <c r="AH577" i="1" a="1"/>
  <c r="AH132" i="1" a="1"/>
  <c r="AH455" i="1" a="1"/>
  <c r="AH167" i="1" a="1"/>
  <c r="AH319" i="1" a="1"/>
  <c r="AH119" i="1" a="1"/>
  <c r="AH163" i="1" a="1"/>
  <c r="AH39" i="1" a="1"/>
  <c r="AH61" i="1" a="1"/>
  <c r="AH102" i="1" a="1"/>
  <c r="AH245" i="1" a="1"/>
  <c r="AH272" i="1" a="1"/>
  <c r="AH248" i="1" a="1"/>
  <c r="AH242" i="1" a="1"/>
  <c r="AH254" i="1" a="1"/>
  <c r="AH205" i="1" a="1"/>
  <c r="AH339" i="1" a="1"/>
  <c r="AH561" i="1" a="1"/>
  <c r="AH268" i="1" a="1"/>
  <c r="AH124" i="1" a="1"/>
  <c r="AH457" i="1" a="1"/>
  <c r="AH398" i="1" a="1"/>
  <c r="AH33" i="1" a="1"/>
  <c r="AH69" i="1" a="1"/>
  <c r="AH263" i="1" a="1"/>
  <c r="AH85" i="1" a="1"/>
  <c r="AH88" i="1" a="1"/>
  <c r="AH520" i="1" a="1"/>
  <c r="AH234" i="1" a="1"/>
  <c r="AH221" i="1" a="1"/>
  <c r="AH563" i="1" a="1"/>
  <c r="AH219" i="1" a="1"/>
  <c r="AH525" i="1" a="1"/>
  <c r="AH187" i="1" a="1"/>
  <c r="AH500" i="1" a="1"/>
  <c r="AH527" i="1" a="1"/>
  <c r="AH271" i="1" a="1"/>
  <c r="AH63" i="1" a="1"/>
  <c r="AH407" i="1" a="1"/>
  <c r="AH543" i="1" a="1"/>
  <c r="AH447" i="1" a="1"/>
  <c r="AH171" i="1" a="1"/>
  <c r="AH233" i="1" a="1"/>
  <c r="AH580" i="1" a="1"/>
  <c r="AH227" i="1" a="1"/>
  <c r="AH195" i="1" a="1"/>
  <c r="AH416" i="1" a="1"/>
  <c r="AH270" i="1" a="1"/>
  <c r="AH533" i="1" a="1"/>
  <c r="AH522" i="1" a="1"/>
  <c r="AH415" i="1" a="1"/>
  <c r="AH413" i="1" a="1"/>
  <c r="AH157" i="1" a="1"/>
  <c r="AH261" i="1" a="1"/>
  <c r="AH556" i="1" a="1"/>
  <c r="AH253" i="1" a="1"/>
  <c r="AH510" i="1" a="1"/>
  <c r="AH274" i="1" a="1"/>
  <c r="AH470" i="1" a="1"/>
  <c r="AH211" i="1" a="1"/>
  <c r="AH281" i="1" a="1"/>
  <c r="AH303" i="1" a="1"/>
  <c r="AH59" i="1" a="1"/>
  <c r="AH126" i="1" a="1"/>
  <c r="AH284" i="1" a="1"/>
  <c r="AH51" i="1" a="1"/>
  <c r="AH400" i="1" a="1"/>
  <c r="AH411" i="1" a="1"/>
  <c r="AH589" i="1" a="1"/>
  <c r="AH232" i="1" a="1"/>
  <c r="AH360" i="1" a="1"/>
  <c r="AH98" i="1" a="1"/>
  <c r="AH450" i="1" a="1"/>
  <c r="AH547" i="1" a="1"/>
  <c r="AH353" i="1" a="1"/>
  <c r="AH359" i="1" a="1"/>
  <c r="AH599" i="1" a="1"/>
  <c r="AH586" i="1" a="1"/>
  <c r="AH197" i="1" a="1"/>
  <c r="AH368" i="1" a="1"/>
  <c r="AH377" i="1" a="1"/>
  <c r="AH530" i="1" a="1"/>
  <c r="AH71" i="1" a="1"/>
  <c r="AH540" i="1" a="1"/>
  <c r="AH327" i="1" a="1"/>
  <c r="AH323" i="1" a="1"/>
  <c r="AH225" i="1" a="1"/>
  <c r="AH179" i="1" a="1"/>
  <c r="AH267" i="1" a="1"/>
  <c r="AH558" i="1" a="1"/>
  <c r="AH513" i="1" a="1"/>
  <c r="AH100" i="1" a="1"/>
  <c r="AH330" i="1" a="1"/>
  <c r="AH228" i="1" a="1"/>
  <c r="AH185" i="1" a="1"/>
  <c r="AH343" i="1" a="1"/>
  <c r="AH74" i="1" a="1"/>
  <c r="AH62" i="1" a="1"/>
  <c r="AH94" i="1" a="1"/>
  <c r="AH409" i="1" a="1"/>
  <c r="AH436" i="1" a="1"/>
  <c r="AH420" i="1" a="1"/>
  <c r="AH560" i="1" a="1"/>
  <c r="AH206" i="1" a="1"/>
  <c r="AH568" i="1" a="1"/>
  <c r="AH367" i="1" a="1"/>
  <c r="AH159" i="1" a="1"/>
  <c r="AH103" i="1" a="1"/>
  <c r="AH106" i="1" a="1"/>
  <c r="AH371" i="1" a="1"/>
  <c r="AH458" i="1" a="1"/>
  <c r="AH142" i="1" a="1"/>
  <c r="AH348" i="1" a="1"/>
  <c r="AH217" i="1" a="1"/>
  <c r="AH490" i="1" a="1"/>
  <c r="AH251" i="1" a="1"/>
  <c r="AH110" i="1" a="1"/>
  <c r="AH192" i="1" a="1"/>
  <c r="AH587" i="1" a="1"/>
  <c r="AH118" i="1" a="1"/>
  <c r="AH362" i="1" a="1"/>
  <c r="AH432" i="1" a="1"/>
  <c r="AH390" i="1" a="1"/>
  <c r="AH105" i="1" a="1"/>
  <c r="AH430" i="1" a="1"/>
  <c r="AH538" i="1" a="1"/>
  <c r="AH269" i="1" a="1"/>
  <c r="AH84" i="1" a="1"/>
  <c r="AH336" i="1" a="1"/>
  <c r="AH90" i="1" a="1"/>
  <c r="AH552" i="1" a="1"/>
  <c r="AH202" i="1" a="1"/>
  <c r="AH86" i="1" a="1"/>
  <c r="AH489" i="1" a="1"/>
  <c r="AH481" i="1" a="1"/>
  <c r="AH492" i="1" a="1"/>
  <c r="AH518" i="1" a="1"/>
  <c r="AH117" i="1" a="1"/>
  <c r="AH478" i="1" a="1"/>
  <c r="AH394" i="1" a="1"/>
  <c r="AH495" i="1" a="1"/>
  <c r="AH402" i="1" a="1"/>
  <c r="AH193" i="1" a="1"/>
  <c r="AH508" i="1" a="1"/>
  <c r="AH73" i="1" a="1"/>
  <c r="AH199" i="1" a="1"/>
  <c r="AH277" i="1" a="1"/>
  <c r="AH524" i="1" a="1"/>
  <c r="AH32" i="1" a="1"/>
  <c r="AH454" i="1" a="1"/>
  <c r="AH452" i="1" a="1"/>
  <c r="AH143" i="1" a="1"/>
  <c r="AH310" i="1" a="1"/>
  <c r="AH361" i="1" a="1"/>
  <c r="AH35" i="1" a="1"/>
  <c r="AH317" i="1" a="1"/>
  <c r="AH493" i="1" a="1"/>
  <c r="AH141" i="1" a="1"/>
  <c r="AH78" i="1" a="1"/>
  <c r="AH498" i="1" a="1"/>
  <c r="AH378" i="1" a="1"/>
  <c r="AH213" i="1" a="1"/>
  <c r="AH369" i="1" a="1"/>
  <c r="AH434" i="1" a="1"/>
  <c r="AH31" i="1" a="1"/>
  <c r="AH276" i="1" a="1"/>
  <c r="AH96" i="1" a="1"/>
  <c r="AH53" i="1" a="1"/>
  <c r="AH334" i="1" a="1"/>
  <c r="AH406" i="1" a="1"/>
  <c r="AH535" i="1" a="1"/>
  <c r="AH439" i="1" a="1"/>
  <c r="AH351" i="1" a="1"/>
  <c r="AH238" i="1" a="1"/>
  <c r="AH597" i="1" a="1"/>
  <c r="AH465" i="1" a="1"/>
  <c r="AH311" i="1" a="1"/>
  <c r="AH534" i="1" a="1"/>
  <c r="AH387" i="1" a="1"/>
  <c r="AH445" i="1" a="1"/>
  <c r="AH575" i="1" a="1"/>
  <c r="AH297" i="1" a="1"/>
  <c r="AH596" i="1" a="1"/>
  <c r="AH91" i="1" a="1"/>
  <c r="AH244" i="1" a="1"/>
  <c r="AH24" i="1" a="1"/>
  <c r="AH198" i="1" a="1"/>
  <c r="AH422" i="1" a="1"/>
  <c r="AH545" i="1" a="1"/>
  <c r="AH135" i="1" a="1"/>
  <c r="AH476" i="1" a="1"/>
  <c r="AH127" i="1" a="1"/>
  <c r="AH306" i="1" a="1"/>
  <c r="AH226" i="1" a="1"/>
  <c r="AH491" i="1" a="1"/>
  <c r="AH356" i="1" a="1"/>
  <c r="AH372" i="1" a="1"/>
  <c r="AH312" i="1" a="1"/>
  <c r="AH21" i="1" a="1"/>
  <c r="AH215" i="1" a="1"/>
  <c r="AH479" i="1" a="1"/>
  <c r="AH291" i="1" a="1"/>
  <c r="AH438" i="1" a="1"/>
  <c r="AH247" i="1" a="1"/>
  <c r="AH555" i="1" a="1"/>
  <c r="AH529" i="1" a="1"/>
  <c r="AH40" i="1" a="1"/>
  <c r="AH76" i="1" a="1"/>
  <c r="AH594" i="1" a="1"/>
  <c r="AH286" i="1" a="1"/>
  <c r="AH417" i="1" a="1"/>
  <c r="AH506" i="1" a="1"/>
  <c r="AH401" i="1" a="1"/>
  <c r="AH591" i="1" a="1"/>
  <c r="AH301" i="1" a="1"/>
  <c r="AH585" i="1" a="1"/>
  <c r="AH386" i="1" a="1"/>
  <c r="AH156" i="1" a="1"/>
  <c r="AH168" i="1" a="1"/>
  <c r="AH123" i="1" a="1"/>
  <c r="AH158" i="1" a="1"/>
  <c r="AH288" i="1" a="1"/>
  <c r="AH364" i="1" a="1"/>
  <c r="AH216" i="1" a="1"/>
  <c r="AH295" i="1" a="1"/>
  <c r="AH550" i="1" a="1"/>
  <c r="AH47" i="1" a="1"/>
  <c r="AH72" i="1" a="1"/>
  <c r="AH237" i="1" a="1"/>
  <c r="AH347" i="1" a="1"/>
  <c r="AH517" i="1" a="1"/>
  <c r="AH435" i="1" a="1"/>
  <c r="AH571" i="1" a="1"/>
  <c r="AH153" i="1" a="1"/>
  <c r="AH528" i="1" a="1"/>
  <c r="AH583" i="1" a="1"/>
  <c r="AH255" i="1" a="1"/>
  <c r="AH477" i="1" a="1"/>
  <c r="AH9" i="1" a="1"/>
  <c r="AH129" i="1" a="1"/>
  <c r="AH516" i="1" a="1"/>
  <c r="AH201" i="1" a="1"/>
  <c r="AH370" i="1" a="1"/>
  <c r="AH77" i="1" a="1"/>
  <c r="AH29" i="1" a="1"/>
  <c r="AH480" i="1" a="1"/>
  <c r="AH496" i="1" a="1"/>
  <c r="AH262" i="1" a="1"/>
  <c r="AH557" i="1" a="1"/>
  <c r="AH186" i="1" a="1"/>
  <c r="AH65" i="1" a="1"/>
  <c r="AH278" i="1" a="1"/>
  <c r="AH355" i="1" a="1"/>
  <c r="AH437" i="1" a="1"/>
  <c r="AH240" i="1" a="1"/>
  <c r="AH191" i="1" a="1"/>
  <c r="AH246" i="1" a="1"/>
  <c r="AH504" i="1" a="1"/>
  <c r="AH590" i="1" a="1"/>
  <c r="AH566" i="1" a="1"/>
  <c r="AH180" i="1" a="1"/>
  <c r="AH304" i="1" a="1"/>
  <c r="AH572" i="1" a="1"/>
  <c r="AH275" i="1" a="1"/>
  <c r="AH374" i="1" a="1"/>
  <c r="AH395" i="1" a="1"/>
  <c r="AH283" i="1" a="1"/>
  <c r="AH41" i="1" a="1"/>
  <c r="AH166" i="1" a="1"/>
  <c r="AH66" i="1" a="1"/>
  <c r="AH475" i="1" a="1"/>
  <c r="AH220" i="1" a="1"/>
  <c r="AH80" i="1" a="1"/>
  <c r="AH474" i="1" a="1"/>
  <c r="AH567" i="1" a="1"/>
  <c r="AH165" i="1" a="1"/>
  <c r="AH326" i="1" a="1"/>
  <c r="AH214" i="1" a="1"/>
  <c r="AH328" i="1" a="1"/>
  <c r="AH578" i="1" a="1"/>
  <c r="AH449" i="1" a="1"/>
  <c r="AH164" i="1" a="1"/>
  <c r="AH92" i="1" a="1"/>
  <c r="AH264" i="1" a="1"/>
  <c r="AH131" i="1" a="1"/>
  <c r="AH152" i="1" a="1"/>
  <c r="AH133" i="1" a="1"/>
  <c r="AH514" i="1" a="1"/>
  <c r="AH231" i="1" a="1"/>
  <c r="AH290" i="1" a="1"/>
  <c r="AH139" i="1" a="1"/>
  <c r="AH114" i="1" a="1"/>
  <c r="AH485" i="1" a="1"/>
  <c r="AH382" i="1" a="1"/>
  <c r="AH207" i="1" a="1"/>
  <c r="AH494" i="1" a="1"/>
  <c r="AH134" i="1" a="1"/>
  <c r="AH404" i="1" a="1"/>
  <c r="AH544" i="1" a="1"/>
  <c r="AH87" i="1" a="1"/>
  <c r="AH177" i="1" a="1"/>
  <c r="AH60" i="1" a="1"/>
  <c r="AH130" i="1" a="1"/>
  <c r="AH399" i="1" a="1"/>
  <c r="AH300" i="1" a="1"/>
  <c r="AH52" i="1" a="1"/>
  <c r="AH505" i="1" a="1"/>
  <c r="AH107" i="1" a="1"/>
  <c r="AH546" i="1" a="1"/>
  <c r="AH350" i="1" a="1"/>
  <c r="AH519" i="1" a="1"/>
  <c r="AH442" i="1" a="1"/>
  <c r="AH260" i="1" a="1"/>
  <c r="AH230" i="1" a="1"/>
  <c r="AH521" i="1" a="1"/>
  <c r="AH448" i="1" a="1"/>
  <c r="AH266" i="1" a="1"/>
  <c r="AH137" i="1" a="1"/>
  <c r="AH471" i="1" a="1"/>
  <c r="AH335" i="1" a="1"/>
  <c r="AH190" i="1" a="1"/>
  <c r="AH151" i="1" a="1"/>
  <c r="AH403" i="1" a="1"/>
  <c r="AH345" i="1" a="1"/>
  <c r="AH551" i="1" a="1"/>
  <c r="AH576" i="1" a="1"/>
  <c r="AH160" i="1" a="1"/>
  <c r="AH68" i="1" a="1"/>
  <c r="AH121" i="1" a="1"/>
  <c r="AH346" i="1" a="1"/>
  <c r="AH414" i="1" a="1"/>
  <c r="AH285" i="1" a="1"/>
  <c r="AH172" i="1" a="1"/>
  <c r="AH451" i="1" a="1"/>
  <c r="AH325" i="1" a="1"/>
  <c r="AH188" i="1" a="1"/>
  <c r="AH539" i="1" a="1"/>
  <c r="AH256" i="1" a="1"/>
  <c r="AH497" i="1" a="1"/>
  <c r="AH249" i="1" a="1"/>
  <c r="AH67" i="1" a="1"/>
  <c r="AH161" i="1" a="1"/>
  <c r="AH112" i="1" a="1"/>
  <c r="AH584" i="1" a="1"/>
  <c r="AH34" i="1" a="1"/>
  <c r="AH293" i="1" a="1"/>
  <c r="AH307" i="1" a="1"/>
  <c r="AH316" i="1" a="1"/>
  <c r="AH337" i="1" a="1"/>
  <c r="AH48" i="1" a="1"/>
  <c r="AH396" i="1" a="1"/>
  <c r="AH461" i="1" a="1"/>
  <c r="AH433" i="1" a="1"/>
  <c r="AH526" i="1" a="1"/>
  <c r="AH241" i="1" a="1"/>
  <c r="AH209" i="1" a="1"/>
  <c r="AH75" i="1" a="1"/>
  <c r="AH265" i="1" a="1"/>
  <c r="AH381" i="1" a="1"/>
  <c r="AH318" i="1" a="1"/>
  <c r="AH467" i="1" a="1"/>
  <c r="AH412" i="1" a="1"/>
  <c r="AH128" i="1" a="1"/>
  <c r="AH45" i="1" a="1"/>
  <c r="AH315" i="1" a="1"/>
  <c r="AH588" i="1" a="1"/>
  <c r="AH70" i="1" a="1"/>
  <c r="AH287" i="1" a="1"/>
  <c r="AH531" i="1" a="1"/>
  <c r="AH136" i="1" a="1"/>
  <c r="AH392" i="1" a="1"/>
  <c r="AH582" i="1" a="1"/>
  <c r="AH331" i="1" a="1"/>
  <c r="AH373" i="1" a="1"/>
  <c r="AH379" i="1" a="1"/>
  <c r="AH99" i="1" a="1"/>
  <c r="AH299" i="1" a="1"/>
  <c r="AH429" i="1" a="1"/>
  <c r="AH27" i="1" a="1"/>
  <c r="AH55" i="1" a="1"/>
  <c r="AH235" i="1" a="1"/>
  <c r="AH189" i="1" a="1"/>
  <c r="AH170" i="1" a="1"/>
  <c r="AH162" i="1" a="1"/>
  <c r="AH321" i="1" a="1"/>
  <c r="AH289" i="1" a="1"/>
  <c r="AH181" i="1" a="1"/>
  <c r="AH569" i="1" a="1"/>
  <c r="AH196" i="1" a="1"/>
  <c r="AH581" i="1" a="1"/>
  <c r="AH553" i="1" a="1"/>
  <c r="AH384" i="1" a="1"/>
  <c r="AH243" i="1" a="1"/>
  <c r="AH314" i="1" a="1"/>
  <c r="AH383" i="1" a="1"/>
  <c r="AH488" i="1" a="1"/>
  <c r="AH108" i="1" a="1"/>
  <c r="AH598" i="1" a="1"/>
  <c r="AH81" i="1" a="1"/>
  <c r="AH389" i="1" a="1"/>
  <c r="AH565" i="1" a="1"/>
  <c r="AH357" i="1" a="1"/>
  <c r="AH537" i="1" a="1"/>
  <c r="AH427" i="1" a="1"/>
  <c r="AH183" i="1" a="1"/>
  <c r="AH298" i="1" a="1"/>
  <c r="AH418" i="1" a="1"/>
  <c r="AH208" i="1" a="1"/>
  <c r="AH43" i="1" a="1"/>
  <c r="AH469" i="1" a="1"/>
  <c r="AH509" i="1" a="1"/>
  <c r="AH309" i="1" a="1"/>
  <c r="AH175" i="1" a="1"/>
  <c r="AH56" i="1" a="1"/>
  <c r="AH37" i="1" a="1"/>
  <c r="AH258" i="1" a="1"/>
  <c r="AH320" i="1" a="1"/>
  <c r="AH322" i="1" a="1"/>
  <c r="AH484" i="1" a="1"/>
  <c r="AH376" i="1" a="1"/>
  <c r="AH570" i="1" a="1"/>
  <c r="AH38" i="1" a="1"/>
  <c r="AH30" i="1" a="1"/>
  <c r="AH464" i="1" a="1"/>
  <c r="AH154" i="1" a="1"/>
  <c r="AH536" i="1" a="1"/>
  <c r="AH109" i="1" a="1"/>
  <c r="AH419" i="1" a="1"/>
  <c r="AE603" i="1" a="1"/>
  <c r="AE621" i="1" a="1"/>
  <c r="AE664" i="1" a="1"/>
  <c r="AE698" i="1" a="1"/>
  <c r="AE636" i="1" a="1"/>
  <c r="AE683" i="1" a="1"/>
  <c r="AE662" i="1" a="1"/>
  <c r="AE624" i="1" a="1"/>
  <c r="AE634" i="1" a="1"/>
  <c r="AE674" i="1" a="1"/>
  <c r="AE639" i="1" a="1"/>
  <c r="AE643" i="1" a="1"/>
  <c r="AE657" i="1" a="1"/>
  <c r="AE688" i="1" a="1"/>
  <c r="AE623" i="1" a="1"/>
  <c r="AE627" i="1" a="1"/>
  <c r="AE677" i="1" a="1"/>
  <c r="AE666" i="1" a="1"/>
  <c r="AE658" i="1" a="1"/>
  <c r="AE601" i="1" a="1"/>
  <c r="AE622" i="1" a="1"/>
  <c r="AE690" i="1" a="1"/>
  <c r="AE653" i="1" a="1"/>
  <c r="AE645" i="1" a="1"/>
  <c r="AE686" i="1" a="1"/>
  <c r="AE606" i="1" a="1"/>
  <c r="AE661" i="1" a="1"/>
  <c r="AE675" i="1" a="1"/>
  <c r="AE629" i="1" a="1"/>
  <c r="AE646" i="1" a="1"/>
  <c r="AE642" i="1" a="1"/>
  <c r="AE685" i="1" a="1"/>
  <c r="AE628" i="1" a="1"/>
  <c r="AE684" i="1" a="1"/>
  <c r="AE648" i="1" a="1"/>
  <c r="AE611" i="1" a="1"/>
  <c r="AE681" i="1" a="1"/>
  <c r="AE654" i="1" a="1"/>
  <c r="AE633" i="1" a="1"/>
  <c r="AE631" i="1" a="1"/>
  <c r="AE671" i="1" a="1"/>
  <c r="AE632" i="1" a="1"/>
  <c r="AE656" i="1" a="1"/>
  <c r="AE644" i="1" a="1"/>
  <c r="AE607" i="1" a="1"/>
  <c r="AE692" i="1" a="1"/>
  <c r="AE641" i="1" a="1"/>
  <c r="AE610" i="1" a="1"/>
  <c r="AE615" i="1" a="1"/>
  <c r="AE660" i="1" a="1"/>
  <c r="AE616" i="1" a="1"/>
  <c r="AE612" i="1" a="1"/>
  <c r="AE655" i="1" a="1"/>
  <c r="AE695" i="1" a="1"/>
  <c r="AE649" i="1" a="1"/>
  <c r="AE650" i="1" a="1"/>
  <c r="AE630" i="1" a="1"/>
  <c r="AE663" i="1" a="1"/>
  <c r="AE640" i="1" a="1"/>
  <c r="AE618" i="1" a="1"/>
  <c r="AE672" i="1" a="1"/>
  <c r="AE670" i="1" a="1"/>
  <c r="AE614" i="1" a="1"/>
  <c r="AE682" i="1" a="1"/>
  <c r="AE637" i="1" a="1"/>
  <c r="AE609" i="1" a="1"/>
  <c r="AE625" i="1" a="1"/>
  <c r="AE669" i="1" a="1"/>
  <c r="AE691" i="1" a="1"/>
  <c r="AE647" i="1" a="1"/>
  <c r="AE638" i="1" a="1"/>
  <c r="AE678" i="1" a="1"/>
  <c r="AE617" i="1" a="1"/>
  <c r="AE679" i="1" a="1"/>
  <c r="AE605" i="1" a="1"/>
  <c r="AE689" i="1" a="1"/>
  <c r="AE659" i="1" a="1"/>
  <c r="AE619" i="1" a="1"/>
  <c r="AE602" i="1" a="1"/>
  <c r="AE694" i="1" a="1"/>
  <c r="AE680" i="1" a="1"/>
  <c r="AE652" i="1" a="1"/>
  <c r="AE693" i="1" a="1"/>
  <c r="AE626" i="1" a="1"/>
  <c r="AE665" i="1" a="1"/>
  <c r="AE620" i="1" a="1"/>
  <c r="AE668" i="1" a="1"/>
  <c r="AE697" i="1" a="1"/>
  <c r="AE651" i="1" a="1"/>
  <c r="AE673" i="1" a="1"/>
  <c r="AE699" i="1" a="1"/>
  <c r="AE687" i="1" a="1"/>
  <c r="AE635" i="1" a="1"/>
  <c r="AE696" i="1" a="1"/>
  <c r="AE604" i="1" a="1"/>
  <c r="AE613" i="1" a="1"/>
  <c r="AE608" i="1" a="1"/>
  <c r="AE667" i="1" a="1"/>
  <c r="AE676" i="1" a="1"/>
  <c r="AG18" i="1" l="1"/>
  <c r="AG17" i="1"/>
  <c r="AG16" i="1"/>
  <c r="AG13" i="1"/>
  <c r="AG15" i="1"/>
  <c r="AG14" i="1"/>
  <c r="AG12" i="1"/>
  <c r="AG11" i="1"/>
  <c r="AH419" i="1"/>
  <c r="AH109" i="1"/>
  <c r="AH536" i="1"/>
  <c r="AH154" i="1"/>
  <c r="AH464" i="1"/>
  <c r="AH30" i="1"/>
  <c r="AH38" i="1"/>
  <c r="AH570" i="1"/>
  <c r="AH376" i="1"/>
  <c r="AH484" i="1"/>
  <c r="AH322" i="1"/>
  <c r="AH320" i="1"/>
  <c r="AH258" i="1"/>
  <c r="AH37" i="1"/>
  <c r="AH56" i="1"/>
  <c r="AH175" i="1"/>
  <c r="AH309" i="1"/>
  <c r="AH509" i="1"/>
  <c r="AH469" i="1"/>
  <c r="AH43" i="1"/>
  <c r="AH208" i="1"/>
  <c r="AH418" i="1"/>
  <c r="AH298" i="1"/>
  <c r="AH183" i="1"/>
  <c r="AH427" i="1"/>
  <c r="AH537" i="1"/>
  <c r="AH357" i="1"/>
  <c r="AH565" i="1"/>
  <c r="AH389" i="1"/>
  <c r="AH81" i="1"/>
  <c r="AH598" i="1"/>
  <c r="AH108" i="1"/>
  <c r="AH488" i="1"/>
  <c r="AH383" i="1"/>
  <c r="AH314" i="1"/>
  <c r="AH243" i="1"/>
  <c r="AH384" i="1"/>
  <c r="AH553" i="1"/>
  <c r="AH581" i="1"/>
  <c r="AH196" i="1"/>
  <c r="AH569" i="1"/>
  <c r="AH181" i="1"/>
  <c r="AH289" i="1"/>
  <c r="AH321" i="1"/>
  <c r="AH162" i="1"/>
  <c r="AH170" i="1"/>
  <c r="AH189" i="1"/>
  <c r="AH235" i="1"/>
  <c r="AH55" i="1"/>
  <c r="AH27" i="1"/>
  <c r="AH429" i="1"/>
  <c r="AH299" i="1"/>
  <c r="AH99" i="1"/>
  <c r="AH379" i="1"/>
  <c r="AH373" i="1"/>
  <c r="AH331" i="1"/>
  <c r="AH582" i="1"/>
  <c r="AH392" i="1"/>
  <c r="AH136" i="1"/>
  <c r="AH531" i="1"/>
  <c r="AH287" i="1"/>
  <c r="AH70" i="1"/>
  <c r="AH588" i="1"/>
  <c r="AH315" i="1"/>
  <c r="AH45" i="1"/>
  <c r="AH128" i="1"/>
  <c r="AH412" i="1"/>
  <c r="AH467" i="1"/>
  <c r="AH318" i="1"/>
  <c r="AH381" i="1"/>
  <c r="AH265" i="1"/>
  <c r="AH75" i="1"/>
  <c r="AH209" i="1"/>
  <c r="AH241" i="1"/>
  <c r="AH526" i="1"/>
  <c r="AH433" i="1"/>
  <c r="AH461" i="1"/>
  <c r="AH396" i="1"/>
  <c r="AH48" i="1"/>
  <c r="AH337" i="1"/>
  <c r="AH316" i="1"/>
  <c r="AH307" i="1"/>
  <c r="AH293" i="1"/>
  <c r="AH34" i="1"/>
  <c r="AH584" i="1"/>
  <c r="AH112" i="1"/>
  <c r="AH161" i="1"/>
  <c r="AH67" i="1"/>
  <c r="AH249" i="1"/>
  <c r="AH497" i="1"/>
  <c r="AH256" i="1"/>
  <c r="AH539" i="1"/>
  <c r="AH188" i="1"/>
  <c r="AH325" i="1"/>
  <c r="AH451" i="1"/>
  <c r="AH172" i="1"/>
  <c r="AH285" i="1"/>
  <c r="AH414" i="1"/>
  <c r="AH346" i="1"/>
  <c r="AH121" i="1"/>
  <c r="AH68" i="1"/>
  <c r="AH160" i="1"/>
  <c r="AH576" i="1"/>
  <c r="AH551" i="1"/>
  <c r="AH345" i="1"/>
  <c r="AH403" i="1"/>
  <c r="AH151" i="1"/>
  <c r="AH190" i="1"/>
  <c r="AH335" i="1"/>
  <c r="AH471" i="1"/>
  <c r="AH137" i="1"/>
  <c r="AH266" i="1"/>
  <c r="AH448" i="1"/>
  <c r="AH521" i="1"/>
  <c r="AH230" i="1"/>
  <c r="AH260" i="1"/>
  <c r="AH442" i="1"/>
  <c r="AH519" i="1"/>
  <c r="AH350" i="1"/>
  <c r="AH546" i="1"/>
  <c r="AH107" i="1"/>
  <c r="AH505" i="1"/>
  <c r="AH52" i="1"/>
  <c r="AH300" i="1"/>
  <c r="AH399" i="1"/>
  <c r="AH130" i="1"/>
  <c r="AH60" i="1"/>
  <c r="AH177" i="1"/>
  <c r="AH87" i="1"/>
  <c r="AH544" i="1"/>
  <c r="AH404" i="1"/>
  <c r="AH134" i="1"/>
  <c r="AH494" i="1"/>
  <c r="AH207" i="1"/>
  <c r="AH382" i="1"/>
  <c r="AH485" i="1"/>
  <c r="AH114" i="1"/>
  <c r="AH139" i="1"/>
  <c r="AH290" i="1"/>
  <c r="AH231" i="1"/>
  <c r="AH514" i="1"/>
  <c r="AH133" i="1"/>
  <c r="AH152" i="1"/>
  <c r="AH131" i="1"/>
  <c r="AH264" i="1"/>
  <c r="AH92" i="1"/>
  <c r="AH164" i="1"/>
  <c r="AH449" i="1"/>
  <c r="AH578" i="1"/>
  <c r="AH328" i="1"/>
  <c r="AH214" i="1"/>
  <c r="AH326" i="1"/>
  <c r="AH165" i="1"/>
  <c r="AH567" i="1"/>
  <c r="AH474" i="1"/>
  <c r="AH80" i="1"/>
  <c r="AH220" i="1"/>
  <c r="AH475" i="1"/>
  <c r="AH66" i="1"/>
  <c r="AH166" i="1"/>
  <c r="AH41" i="1"/>
  <c r="AH283" i="1"/>
  <c r="AH395" i="1"/>
  <c r="AH374" i="1"/>
  <c r="AH275" i="1"/>
  <c r="AH572" i="1"/>
  <c r="AH304" i="1"/>
  <c r="AH180" i="1"/>
  <c r="AH566" i="1"/>
  <c r="AH590" i="1"/>
  <c r="AH504" i="1"/>
  <c r="AH246" i="1"/>
  <c r="AH191" i="1"/>
  <c r="AH240" i="1"/>
  <c r="AH437" i="1"/>
  <c r="AH355" i="1"/>
  <c r="AH278" i="1"/>
  <c r="AH65" i="1"/>
  <c r="AH186" i="1"/>
  <c r="AH557" i="1"/>
  <c r="AH262" i="1"/>
  <c r="AH496" i="1"/>
  <c r="AH480" i="1"/>
  <c r="AH29" i="1"/>
  <c r="AH77" i="1"/>
  <c r="AH370" i="1"/>
  <c r="AH201" i="1"/>
  <c r="AH516" i="1"/>
  <c r="AH129" i="1"/>
  <c r="AH9" i="1"/>
  <c r="AH477" i="1"/>
  <c r="AH255" i="1"/>
  <c r="AH583" i="1"/>
  <c r="AH528" i="1"/>
  <c r="AH153" i="1"/>
  <c r="AH571" i="1"/>
  <c r="AH435" i="1"/>
  <c r="AH517" i="1"/>
  <c r="AH347" i="1"/>
  <c r="AH237" i="1"/>
  <c r="AH72" i="1"/>
  <c r="AH47" i="1"/>
  <c r="AH550" i="1"/>
  <c r="AH295" i="1"/>
  <c r="AH216" i="1"/>
  <c r="AH364" i="1"/>
  <c r="AH288" i="1"/>
  <c r="AH158" i="1"/>
  <c r="AH123" i="1"/>
  <c r="AH168" i="1"/>
  <c r="AH156" i="1"/>
  <c r="AH386" i="1"/>
  <c r="AH585" i="1"/>
  <c r="AH301" i="1"/>
  <c r="AH591" i="1"/>
  <c r="AH401" i="1"/>
  <c r="AH506" i="1"/>
  <c r="AH417" i="1"/>
  <c r="AH286" i="1"/>
  <c r="AH594" i="1"/>
  <c r="AH76" i="1"/>
  <c r="AH40" i="1"/>
  <c r="AH529" i="1"/>
  <c r="AH555" i="1"/>
  <c r="AH247" i="1"/>
  <c r="AH438" i="1"/>
  <c r="AH291" i="1"/>
  <c r="AH479" i="1"/>
  <c r="AH215" i="1"/>
  <c r="AH21" i="1"/>
  <c r="AH312" i="1"/>
  <c r="AH372" i="1"/>
  <c r="AH356" i="1"/>
  <c r="AH491" i="1"/>
  <c r="AH226" i="1"/>
  <c r="AH306" i="1"/>
  <c r="AH127" i="1"/>
  <c r="AH476" i="1"/>
  <c r="AH135" i="1"/>
  <c r="AH545" i="1"/>
  <c r="AH422" i="1"/>
  <c r="AH198" i="1"/>
  <c r="AH24" i="1"/>
  <c r="AH244" i="1"/>
  <c r="AH91" i="1"/>
  <c r="AH596" i="1"/>
  <c r="AH297" i="1"/>
  <c r="AH575" i="1"/>
  <c r="AH445" i="1"/>
  <c r="AH387" i="1"/>
  <c r="AH534" i="1"/>
  <c r="AH311" i="1"/>
  <c r="AH465" i="1"/>
  <c r="AH597" i="1"/>
  <c r="AH238" i="1"/>
  <c r="AH351" i="1"/>
  <c r="AH439" i="1"/>
  <c r="AH535" i="1"/>
  <c r="AH406" i="1"/>
  <c r="AH334" i="1"/>
  <c r="AH53" i="1"/>
  <c r="AH96" i="1"/>
  <c r="AH276" i="1"/>
  <c r="AH31" i="1"/>
  <c r="AH434" i="1"/>
  <c r="AH369" i="1"/>
  <c r="AH213" i="1"/>
  <c r="AH378" i="1"/>
  <c r="AH498" i="1"/>
  <c r="AH78" i="1"/>
  <c r="AH141" i="1"/>
  <c r="AH493" i="1"/>
  <c r="AH317" i="1"/>
  <c r="AH35" i="1"/>
  <c r="AH361" i="1"/>
  <c r="AH310" i="1"/>
  <c r="AH143" i="1"/>
  <c r="AH452" i="1"/>
  <c r="AH454" i="1"/>
  <c r="AH32" i="1"/>
  <c r="AH524" i="1"/>
  <c r="AH277" i="1"/>
  <c r="AH199" i="1"/>
  <c r="AH73" i="1"/>
  <c r="AH508" i="1"/>
  <c r="AH193" i="1"/>
  <c r="AH402" i="1"/>
  <c r="AH495" i="1"/>
  <c r="AH394" i="1"/>
  <c r="AH478" i="1"/>
  <c r="AH117" i="1"/>
  <c r="AH518" i="1"/>
  <c r="AH492" i="1"/>
  <c r="AH481" i="1"/>
  <c r="AH489" i="1"/>
  <c r="AH86" i="1"/>
  <c r="AH202" i="1"/>
  <c r="AH552" i="1"/>
  <c r="AH90" i="1"/>
  <c r="AH336" i="1"/>
  <c r="AH84" i="1"/>
  <c r="AH269" i="1"/>
  <c r="AH538" i="1"/>
  <c r="AH430" i="1"/>
  <c r="AH105" i="1"/>
  <c r="AH390" i="1"/>
  <c r="AH432" i="1"/>
  <c r="AH362" i="1"/>
  <c r="AH118" i="1"/>
  <c r="AH587" i="1"/>
  <c r="AH192" i="1"/>
  <c r="AH110" i="1"/>
  <c r="AH251" i="1"/>
  <c r="AH490" i="1"/>
  <c r="AH217" i="1"/>
  <c r="AH348" i="1"/>
  <c r="AH142" i="1"/>
  <c r="AH458" i="1"/>
  <c r="AH371" i="1"/>
  <c r="AH106" i="1"/>
  <c r="AH103" i="1"/>
  <c r="AH159" i="1"/>
  <c r="AH367" i="1"/>
  <c r="AH568" i="1"/>
  <c r="AH206" i="1"/>
  <c r="AH560" i="1"/>
  <c r="AH420" i="1"/>
  <c r="AH436" i="1"/>
  <c r="AH409" i="1"/>
  <c r="AH94" i="1"/>
  <c r="AH62" i="1"/>
  <c r="AH74" i="1"/>
  <c r="AH343" i="1"/>
  <c r="AH185" i="1"/>
  <c r="AH228" i="1"/>
  <c r="AH330" i="1"/>
  <c r="AH100" i="1"/>
  <c r="AH513" i="1"/>
  <c r="AH558" i="1"/>
  <c r="AH267" i="1"/>
  <c r="AH179" i="1"/>
  <c r="AH225" i="1"/>
  <c r="AH323" i="1"/>
  <c r="AH327" i="1"/>
  <c r="AH540" i="1"/>
  <c r="AH71" i="1"/>
  <c r="AH530" i="1"/>
  <c r="AH377" i="1"/>
  <c r="AH368" i="1"/>
  <c r="AH197" i="1"/>
  <c r="AH586" i="1"/>
  <c r="AH599" i="1"/>
  <c r="AH359" i="1"/>
  <c r="AH353" i="1"/>
  <c r="AH547" i="1"/>
  <c r="AH450" i="1"/>
  <c r="AH98" i="1"/>
  <c r="AH360" i="1"/>
  <c r="AH232" i="1"/>
  <c r="AH589" i="1"/>
  <c r="AH411" i="1"/>
  <c r="AH400" i="1"/>
  <c r="AH51" i="1"/>
  <c r="AH284" i="1"/>
  <c r="AH126" i="1"/>
  <c r="AH59" i="1"/>
  <c r="AH303" i="1"/>
  <c r="AH281" i="1"/>
  <c r="AH211" i="1"/>
  <c r="AH470" i="1"/>
  <c r="AH274" i="1"/>
  <c r="AH510" i="1"/>
  <c r="AH253" i="1"/>
  <c r="AH556" i="1"/>
  <c r="AH261" i="1"/>
  <c r="AH157" i="1"/>
  <c r="AH413" i="1"/>
  <c r="AH415" i="1"/>
  <c r="AH522" i="1"/>
  <c r="AH533" i="1"/>
  <c r="AH270" i="1"/>
  <c r="AH416" i="1"/>
  <c r="AH195" i="1"/>
  <c r="AH227" i="1"/>
  <c r="AH580" i="1"/>
  <c r="AH233" i="1"/>
  <c r="AH171" i="1"/>
  <c r="AH447" i="1"/>
  <c r="AH543" i="1"/>
  <c r="AH407" i="1"/>
  <c r="AH63" i="1"/>
  <c r="AH271" i="1"/>
  <c r="AH527" i="1"/>
  <c r="AH500" i="1"/>
  <c r="AH187" i="1"/>
  <c r="AH525" i="1"/>
  <c r="AH219" i="1"/>
  <c r="AH563" i="1"/>
  <c r="AH221" i="1"/>
  <c r="AH234" i="1"/>
  <c r="AH520" i="1"/>
  <c r="AH88" i="1"/>
  <c r="AH85" i="1"/>
  <c r="AH263" i="1"/>
  <c r="AH69" i="1"/>
  <c r="AH33" i="1"/>
  <c r="AH398" i="1"/>
  <c r="AH457" i="1"/>
  <c r="AH124" i="1"/>
  <c r="AH268" i="1"/>
  <c r="AH561" i="1"/>
  <c r="AH339" i="1"/>
  <c r="AH205" i="1"/>
  <c r="AH254" i="1"/>
  <c r="AH242" i="1"/>
  <c r="AH248" i="1"/>
  <c r="AH272" i="1"/>
  <c r="AH245" i="1"/>
  <c r="AH102" i="1"/>
  <c r="AH61" i="1"/>
  <c r="AH39" i="1"/>
  <c r="AH163" i="1"/>
  <c r="AH119" i="1"/>
  <c r="AH319" i="1"/>
  <c r="AH167" i="1"/>
  <c r="AH455" i="1"/>
  <c r="AH132" i="1"/>
  <c r="AH577" i="1"/>
  <c r="AH397" i="1"/>
  <c r="AH366" i="1"/>
  <c r="AH115" i="1"/>
  <c r="AH333" i="1"/>
  <c r="AH224" i="1"/>
  <c r="AH532" i="1"/>
  <c r="AH428" i="1"/>
  <c r="AH169" i="1"/>
  <c r="AH82" i="1"/>
  <c r="AH54" i="1"/>
  <c r="AH595" i="1"/>
  <c r="AH463" i="1"/>
  <c r="AH408" i="1"/>
  <c r="AH97" i="1"/>
  <c r="AH391" i="1"/>
  <c r="AH259" i="1"/>
  <c r="AH456" i="1"/>
  <c r="AH146" i="1"/>
  <c r="AH147" i="1"/>
  <c r="AH116" i="1"/>
  <c r="AH324" i="1"/>
  <c r="AH425" i="1"/>
  <c r="AH89" i="1"/>
  <c r="AH250" i="1"/>
  <c r="AH483" i="1"/>
  <c r="AH229" i="1"/>
  <c r="AH212" i="1"/>
  <c r="AH308" i="1"/>
  <c r="AH423" i="1"/>
  <c r="AH507" i="1"/>
  <c r="AH144" i="1"/>
  <c r="AH280" i="1"/>
  <c r="AH523" i="1"/>
  <c r="AH204" i="1"/>
  <c r="AH42" i="1"/>
  <c r="AH549" i="1"/>
  <c r="AH541" i="1"/>
  <c r="AH173" i="1"/>
  <c r="AH329" i="1"/>
  <c r="AH101" i="1"/>
  <c r="AH155" i="1"/>
  <c r="AH46" i="1"/>
  <c r="AH579" i="1"/>
  <c r="AH375" i="1"/>
  <c r="AH459" i="1"/>
  <c r="AH487" i="1"/>
  <c r="AH503" i="1"/>
  <c r="AH19" i="1"/>
  <c r="AH365" i="1"/>
  <c r="AH79" i="1"/>
  <c r="AH393" i="1"/>
  <c r="AH174" i="1"/>
  <c r="AH111" i="1"/>
  <c r="AH462" i="1"/>
  <c r="AH511" i="1"/>
  <c r="AH44" i="1"/>
  <c r="AH36" i="1"/>
  <c r="AH10" i="1"/>
  <c r="AH564" i="1"/>
  <c r="AH482" i="1"/>
  <c r="AH460" i="1"/>
  <c r="AH440" i="1"/>
  <c r="AH125" i="1"/>
  <c r="AH342" i="1"/>
  <c r="AH405" i="1"/>
  <c r="AH338" i="1"/>
  <c r="AH210" i="1"/>
  <c r="AH122" i="1"/>
  <c r="AH22" i="1"/>
  <c r="AH64" i="1"/>
  <c r="AH302" i="1"/>
  <c r="AH410" i="1"/>
  <c r="AH574" i="1"/>
  <c r="AH341" i="1"/>
  <c r="AH113" i="1"/>
  <c r="AH421" i="1"/>
  <c r="AH296" i="1"/>
  <c r="AH223" i="1"/>
  <c r="AH282" i="1"/>
  <c r="AH472" i="1"/>
  <c r="AH554" i="1"/>
  <c r="AH200" i="1"/>
  <c r="AH279" i="1"/>
  <c r="AH592" i="1"/>
  <c r="AH499" i="1"/>
  <c r="AH176" i="1"/>
  <c r="AH559" i="1"/>
  <c r="AH294" i="1"/>
  <c r="AH26" i="1"/>
  <c r="AH502" i="1"/>
  <c r="AH218" i="1"/>
  <c r="AH441" i="1"/>
  <c r="AH148" i="1"/>
  <c r="AH593" i="1"/>
  <c r="AH23" i="1"/>
  <c r="AH104" i="1"/>
  <c r="AH252" i="1"/>
  <c r="AH273" i="1"/>
  <c r="AH573" i="1"/>
  <c r="AH145" i="1"/>
  <c r="AH257" i="1"/>
  <c r="AH358" i="1"/>
  <c r="AH83" i="1"/>
  <c r="AH305" i="1"/>
  <c r="AH424" i="1"/>
  <c r="AH222" i="1"/>
  <c r="AH25" i="1"/>
  <c r="AH486" i="1"/>
  <c r="AH446" i="1"/>
  <c r="AH443" i="1"/>
  <c r="AH313" i="1"/>
  <c r="AH562" i="1"/>
  <c r="AH349" i="1"/>
  <c r="AH292" i="1"/>
  <c r="AH426" i="1"/>
  <c r="AH57" i="1"/>
  <c r="AH58" i="1"/>
  <c r="AH380" i="1"/>
  <c r="AH344" i="1"/>
  <c r="AH239" i="1"/>
  <c r="AH385" i="1"/>
  <c r="AH194" i="1"/>
  <c r="AH468" i="1"/>
  <c r="AH120" i="1"/>
  <c r="AH138" i="1"/>
  <c r="AH512" i="1"/>
  <c r="AH354" i="1"/>
  <c r="AH444" i="1"/>
  <c r="AH28" i="1"/>
  <c r="AH95" i="1"/>
  <c r="AH20" i="1"/>
  <c r="AH49" i="1"/>
  <c r="AH140" i="1"/>
  <c r="AH178" i="1"/>
  <c r="AH93" i="1"/>
  <c r="AH50" i="1"/>
  <c r="AH203" i="1"/>
  <c r="AH431" i="1"/>
  <c r="AH548" i="1"/>
  <c r="AH388" i="1"/>
  <c r="AH352" i="1"/>
  <c r="AH236" i="1"/>
  <c r="AH150" i="1"/>
  <c r="AH340" i="1"/>
  <c r="AH184" i="1"/>
  <c r="AH473" i="1"/>
  <c r="AH363" i="1"/>
  <c r="AH453" i="1"/>
  <c r="AH149" i="1"/>
  <c r="AH332" i="1"/>
  <c r="AH182" i="1"/>
  <c r="AH466" i="1"/>
  <c r="AH515" i="1"/>
  <c r="AH542" i="1"/>
  <c r="AH501" i="1"/>
  <c r="AE614" i="1"/>
  <c r="AE624" i="1"/>
  <c r="AE630" i="1"/>
  <c r="AE613" i="1"/>
  <c r="AE667" i="1"/>
  <c r="AE681" i="1"/>
  <c r="AE607" i="1"/>
  <c r="AE685" i="1"/>
  <c r="AE669" i="1"/>
  <c r="AE683" i="1"/>
  <c r="AE636" i="1"/>
  <c r="AE653" i="1"/>
  <c r="AE646" i="1"/>
  <c r="AE637" i="1"/>
  <c r="AE610" i="1"/>
  <c r="AE660" i="1"/>
  <c r="AE629" i="1"/>
  <c r="AE673" i="1"/>
  <c r="AE617" i="1"/>
  <c r="AE665" i="1"/>
  <c r="AE641" i="1"/>
  <c r="AE643" i="1"/>
  <c r="AE601" i="1"/>
  <c r="AE640" i="1"/>
  <c r="AE652" i="1"/>
  <c r="AE608" i="1"/>
  <c r="AE649" i="1"/>
  <c r="AE661" i="1"/>
  <c r="AE664" i="1"/>
  <c r="AE625" i="1"/>
  <c r="AE672" i="1"/>
  <c r="AE656" i="1"/>
  <c r="AE670" i="1"/>
  <c r="AE682" i="1"/>
  <c r="AE655" i="1"/>
  <c r="AE606" i="1"/>
  <c r="AE609" i="1"/>
  <c r="AE647" i="1"/>
  <c r="AE689" i="1"/>
  <c r="AE620" i="1"/>
  <c r="AE679" i="1"/>
  <c r="AE678" i="1"/>
  <c r="AE688" i="1"/>
  <c r="AE684" i="1"/>
  <c r="AE676" i="1"/>
  <c r="AE668" i="1"/>
  <c r="AE691" i="1"/>
  <c r="AE657" i="1"/>
  <c r="AE622" i="1"/>
  <c r="AE644" i="1"/>
  <c r="AE619" i="1"/>
  <c r="AE628" i="1"/>
  <c r="AE642" i="1"/>
  <c r="AE695" i="1"/>
  <c r="AE635" i="1"/>
  <c r="AE686" i="1"/>
  <c r="AE645" i="1"/>
  <c r="AE602" i="1"/>
  <c r="AE633" i="1"/>
  <c r="AE650" i="1"/>
  <c r="AE627" i="1"/>
  <c r="AE618" i="1"/>
  <c r="AE659" i="1"/>
  <c r="AE671" i="1"/>
  <c r="AE666" i="1"/>
  <c r="AE616" i="1"/>
  <c r="AE648" i="1"/>
  <c r="AE623" i="1"/>
  <c r="AE621" i="1"/>
  <c r="AE662" i="1"/>
  <c r="AE615" i="1"/>
  <c r="AE638" i="1"/>
  <c r="AE611" i="1"/>
  <c r="AE694" i="1"/>
  <c r="AE677" i="1"/>
  <c r="AE687" i="1"/>
  <c r="AE696" i="1"/>
  <c r="AE654" i="1"/>
  <c r="AE612" i="1"/>
  <c r="AE674" i="1"/>
  <c r="AE604" i="1"/>
  <c r="AE699" i="1"/>
  <c r="AE634" i="1"/>
  <c r="AE692" i="1"/>
  <c r="AE690" i="1"/>
  <c r="AE675" i="1"/>
  <c r="AE698" i="1"/>
  <c r="AE605" i="1"/>
  <c r="AE693" i="1"/>
  <c r="AE632" i="1"/>
  <c r="AE626" i="1"/>
  <c r="AE603" i="1"/>
  <c r="AE680" i="1"/>
  <c r="AE639" i="1"/>
  <c r="AE658" i="1"/>
  <c r="AE631" i="1"/>
  <c r="AE651" i="1"/>
  <c r="AE697" i="1"/>
  <c r="AE663" i="1"/>
  <c r="AH18" i="1" a="1"/>
  <c r="AH17" i="1" a="1"/>
  <c r="AH16" i="1" a="1"/>
  <c r="AH13" i="1" a="1"/>
  <c r="AH15" i="1" a="1"/>
  <c r="AH14" i="1" a="1"/>
  <c r="AH12" i="1" a="1"/>
  <c r="AH11" i="1" a="1"/>
  <c r="AI419" i="1" a="1"/>
  <c r="AI320" i="1" a="1"/>
  <c r="AI183" i="1" a="1"/>
  <c r="AI243" i="1" a="1"/>
  <c r="AI235" i="1" a="1"/>
  <c r="AI531" i="1" a="1"/>
  <c r="AI265" i="1" a="1"/>
  <c r="AI293" i="1" a="1"/>
  <c r="AI451" i="1" a="1"/>
  <c r="AI151" i="1" a="1"/>
  <c r="AI519" i="1" a="1"/>
  <c r="AI544" i="1" a="1"/>
  <c r="AI133" i="1" a="1"/>
  <c r="AI567" i="1" a="1"/>
  <c r="AI572" i="1" a="1"/>
  <c r="AI65" i="1" a="1"/>
  <c r="AI9" i="1" a="1"/>
  <c r="AI47" i="1" a="1"/>
  <c r="AI301" i="1" a="1"/>
  <c r="AI438" i="1" a="1"/>
  <c r="AI127" i="1" a="1"/>
  <c r="AI445" i="1" a="1"/>
  <c r="AI334" i="1" a="1"/>
  <c r="AI493" i="1" a="1"/>
  <c r="AI489" i="1" a="1"/>
  <c r="AI432" i="1" a="1"/>
  <c r="AI371" i="1" a="1"/>
  <c r="AI94" i="1" a="1"/>
  <c r="AI225" i="1" a="1"/>
  <c r="AI353" i="1" a="1"/>
  <c r="AI59" i="1" a="1"/>
  <c r="AI415" i="1" a="1"/>
  <c r="AI407" i="1" a="1"/>
  <c r="AI88" i="1" a="1"/>
  <c r="AI254" i="1" a="1"/>
  <c r="AI455" i="1" a="1"/>
  <c r="AI54" i="1" a="1"/>
  <c r="AI425" i="1" a="1"/>
  <c r="AI204" i="1" a="1"/>
  <c r="AI487" i="1" a="1"/>
  <c r="AI10" i="1" a="1"/>
  <c r="AI64" i="1" a="1"/>
  <c r="AI200" i="1" a="1"/>
  <c r="AI593" i="1" a="1"/>
  <c r="AI222" i="1" a="1"/>
  <c r="AI58" i="1" a="1"/>
  <c r="AI28" i="1" a="1"/>
  <c r="AI352" i="1" a="1"/>
  <c r="AI515" i="1" a="1"/>
  <c r="AI104" i="1" a="1"/>
  <c r="AI486" i="1" a="1"/>
  <c r="AI150" i="1" a="1"/>
  <c r="AI239" i="1" a="1"/>
  <c r="AI464" i="1" a="1"/>
  <c r="AI315" i="1" a="1"/>
  <c r="AI471" i="1" a="1"/>
  <c r="AI207" i="1" a="1"/>
  <c r="AI590" i="1" a="1"/>
  <c r="AI364" i="1" a="1"/>
  <c r="AI21" i="1" a="1"/>
  <c r="AI422" i="1" a="1"/>
  <c r="AI31" i="1" a="1"/>
  <c r="AI192" i="1" a="1"/>
  <c r="AI185" i="1" a="1"/>
  <c r="AI416" i="1" a="1"/>
  <c r="AI245" i="1" a="1"/>
  <c r="AI229" i="1" a="1"/>
  <c r="AI440" i="1" a="1"/>
  <c r="AI273" i="1" a="1"/>
  <c r="AI184" i="1" a="1"/>
  <c r="AI288" i="1" a="1"/>
  <c r="AI110" i="1" a="1"/>
  <c r="AI187" i="1" a="1"/>
  <c r="AI329" i="1" a="1"/>
  <c r="AI194" i="1" a="1"/>
  <c r="AI81" i="1" a="1"/>
  <c r="AI379" i="1" a="1"/>
  <c r="AI461" i="1" a="1"/>
  <c r="AI68" i="1" a="1"/>
  <c r="AI300" i="1" a="1"/>
  <c r="AI449" i="1" a="1"/>
  <c r="AI246" i="1" a="1"/>
  <c r="AI571" i="1" a="1"/>
  <c r="AI158" i="1" a="1"/>
  <c r="AI24" i="1" a="1"/>
  <c r="AI452" i="1" a="1"/>
  <c r="AI251" i="1" a="1"/>
  <c r="AI377" i="1" a="1"/>
  <c r="AI227" i="1" a="1"/>
  <c r="AI61" i="1" a="1"/>
  <c r="AI101" i="1" a="1"/>
  <c r="AI342" i="1" a="1"/>
  <c r="AI562" i="1" a="1"/>
  <c r="AI363" i="1" a="1"/>
  <c r="AI38" i="1" a="1"/>
  <c r="AI213" i="1" a="1"/>
  <c r="AI224" i="1" a="1"/>
  <c r="AI50" i="1" a="1"/>
  <c r="AI108" i="1" a="1"/>
  <c r="AI331" i="1" a="1"/>
  <c r="AI48" i="1" a="1"/>
  <c r="AI256" i="1" a="1"/>
  <c r="AI139" i="1" a="1"/>
  <c r="AI283" i="1" a="1"/>
  <c r="AI517" i="1" a="1"/>
  <c r="AI91" i="1" a="1"/>
  <c r="AI378" i="1" a="1"/>
  <c r="AI117" i="1" a="1"/>
  <c r="AI420" i="1" a="1"/>
  <c r="AI400" i="1" a="1"/>
  <c r="AI233" i="1" a="1"/>
  <c r="AI163" i="1" a="1"/>
  <c r="AI507" i="1" a="1"/>
  <c r="AI338" i="1" a="1"/>
  <c r="AI349" i="1" a="1"/>
  <c r="AI149" i="1" a="1"/>
  <c r="AI208" i="1" a="1"/>
  <c r="AI156" i="1" a="1"/>
  <c r="AI558" i="1" a="1"/>
  <c r="AI147" i="1" a="1"/>
  <c r="AI292" i="1" a="1"/>
  <c r="AI170" i="1" a="1"/>
  <c r="AI392" i="1" a="1"/>
  <c r="AI316" i="1" a="1"/>
  <c r="AI188" i="1" a="1"/>
  <c r="AI260" i="1" a="1"/>
  <c r="AI231" i="1" a="1"/>
  <c r="AI374" i="1" a="1"/>
  <c r="AI516" i="1" a="1"/>
  <c r="AI555" i="1" a="1"/>
  <c r="AI535" i="1" a="1"/>
  <c r="AI78" i="1" a="1"/>
  <c r="AI492" i="1" a="1"/>
  <c r="AI105" i="1" a="1"/>
  <c r="AI409" i="1" a="1"/>
  <c r="AI599" i="1" a="1"/>
  <c r="AI447" i="1" a="1"/>
  <c r="AI339" i="1" a="1"/>
  <c r="AI169" i="1" a="1"/>
  <c r="AI375" i="1" a="1"/>
  <c r="AI472" i="1" a="1"/>
  <c r="AI426" i="1" a="1"/>
  <c r="AI182" i="1" a="1"/>
  <c r="AI322" i="1" a="1"/>
  <c r="AI72" i="1" a="1"/>
  <c r="AI82" i="1" a="1"/>
  <c r="AI57" i="1" a="1"/>
  <c r="AI109" i="1" a="1"/>
  <c r="AI258" i="1" a="1"/>
  <c r="AI427" i="1" a="1"/>
  <c r="AI384" i="1" a="1"/>
  <c r="AI55" i="1" a="1"/>
  <c r="AI287" i="1" a="1"/>
  <c r="AI75" i="1" a="1"/>
  <c r="AI34" i="1" a="1"/>
  <c r="AI172" i="1" a="1"/>
  <c r="AI190" i="1" a="1"/>
  <c r="AI350" i="1" a="1"/>
  <c r="AI404" i="1" a="1"/>
  <c r="AI152" i="1" a="1"/>
  <c r="AI474" i="1" a="1"/>
  <c r="AI304" i="1" a="1"/>
  <c r="AI186" i="1" a="1"/>
  <c r="AI477" i="1" a="1"/>
  <c r="AI550" i="1" a="1"/>
  <c r="AI591" i="1" a="1"/>
  <c r="AI291" i="1" a="1"/>
  <c r="AI476" i="1" a="1"/>
  <c r="AI387" i="1" a="1"/>
  <c r="AI53" i="1" a="1"/>
  <c r="AI317" i="1" a="1"/>
  <c r="AI73" i="1" a="1"/>
  <c r="AI86" i="1" a="1"/>
  <c r="AI362" i="1" a="1"/>
  <c r="AI106" i="1" a="1"/>
  <c r="AI62" i="1" a="1"/>
  <c r="AI323" i="1" a="1"/>
  <c r="AI547" i="1" a="1"/>
  <c r="AI303" i="1" a="1"/>
  <c r="AI522" i="1" a="1"/>
  <c r="AI63" i="1" a="1"/>
  <c r="AI85" i="1" a="1"/>
  <c r="AI242" i="1" a="1"/>
  <c r="AI132" i="1" a="1"/>
  <c r="AI595" i="1" a="1"/>
  <c r="AI89" i="1" a="1"/>
  <c r="AI42" i="1" a="1"/>
  <c r="AI503" i="1" a="1"/>
  <c r="AI564" i="1" a="1"/>
  <c r="AI302" i="1" a="1"/>
  <c r="AI279" i="1" a="1"/>
  <c r="AI23" i="1" a="1"/>
  <c r="AI25" i="1" a="1"/>
  <c r="AI380" i="1" a="1"/>
  <c r="AI95" i="1" a="1"/>
  <c r="AI236" i="1" a="1"/>
  <c r="AI542" i="1" a="1"/>
  <c r="AI592" i="1" a="1"/>
  <c r="AI20" i="1" a="1"/>
  <c r="AI501" i="1" a="1"/>
  <c r="AI49" i="1" a="1"/>
  <c r="AI175" i="1" a="1"/>
  <c r="AI299" i="1" a="1"/>
  <c r="AI526" i="1" a="1"/>
  <c r="AI161" i="1" a="1"/>
  <c r="AI346" i="1" a="1"/>
  <c r="AI505" i="1" a="1"/>
  <c r="AI92" i="1" a="1"/>
  <c r="AI496" i="1" a="1"/>
  <c r="AI417" i="1" a="1"/>
  <c r="AI465" i="1" a="1"/>
  <c r="AI90" i="1" a="1"/>
  <c r="AI367" i="1" a="1"/>
  <c r="AI71" i="1" a="1"/>
  <c r="AI470" i="1" a="1"/>
  <c r="AI33" i="1" a="1"/>
  <c r="AI97" i="1" a="1"/>
  <c r="AI79" i="1" a="1"/>
  <c r="AI176" i="1" a="1"/>
  <c r="AI385" i="1" a="1"/>
  <c r="AI309" i="1" a="1"/>
  <c r="AI480" i="1" a="1"/>
  <c r="AI495" i="1" a="1"/>
  <c r="AI232" i="1" a="1"/>
  <c r="AI391" i="1" a="1"/>
  <c r="AI559" i="1" a="1"/>
  <c r="AI181" i="1" a="1"/>
  <c r="AI128" i="1" a="1"/>
  <c r="AI249" i="1" a="1"/>
  <c r="AI266" i="1" a="1"/>
  <c r="AI485" i="1" a="1"/>
  <c r="AI166" i="1" a="1"/>
  <c r="AI29" i="1" a="1"/>
  <c r="AI372" i="1" a="1"/>
  <c r="AI369" i="1" a="1"/>
  <c r="AI394" i="1" a="1"/>
  <c r="AI84" i="1" a="1"/>
  <c r="AI206" i="1" a="1"/>
  <c r="AI589" i="1" a="1"/>
  <c r="AI525" i="1" a="1"/>
  <c r="AI457" i="1" a="1"/>
  <c r="AI259" i="1" a="1"/>
  <c r="AI174" i="1" a="1"/>
  <c r="AI294" i="1" a="1"/>
  <c r="AI468" i="1" a="1"/>
  <c r="AI469" i="1" a="1"/>
  <c r="AI454" i="1" a="1"/>
  <c r="AI456" i="1" a="1"/>
  <c r="AI453" i="1" a="1"/>
  <c r="AI321" i="1" a="1"/>
  <c r="AI412" i="1" a="1"/>
  <c r="AI576" i="1" a="1"/>
  <c r="AI328" i="1" a="1"/>
  <c r="AI240" i="1" a="1"/>
  <c r="AI370" i="1" a="1"/>
  <c r="AI40" i="1" a="1"/>
  <c r="AI351" i="1" a="1"/>
  <c r="AI32" i="1" a="1"/>
  <c r="AI217" i="1" a="1"/>
  <c r="AI197" i="1" a="1"/>
  <c r="AI563" i="1" a="1"/>
  <c r="AI532" i="1" a="1"/>
  <c r="AI46" i="1" a="1"/>
  <c r="AI223" i="1" a="1"/>
  <c r="AI358" i="1" a="1"/>
  <c r="AI203" i="1" a="1"/>
  <c r="AI376" i="1" a="1"/>
  <c r="AI529" i="1" a="1"/>
  <c r="AI586" i="1" a="1"/>
  <c r="AI579" i="1" a="1"/>
  <c r="AI431" i="1" a="1"/>
  <c r="AI383" i="1" a="1"/>
  <c r="AI318" i="1" a="1"/>
  <c r="AI345" i="1" a="1"/>
  <c r="AI177" i="1" a="1"/>
  <c r="AI326" i="1" a="1"/>
  <c r="AI355" i="1" a="1"/>
  <c r="AI237" i="1" a="1"/>
  <c r="AI297" i="1" a="1"/>
  <c r="AI277" i="1" a="1"/>
  <c r="AI142" i="1" a="1"/>
  <c r="AI284" i="1" a="1"/>
  <c r="AI234" i="1" a="1"/>
  <c r="AI319" i="1" a="1"/>
  <c r="AI280" i="1" a="1"/>
  <c r="AI122" i="1" a="1"/>
  <c r="AI441" i="1" a="1"/>
  <c r="AI354" i="1" a="1"/>
  <c r="AI298" i="1" a="1"/>
  <c r="AI575" i="1" a="1"/>
  <c r="AI543" i="1" a="1"/>
  <c r="AI554" i="1" a="1"/>
  <c r="AI536" i="1" a="1"/>
  <c r="AI37" i="1" a="1"/>
  <c r="AI537" i="1" a="1"/>
  <c r="AI553" i="1" a="1"/>
  <c r="AI27" i="1" a="1"/>
  <c r="AI70" i="1" a="1"/>
  <c r="AI209" i="1" a="1"/>
  <c r="AI584" i="1" a="1"/>
  <c r="AI285" i="1" a="1"/>
  <c r="AI335" i="1" a="1"/>
  <c r="AI546" i="1" a="1"/>
  <c r="AI134" i="1" a="1"/>
  <c r="AI131" i="1" a="1"/>
  <c r="AI80" i="1" a="1"/>
  <c r="AI180" i="1" a="1"/>
  <c r="AI557" i="1" a="1"/>
  <c r="AI255" i="1" a="1"/>
  <c r="AI295" i="1" a="1"/>
  <c r="AI401" i="1" a="1"/>
  <c r="AI479" i="1" a="1"/>
  <c r="AI135" i="1" a="1"/>
  <c r="AI534" i="1" a="1"/>
  <c r="AI96" i="1" a="1"/>
  <c r="AI35" i="1" a="1"/>
  <c r="AI508" i="1" a="1"/>
  <c r="AI202" i="1" a="1"/>
  <c r="AI118" i="1" a="1"/>
  <c r="AI103" i="1" a="1"/>
  <c r="AI74" i="1" a="1"/>
  <c r="AI327" i="1" a="1"/>
  <c r="AI450" i="1" a="1"/>
  <c r="AI281" i="1" a="1"/>
  <c r="AI533" i="1" a="1"/>
  <c r="AI271" i="1" a="1"/>
  <c r="AI263" i="1" a="1"/>
  <c r="AI248" i="1" a="1"/>
  <c r="AI577" i="1" a="1"/>
  <c r="AI463" i="1" a="1"/>
  <c r="AI250" i="1" a="1"/>
  <c r="AI549" i="1" a="1"/>
  <c r="AI19" i="1" a="1"/>
  <c r="AI482" i="1" a="1"/>
  <c r="AI410" i="1" a="1"/>
  <c r="AI344" i="1" a="1"/>
  <c r="AI196" i="1" a="1"/>
  <c r="AI475" i="1" a="1"/>
  <c r="AI310" i="1" a="1"/>
  <c r="AI500" i="1" a="1"/>
  <c r="AI173" i="1" a="1"/>
  <c r="AI443" i="1" a="1"/>
  <c r="AI569" i="1" a="1"/>
  <c r="AI99" i="1" a="1"/>
  <c r="AI45" i="1" a="1"/>
  <c r="AI67" i="1" a="1"/>
  <c r="AI52" i="1" a="1"/>
  <c r="AI164" i="1" a="1"/>
  <c r="AI504" i="1" a="1"/>
  <c r="AI286" i="1" a="1"/>
  <c r="AI198" i="1" a="1"/>
  <c r="AI143" i="1" a="1"/>
  <c r="AI568" i="1" a="1"/>
  <c r="AI530" i="1" a="1"/>
  <c r="AI195" i="1" a="1"/>
  <c r="AI398" i="1" a="1"/>
  <c r="AI115" i="1" a="1"/>
  <c r="AI393" i="1" a="1"/>
  <c r="AI573" i="1" a="1"/>
  <c r="AI178" i="1" a="1"/>
  <c r="AI30" i="1" a="1"/>
  <c r="AI597" i="1" a="1"/>
  <c r="AI510" i="1" a="1"/>
  <c r="AI308" i="1" a="1"/>
  <c r="AI145" i="1" a="1"/>
  <c r="AI598" i="1" a="1"/>
  <c r="AI497" i="1" a="1"/>
  <c r="AI448" i="1" a="1"/>
  <c r="AI578" i="1" a="1"/>
  <c r="AI77" i="1" a="1"/>
  <c r="AI123" i="1" a="1"/>
  <c r="AI356" i="1" a="1"/>
  <c r="AI238" i="1" a="1"/>
  <c r="AI269" i="1" a="1"/>
  <c r="AI560" i="1" a="1"/>
  <c r="AI368" i="1" a="1"/>
  <c r="AI253" i="1" a="1"/>
  <c r="AI219" i="1" a="1"/>
  <c r="AI39" i="1" a="1"/>
  <c r="AI155" i="1" a="1"/>
  <c r="AI111" i="1" a="1"/>
  <c r="AI405" i="1" a="1"/>
  <c r="AI296" i="1" a="1"/>
  <c r="AI26" i="1" a="1"/>
  <c r="AI120" i="1" a="1"/>
  <c r="AI43" i="1" a="1"/>
  <c r="AI521" i="1" a="1"/>
  <c r="AI168" i="1" a="1"/>
  <c r="AI538" i="1" a="1"/>
  <c r="AI556" i="1" a="1"/>
  <c r="AI146" i="1" a="1"/>
  <c r="AI502" i="1" a="1"/>
  <c r="AI162" i="1" a="1"/>
  <c r="AI467" i="1" a="1"/>
  <c r="AI539" i="1" a="1"/>
  <c r="AI230" i="1" a="1"/>
  <c r="AI290" i="1" a="1"/>
  <c r="AI395" i="1" a="1"/>
  <c r="AI347" i="1" a="1"/>
  <c r="AI226" i="1" a="1"/>
  <c r="AI439" i="1" a="1"/>
  <c r="AI518" i="1" a="1"/>
  <c r="AI348" i="1" a="1"/>
  <c r="AI51" i="1" a="1"/>
  <c r="AI171" i="1" a="1"/>
  <c r="AI119" i="1" a="1"/>
  <c r="AI144" i="1" a="1"/>
  <c r="AI210" i="1" a="1"/>
  <c r="AI218" i="1" a="1"/>
  <c r="AI512" i="1" a="1"/>
  <c r="AI484" i="1" a="1"/>
  <c r="AI306" i="1" a="1"/>
  <c r="AI157" i="1" a="1"/>
  <c r="AI44" i="1" a="1"/>
  <c r="AI548" i="1" a="1"/>
  <c r="AI189" i="1" a="1"/>
  <c r="AI381" i="1" a="1"/>
  <c r="AI325" i="1" a="1"/>
  <c r="AI442" i="1" a="1"/>
  <c r="AI514" i="1" a="1"/>
  <c r="AI275" i="1" a="1"/>
  <c r="AI129" i="1" a="1"/>
  <c r="AI247" i="1" a="1"/>
  <c r="AI406" i="1" a="1"/>
  <c r="AI199" i="1" a="1"/>
  <c r="AI390" i="1" a="1"/>
  <c r="AI179" i="1" a="1"/>
  <c r="AI126" i="1" a="1"/>
  <c r="AI520" i="1" a="1"/>
  <c r="AI167" i="1" a="1"/>
  <c r="AI324" i="1" a="1"/>
  <c r="AI459" i="1" a="1"/>
  <c r="AI22" i="1" a="1"/>
  <c r="AI424" i="1" a="1"/>
  <c r="AI388" i="1" a="1"/>
  <c r="AI154" i="1" a="1"/>
  <c r="AI56" i="1" a="1"/>
  <c r="AI357" i="1" a="1"/>
  <c r="AI581" i="1" a="1"/>
  <c r="AI429" i="1" a="1"/>
  <c r="AI588" i="1" a="1"/>
  <c r="AI241" i="1" a="1"/>
  <c r="AI112" i="1" a="1"/>
  <c r="AI414" i="1" a="1"/>
  <c r="AI107" i="1" a="1"/>
  <c r="AI494" i="1" a="1"/>
  <c r="AI264" i="1" a="1"/>
  <c r="AI220" i="1" a="1"/>
  <c r="AI566" i="1" a="1"/>
  <c r="AI262" i="1" a="1"/>
  <c r="AI583" i="1" a="1"/>
  <c r="AI216" i="1" a="1"/>
  <c r="AI506" i="1" a="1"/>
  <c r="AI215" i="1" a="1"/>
  <c r="AI545" i="1" a="1"/>
  <c r="AI311" i="1" a="1"/>
  <c r="AI276" i="1" a="1"/>
  <c r="AI361" i="1" a="1"/>
  <c r="AI193" i="1" a="1"/>
  <c r="AI552" i="1" a="1"/>
  <c r="AI587" i="1" a="1"/>
  <c r="AI159" i="1" a="1"/>
  <c r="AI343" i="1" a="1"/>
  <c r="AI540" i="1" a="1"/>
  <c r="AI98" i="1" a="1"/>
  <c r="AI211" i="1" a="1"/>
  <c r="AI270" i="1" a="1"/>
  <c r="AI527" i="1" a="1"/>
  <c r="AI69" i="1" a="1"/>
  <c r="AI272" i="1" a="1"/>
  <c r="AI397" i="1" a="1"/>
  <c r="AI408" i="1" a="1"/>
  <c r="AI483" i="1" a="1"/>
  <c r="AI541" i="1" a="1"/>
  <c r="AI365" i="1" a="1"/>
  <c r="AI460" i="1" a="1"/>
  <c r="AI574" i="1" a="1"/>
  <c r="AI499" i="1" a="1"/>
  <c r="AI252" i="1" a="1"/>
  <c r="AI446" i="1" a="1"/>
  <c r="AI340" i="1" a="1"/>
  <c r="AI565" i="1" a="1"/>
  <c r="AI528" i="1" a="1"/>
  <c r="AI402" i="1" a="1"/>
  <c r="AI360" i="1" a="1"/>
  <c r="AI366" i="1" a="1"/>
  <c r="AI341" i="1" a="1"/>
  <c r="AI140" i="1" a="1"/>
  <c r="AI389" i="1" a="1"/>
  <c r="AI433" i="1" a="1"/>
  <c r="AI121" i="1" a="1"/>
  <c r="AI137" i="1" a="1"/>
  <c r="AI382" i="1" a="1"/>
  <c r="AI66" i="1" a="1"/>
  <c r="AI153" i="1" a="1"/>
  <c r="AI312" i="1" a="1"/>
  <c r="AI434" i="1" a="1"/>
  <c r="AI336" i="1" a="1"/>
  <c r="AI228" i="1" a="1"/>
  <c r="AI274" i="1" a="1"/>
  <c r="AI102" i="1" a="1"/>
  <c r="AI212" i="1" a="1"/>
  <c r="AI125" i="1" a="1"/>
  <c r="AI113" i="1" a="1"/>
  <c r="AI313" i="1" a="1"/>
  <c r="AI473" i="1" a="1"/>
  <c r="AI509" i="1" a="1"/>
  <c r="AI594" i="1" a="1"/>
  <c r="AI330" i="1" a="1"/>
  <c r="AI333" i="1" a="1"/>
  <c r="AI421" i="1" a="1"/>
  <c r="AI93" i="1" a="1"/>
  <c r="AI289" i="1" a="1"/>
  <c r="AI373" i="1" a="1"/>
  <c r="AI396" i="1" a="1"/>
  <c r="AI160" i="1" a="1"/>
  <c r="AI399" i="1" a="1"/>
  <c r="AI114" i="1" a="1"/>
  <c r="AI41" i="1" a="1"/>
  <c r="AI191" i="1" a="1"/>
  <c r="AI435" i="1" a="1"/>
  <c r="AI76" i="1" a="1"/>
  <c r="AI244" i="1" a="1"/>
  <c r="AI478" i="1" a="1"/>
  <c r="AI490" i="1" a="1"/>
  <c r="AI100" i="1" a="1"/>
  <c r="AI411" i="1" a="1"/>
  <c r="AI580" i="1" a="1"/>
  <c r="AI124" i="1" a="1"/>
  <c r="AI423" i="1" a="1"/>
  <c r="AI257" i="1" a="1"/>
  <c r="AI570" i="1" a="1"/>
  <c r="AI130" i="1" a="1"/>
  <c r="AI491" i="1" a="1"/>
  <c r="AI513" i="1" a="1"/>
  <c r="AI268" i="1" a="1"/>
  <c r="AI462" i="1" a="1"/>
  <c r="AI138" i="1" a="1"/>
  <c r="AI488" i="1" a="1"/>
  <c r="AI582" i="1" a="1"/>
  <c r="AI337" i="1" a="1"/>
  <c r="AI551" i="1" a="1"/>
  <c r="AI60" i="1" a="1"/>
  <c r="AI214" i="1" a="1"/>
  <c r="AI437" i="1" a="1"/>
  <c r="AI201" i="1" a="1"/>
  <c r="AI596" i="1" a="1"/>
  <c r="AI498" i="1" a="1"/>
  <c r="AI524" i="1" a="1"/>
  <c r="AI430" i="1" a="1"/>
  <c r="AI436" i="1" a="1"/>
  <c r="AI261" i="1" a="1"/>
  <c r="AI221" i="1" a="1"/>
  <c r="AI561" i="1" a="1"/>
  <c r="AI428" i="1" a="1"/>
  <c r="AI511" i="1" a="1"/>
  <c r="AI282" i="1" a="1"/>
  <c r="AI83" i="1" a="1"/>
  <c r="AI332" i="1" a="1"/>
  <c r="AI418" i="1" a="1"/>
  <c r="AI386" i="1" a="1"/>
  <c r="AI267" i="1" a="1"/>
  <c r="AI116" i="1" a="1"/>
  <c r="AI305" i="1" a="1"/>
  <c r="AI314" i="1" a="1"/>
  <c r="AI136" i="1" a="1"/>
  <c r="AI307" i="1" a="1"/>
  <c r="AI403" i="1" a="1"/>
  <c r="AI87" i="1" a="1"/>
  <c r="AI165" i="1" a="1"/>
  <c r="AI278" i="1" a="1"/>
  <c r="AI585" i="1" a="1"/>
  <c r="AI141" i="1" a="1"/>
  <c r="AI481" i="1" a="1"/>
  <c r="AI458" i="1" a="1"/>
  <c r="AI359" i="1" a="1"/>
  <c r="AI413" i="1" a="1"/>
  <c r="AI205" i="1" a="1"/>
  <c r="AI523" i="1" a="1"/>
  <c r="AI36" i="1" a="1"/>
  <c r="AI148" i="1" a="1"/>
  <c r="AI444" i="1" a="1"/>
  <c r="AI466" i="1" a="1"/>
  <c r="AF660" i="1" a="1"/>
  <c r="AF654" i="1" a="1"/>
  <c r="AF698" i="1" a="1"/>
  <c r="AF631" i="1" a="1"/>
  <c r="AF656" i="1" a="1"/>
  <c r="AF697" i="1" a="1"/>
  <c r="AF662" i="1" a="1"/>
  <c r="AF602" i="1" a="1"/>
  <c r="AF624" i="1" a="1"/>
  <c r="AF632" i="1" a="1"/>
  <c r="AF616" i="1" a="1"/>
  <c r="AF626" i="1" a="1"/>
  <c r="AF620" i="1" a="1"/>
  <c r="AF685" i="1" a="1"/>
  <c r="AF643" i="1" a="1"/>
  <c r="AF696" i="1" a="1"/>
  <c r="AF661" i="1" a="1"/>
  <c r="AF653" i="1" a="1"/>
  <c r="AF684" i="1" a="1"/>
  <c r="AF623" i="1" a="1"/>
  <c r="AF682" i="1" a="1"/>
  <c r="AF647" i="1" a="1"/>
  <c r="AF672" i="1" a="1"/>
  <c r="AF688" i="1" a="1"/>
  <c r="AF607" i="1" a="1"/>
  <c r="AF659" i="1" a="1"/>
  <c r="AF601" i="1" a="1"/>
  <c r="AF676" i="1" a="1"/>
  <c r="AF648" i="1" a="1"/>
  <c r="AF657" i="1" a="1"/>
  <c r="AF667" i="1" a="1"/>
  <c r="AF618" i="1" a="1"/>
  <c r="AF630" i="1" a="1"/>
  <c r="AF669" i="1" a="1"/>
  <c r="AF612" i="1" a="1"/>
  <c r="AF642" i="1" a="1"/>
  <c r="AF615" i="1" a="1"/>
  <c r="AF646" i="1" a="1"/>
  <c r="AF622" i="1" a="1"/>
  <c r="AF611" i="1" a="1"/>
  <c r="AF699" i="1" a="1"/>
  <c r="AF674" i="1" a="1"/>
  <c r="AF671" i="1" a="1"/>
  <c r="AF625" i="1" a="1"/>
  <c r="AF681" i="1" a="1"/>
  <c r="AF673" i="1" a="1"/>
  <c r="AF633" i="1" a="1"/>
  <c r="AF614" i="1" a="1"/>
  <c r="AF692" i="1" a="1"/>
  <c r="AF629" i="1" a="1"/>
  <c r="AF686" i="1" a="1"/>
  <c r="AF604" i="1" a="1"/>
  <c r="AF613" i="1" a="1"/>
  <c r="AF603" i="1" a="1"/>
  <c r="AF658" i="1" a="1"/>
  <c r="AF628" i="1" a="1"/>
  <c r="AF609" i="1" a="1"/>
  <c r="AF644" i="1" a="1"/>
  <c r="AF651" i="1" a="1"/>
  <c r="AF678" i="1" a="1"/>
  <c r="AF652" i="1" a="1"/>
  <c r="AF634" i="1" a="1"/>
  <c r="AF690" i="1" a="1"/>
  <c r="AF668" i="1" a="1"/>
  <c r="AF627" i="1" a="1"/>
  <c r="AF637" i="1" a="1"/>
  <c r="AF670" i="1" a="1"/>
  <c r="AF687" i="1" a="1"/>
  <c r="AF691" i="1" a="1"/>
  <c r="AF638" i="1" a="1"/>
  <c r="AF641" i="1" a="1"/>
  <c r="AF675" i="1" a="1"/>
  <c r="AF649" i="1" a="1"/>
  <c r="AF695" i="1" a="1"/>
  <c r="AF621" i="1" a="1"/>
  <c r="AF610" i="1" a="1"/>
  <c r="AF606" i="1" a="1"/>
  <c r="AF663" i="1" a="1"/>
  <c r="AF677" i="1" a="1"/>
  <c r="AF639" i="1" a="1"/>
  <c r="AF608" i="1" a="1"/>
  <c r="AF619" i="1" a="1"/>
  <c r="AF683" i="1" a="1"/>
  <c r="AF650" i="1" a="1"/>
  <c r="AF635" i="1" a="1"/>
  <c r="AF617" i="1" a="1"/>
  <c r="AF645" i="1" a="1"/>
  <c r="AF694" i="1" a="1"/>
  <c r="AF640" i="1" a="1"/>
  <c r="AF689" i="1" a="1"/>
  <c r="AF665" i="1" a="1"/>
  <c r="AF636" i="1" a="1"/>
  <c r="AF605" i="1" a="1"/>
  <c r="AF680" i="1" a="1"/>
  <c r="AF666" i="1" a="1"/>
  <c r="AF679" i="1" a="1"/>
  <c r="AF664" i="1" a="1"/>
  <c r="AF655" i="1" a="1"/>
  <c r="AF693" i="1" a="1"/>
  <c r="AH17" i="1" l="1"/>
  <c r="AH18" i="1"/>
  <c r="AH16" i="1"/>
  <c r="AH14" i="1"/>
  <c r="AH15" i="1"/>
  <c r="AH13" i="1"/>
  <c r="AH12" i="1"/>
  <c r="AH11" i="1"/>
  <c r="AI466" i="1"/>
  <c r="AI444" i="1"/>
  <c r="AI148" i="1"/>
  <c r="AI36" i="1"/>
  <c r="AI523" i="1"/>
  <c r="AI205" i="1"/>
  <c r="AI413" i="1"/>
  <c r="AI359" i="1"/>
  <c r="AI458" i="1"/>
  <c r="AI481" i="1"/>
  <c r="AI141" i="1"/>
  <c r="AI585" i="1"/>
  <c r="AI278" i="1"/>
  <c r="AI165" i="1"/>
  <c r="AI87" i="1"/>
  <c r="AI403" i="1"/>
  <c r="AI307" i="1"/>
  <c r="AI136" i="1"/>
  <c r="AI314" i="1"/>
  <c r="AI305" i="1"/>
  <c r="AI116" i="1"/>
  <c r="AI267" i="1"/>
  <c r="AI386" i="1"/>
  <c r="AI418" i="1"/>
  <c r="AI332" i="1"/>
  <c r="AI83" i="1"/>
  <c r="AI282" i="1"/>
  <c r="AI511" i="1"/>
  <c r="AI428" i="1"/>
  <c r="AI561" i="1"/>
  <c r="AI221" i="1"/>
  <c r="AI261" i="1"/>
  <c r="AI436" i="1"/>
  <c r="AI430" i="1"/>
  <c r="AI524" i="1"/>
  <c r="AI498" i="1"/>
  <c r="AI596" i="1"/>
  <c r="AI201" i="1"/>
  <c r="AI437" i="1"/>
  <c r="AI214" i="1"/>
  <c r="AI60" i="1"/>
  <c r="AI551" i="1"/>
  <c r="AI337" i="1"/>
  <c r="AI582" i="1"/>
  <c r="AI488" i="1"/>
  <c r="AI138" i="1"/>
  <c r="AI462" i="1"/>
  <c r="AI268" i="1"/>
  <c r="AI513" i="1"/>
  <c r="AI491" i="1"/>
  <c r="AI130" i="1"/>
  <c r="AI570" i="1"/>
  <c r="AI257" i="1"/>
  <c r="AI423" i="1"/>
  <c r="AI124" i="1"/>
  <c r="AI580" i="1"/>
  <c r="AI411" i="1"/>
  <c r="AI100" i="1"/>
  <c r="AI490" i="1"/>
  <c r="AI478" i="1"/>
  <c r="AI244" i="1"/>
  <c r="AI76" i="1"/>
  <c r="AI435" i="1"/>
  <c r="AI191" i="1"/>
  <c r="AI41" i="1"/>
  <c r="AI114" i="1"/>
  <c r="AI399" i="1"/>
  <c r="AI160" i="1"/>
  <c r="AI396" i="1"/>
  <c r="AI373" i="1"/>
  <c r="AI289" i="1"/>
  <c r="AI93" i="1"/>
  <c r="AI421" i="1"/>
  <c r="AI333" i="1"/>
  <c r="AI330" i="1"/>
  <c r="AI594" i="1"/>
  <c r="AI509" i="1"/>
  <c r="AI473" i="1"/>
  <c r="AI313" i="1"/>
  <c r="AI113" i="1"/>
  <c r="AI125" i="1"/>
  <c r="AI212" i="1"/>
  <c r="AI102" i="1"/>
  <c r="AI274" i="1"/>
  <c r="AI228" i="1"/>
  <c r="AI336" i="1"/>
  <c r="AI434" i="1"/>
  <c r="AI312" i="1"/>
  <c r="AI153" i="1"/>
  <c r="AI66" i="1"/>
  <c r="AI382" i="1"/>
  <c r="AI137" i="1"/>
  <c r="AI121" i="1"/>
  <c r="AI433" i="1"/>
  <c r="AI389" i="1"/>
  <c r="AI140" i="1"/>
  <c r="AI341" i="1"/>
  <c r="AI366" i="1"/>
  <c r="AI360" i="1"/>
  <c r="AI402" i="1"/>
  <c r="AI528" i="1"/>
  <c r="AI565" i="1"/>
  <c r="AI340" i="1"/>
  <c r="AI446" i="1"/>
  <c r="AI252" i="1"/>
  <c r="AI499" i="1"/>
  <c r="AI574" i="1"/>
  <c r="AI460" i="1"/>
  <c r="AI365" i="1"/>
  <c r="AI541" i="1"/>
  <c r="AI483" i="1"/>
  <c r="AI408" i="1"/>
  <c r="AI397" i="1"/>
  <c r="AI272" i="1"/>
  <c r="AI69" i="1"/>
  <c r="AI527" i="1"/>
  <c r="AI270" i="1"/>
  <c r="AI211" i="1"/>
  <c r="AI98" i="1"/>
  <c r="AI540" i="1"/>
  <c r="AI343" i="1"/>
  <c r="AI159" i="1"/>
  <c r="AI587" i="1"/>
  <c r="AI552" i="1"/>
  <c r="AI193" i="1"/>
  <c r="AI361" i="1"/>
  <c r="AI276" i="1"/>
  <c r="AI311" i="1"/>
  <c r="AI545" i="1"/>
  <c r="AI215" i="1"/>
  <c r="AI506" i="1"/>
  <c r="AI216" i="1"/>
  <c r="AI583" i="1"/>
  <c r="AI262" i="1"/>
  <c r="AI566" i="1"/>
  <c r="AI220" i="1"/>
  <c r="AI264" i="1"/>
  <c r="AI494" i="1"/>
  <c r="AI107" i="1"/>
  <c r="AI414" i="1"/>
  <c r="AI112" i="1"/>
  <c r="AI241" i="1"/>
  <c r="AI588" i="1"/>
  <c r="AI429" i="1"/>
  <c r="AI581" i="1"/>
  <c r="AI357" i="1"/>
  <c r="AI56" i="1"/>
  <c r="AI154" i="1"/>
  <c r="AI388" i="1"/>
  <c r="AI424" i="1"/>
  <c r="AI22" i="1"/>
  <c r="AI459" i="1"/>
  <c r="AI324" i="1"/>
  <c r="AI167" i="1"/>
  <c r="AI520" i="1"/>
  <c r="AI126" i="1"/>
  <c r="AI179" i="1"/>
  <c r="AI390" i="1"/>
  <c r="AI199" i="1"/>
  <c r="AI406" i="1"/>
  <c r="AI247" i="1"/>
  <c r="AI129" i="1"/>
  <c r="AI275" i="1"/>
  <c r="AI514" i="1"/>
  <c r="AI442" i="1"/>
  <c r="AI325" i="1"/>
  <c r="AI381" i="1"/>
  <c r="AI189" i="1"/>
  <c r="AI548" i="1"/>
  <c r="AI44" i="1"/>
  <c r="AI157" i="1"/>
  <c r="AI306" i="1"/>
  <c r="AI484" i="1"/>
  <c r="AI512" i="1"/>
  <c r="AI218" i="1"/>
  <c r="AI210" i="1"/>
  <c r="AI144" i="1"/>
  <c r="AI119" i="1"/>
  <c r="AI171" i="1"/>
  <c r="AI51" i="1"/>
  <c r="AI348" i="1"/>
  <c r="AI518" i="1"/>
  <c r="AI439" i="1"/>
  <c r="AI226" i="1"/>
  <c r="AI347" i="1"/>
  <c r="AI395" i="1"/>
  <c r="AI290" i="1"/>
  <c r="AI230" i="1"/>
  <c r="AI539" i="1"/>
  <c r="AI467" i="1"/>
  <c r="AI162" i="1"/>
  <c r="AI502" i="1"/>
  <c r="AI146" i="1"/>
  <c r="AI556" i="1"/>
  <c r="AI538" i="1"/>
  <c r="AI168" i="1"/>
  <c r="AI521" i="1"/>
  <c r="AI43" i="1"/>
  <c r="AI120" i="1"/>
  <c r="AI26" i="1"/>
  <c r="AI296" i="1"/>
  <c r="AI405" i="1"/>
  <c r="AI111" i="1"/>
  <c r="AI155" i="1"/>
  <c r="AI39" i="1"/>
  <c r="AI219" i="1"/>
  <c r="AI253" i="1"/>
  <c r="AI368" i="1"/>
  <c r="AI560" i="1"/>
  <c r="AI269" i="1"/>
  <c r="AI238" i="1"/>
  <c r="AI356" i="1"/>
  <c r="AI123" i="1"/>
  <c r="AI77" i="1"/>
  <c r="AI578" i="1"/>
  <c r="AI448" i="1"/>
  <c r="AI497" i="1"/>
  <c r="AI598" i="1"/>
  <c r="AI145" i="1"/>
  <c r="AI308" i="1"/>
  <c r="AI510" i="1"/>
  <c r="AI597" i="1"/>
  <c r="AI30" i="1"/>
  <c r="AI178" i="1"/>
  <c r="AI573" i="1"/>
  <c r="AI393" i="1"/>
  <c r="AI115" i="1"/>
  <c r="AI398" i="1"/>
  <c r="AI195" i="1"/>
  <c r="AI530" i="1"/>
  <c r="AI568" i="1"/>
  <c r="AI143" i="1"/>
  <c r="AI198" i="1"/>
  <c r="AI286" i="1"/>
  <c r="AI504" i="1"/>
  <c r="AI164" i="1"/>
  <c r="AI52" i="1"/>
  <c r="AI67" i="1"/>
  <c r="AI45" i="1"/>
  <c r="AI99" i="1"/>
  <c r="AI569" i="1"/>
  <c r="AI443" i="1"/>
  <c r="AI173" i="1"/>
  <c r="AI500" i="1"/>
  <c r="AI310" i="1"/>
  <c r="AI475" i="1"/>
  <c r="AI196" i="1"/>
  <c r="AI344" i="1"/>
  <c r="AI410" i="1"/>
  <c r="AI482" i="1"/>
  <c r="AI19" i="1"/>
  <c r="AI549" i="1"/>
  <c r="AI250" i="1"/>
  <c r="AI463" i="1"/>
  <c r="AI577" i="1"/>
  <c r="AI248" i="1"/>
  <c r="AI263" i="1"/>
  <c r="AI271" i="1"/>
  <c r="AI533" i="1"/>
  <c r="AI281" i="1"/>
  <c r="AI450" i="1"/>
  <c r="AI327" i="1"/>
  <c r="AI74" i="1"/>
  <c r="AI103" i="1"/>
  <c r="AI118" i="1"/>
  <c r="AI202" i="1"/>
  <c r="AI508" i="1"/>
  <c r="AI35" i="1"/>
  <c r="AI96" i="1"/>
  <c r="AI534" i="1"/>
  <c r="AI135" i="1"/>
  <c r="AI479" i="1"/>
  <c r="AI401" i="1"/>
  <c r="AI295" i="1"/>
  <c r="AI255" i="1"/>
  <c r="AI557" i="1"/>
  <c r="AI180" i="1"/>
  <c r="AI80" i="1"/>
  <c r="AI131" i="1"/>
  <c r="AI134" i="1"/>
  <c r="AI546" i="1"/>
  <c r="AI335" i="1"/>
  <c r="AI285" i="1"/>
  <c r="AI584" i="1"/>
  <c r="AI209" i="1"/>
  <c r="AI70" i="1"/>
  <c r="AI27" i="1"/>
  <c r="AI553" i="1"/>
  <c r="AI537" i="1"/>
  <c r="AI37" i="1"/>
  <c r="AI536" i="1"/>
  <c r="AI554" i="1"/>
  <c r="AI543" i="1"/>
  <c r="AI575" i="1"/>
  <c r="AI298" i="1"/>
  <c r="AI354" i="1"/>
  <c r="AI441" i="1"/>
  <c r="AI122" i="1"/>
  <c r="AI280" i="1"/>
  <c r="AI319" i="1"/>
  <c r="AI234" i="1"/>
  <c r="AI284" i="1"/>
  <c r="AI142" i="1"/>
  <c r="AI277" i="1"/>
  <c r="AI297" i="1"/>
  <c r="AI237" i="1"/>
  <c r="AI355" i="1"/>
  <c r="AI326" i="1"/>
  <c r="AI177" i="1"/>
  <c r="AI345" i="1"/>
  <c r="AI318" i="1"/>
  <c r="AI383" i="1"/>
  <c r="AI431" i="1"/>
  <c r="AI579" i="1"/>
  <c r="AI586" i="1"/>
  <c r="AI529" i="1"/>
  <c r="AI376" i="1"/>
  <c r="AI203" i="1"/>
  <c r="AI358" i="1"/>
  <c r="AI223" i="1"/>
  <c r="AI46" i="1"/>
  <c r="AI532" i="1"/>
  <c r="AI563" i="1"/>
  <c r="AI197" i="1"/>
  <c r="AI217" i="1"/>
  <c r="AI32" i="1"/>
  <c r="AI351" i="1"/>
  <c r="AI40" i="1"/>
  <c r="AI370" i="1"/>
  <c r="AI240" i="1"/>
  <c r="AI328" i="1"/>
  <c r="AI576" i="1"/>
  <c r="AI412" i="1"/>
  <c r="AI321" i="1"/>
  <c r="AI453" i="1"/>
  <c r="AI456" i="1"/>
  <c r="AI454" i="1"/>
  <c r="AI469" i="1"/>
  <c r="AI468" i="1"/>
  <c r="AI294" i="1"/>
  <c r="AI174" i="1"/>
  <c r="AI259" i="1"/>
  <c r="AI457" i="1"/>
  <c r="AI525" i="1"/>
  <c r="AI589" i="1"/>
  <c r="AI206" i="1"/>
  <c r="AI84" i="1"/>
  <c r="AI394" i="1"/>
  <c r="AI369" i="1"/>
  <c r="AI372" i="1"/>
  <c r="AI29" i="1"/>
  <c r="AI166" i="1"/>
  <c r="AI485" i="1"/>
  <c r="AI266" i="1"/>
  <c r="AI249" i="1"/>
  <c r="AI128" i="1"/>
  <c r="AI181" i="1"/>
  <c r="AI559" i="1"/>
  <c r="AI391" i="1"/>
  <c r="AI232" i="1"/>
  <c r="AI495" i="1"/>
  <c r="AI480" i="1"/>
  <c r="AI309" i="1"/>
  <c r="AI385" i="1"/>
  <c r="AI176" i="1"/>
  <c r="AI79" i="1"/>
  <c r="AI97" i="1"/>
  <c r="AI33" i="1"/>
  <c r="AI470" i="1"/>
  <c r="AI71" i="1"/>
  <c r="AI367" i="1"/>
  <c r="AI90" i="1"/>
  <c r="AI465" i="1"/>
  <c r="AI417" i="1"/>
  <c r="AI496" i="1"/>
  <c r="AI92" i="1"/>
  <c r="AI505" i="1"/>
  <c r="AI346" i="1"/>
  <c r="AI161" i="1"/>
  <c r="AI526" i="1"/>
  <c r="AI299" i="1"/>
  <c r="AI175" i="1"/>
  <c r="AI49" i="1"/>
  <c r="AI501" i="1"/>
  <c r="AI20" i="1"/>
  <c r="AI592" i="1"/>
  <c r="AI542" i="1"/>
  <c r="AI236" i="1"/>
  <c r="AI95" i="1"/>
  <c r="AI380" i="1"/>
  <c r="AI25" i="1"/>
  <c r="AI23" i="1"/>
  <c r="AI279" i="1"/>
  <c r="AI302" i="1"/>
  <c r="AI564" i="1"/>
  <c r="AI503" i="1"/>
  <c r="AI42" i="1"/>
  <c r="AI89" i="1"/>
  <c r="AI595" i="1"/>
  <c r="AI132" i="1"/>
  <c r="AI242" i="1"/>
  <c r="AI85" i="1"/>
  <c r="AI63" i="1"/>
  <c r="AI522" i="1"/>
  <c r="AI303" i="1"/>
  <c r="AI547" i="1"/>
  <c r="AI323" i="1"/>
  <c r="AI62" i="1"/>
  <c r="AI106" i="1"/>
  <c r="AI362" i="1"/>
  <c r="AI86" i="1"/>
  <c r="AI73" i="1"/>
  <c r="AI317" i="1"/>
  <c r="AI53" i="1"/>
  <c r="AI387" i="1"/>
  <c r="AI476" i="1"/>
  <c r="AI291" i="1"/>
  <c r="AI591" i="1"/>
  <c r="AI550" i="1"/>
  <c r="AI477" i="1"/>
  <c r="AI186" i="1"/>
  <c r="AI304" i="1"/>
  <c r="AI474" i="1"/>
  <c r="AI152" i="1"/>
  <c r="AI404" i="1"/>
  <c r="AI350" i="1"/>
  <c r="AI190" i="1"/>
  <c r="AI172" i="1"/>
  <c r="AI34" i="1"/>
  <c r="AI75" i="1"/>
  <c r="AI287" i="1"/>
  <c r="AI55" i="1"/>
  <c r="AI384" i="1"/>
  <c r="AI427" i="1"/>
  <c r="AI258" i="1"/>
  <c r="AI109" i="1"/>
  <c r="AI57" i="1"/>
  <c r="AI82" i="1"/>
  <c r="AI72" i="1"/>
  <c r="AI322" i="1"/>
  <c r="AI182" i="1"/>
  <c r="AI426" i="1"/>
  <c r="AI472" i="1"/>
  <c r="AI375" i="1"/>
  <c r="AI169" i="1"/>
  <c r="AI339" i="1"/>
  <c r="AI447" i="1"/>
  <c r="AI599" i="1"/>
  <c r="AI409" i="1"/>
  <c r="AI105" i="1"/>
  <c r="AI492" i="1"/>
  <c r="AI78" i="1"/>
  <c r="AI535" i="1"/>
  <c r="AI555" i="1"/>
  <c r="AI516" i="1"/>
  <c r="AI374" i="1"/>
  <c r="AI231" i="1"/>
  <c r="AI260" i="1"/>
  <c r="AI188" i="1"/>
  <c r="AI316" i="1"/>
  <c r="AI392" i="1"/>
  <c r="AI170" i="1"/>
  <c r="AI292" i="1"/>
  <c r="AI147" i="1"/>
  <c r="AI558" i="1"/>
  <c r="AI156" i="1"/>
  <c r="AI208" i="1"/>
  <c r="AI149" i="1"/>
  <c r="AI349" i="1"/>
  <c r="AI338" i="1"/>
  <c r="AI507" i="1"/>
  <c r="AI163" i="1"/>
  <c r="AI233" i="1"/>
  <c r="AI400" i="1"/>
  <c r="AI420" i="1"/>
  <c r="AI117" i="1"/>
  <c r="AI378" i="1"/>
  <c r="AI91" i="1"/>
  <c r="AI517" i="1"/>
  <c r="AI283" i="1"/>
  <c r="AI139" i="1"/>
  <c r="AI256" i="1"/>
  <c r="AI48" i="1"/>
  <c r="AI331" i="1"/>
  <c r="AI108" i="1"/>
  <c r="AI50" i="1"/>
  <c r="AI224" i="1"/>
  <c r="AI213" i="1"/>
  <c r="AI38" i="1"/>
  <c r="AI363" i="1"/>
  <c r="AI562" i="1"/>
  <c r="AI342" i="1"/>
  <c r="AI101" i="1"/>
  <c r="AI61" i="1"/>
  <c r="AI227" i="1"/>
  <c r="AI377" i="1"/>
  <c r="AI251" i="1"/>
  <c r="AI452" i="1"/>
  <c r="AI24" i="1"/>
  <c r="AI158" i="1"/>
  <c r="AI571" i="1"/>
  <c r="AI246" i="1"/>
  <c r="AI449" i="1"/>
  <c r="AI300" i="1"/>
  <c r="AI68" i="1"/>
  <c r="AI461" i="1"/>
  <c r="AI379" i="1"/>
  <c r="AI81" i="1"/>
  <c r="AI194" i="1"/>
  <c r="AI329" i="1"/>
  <c r="AI187" i="1"/>
  <c r="AI110" i="1"/>
  <c r="AI288" i="1"/>
  <c r="AI184" i="1"/>
  <c r="AI273" i="1"/>
  <c r="AI440" i="1"/>
  <c r="AI229" i="1"/>
  <c r="AI245" i="1"/>
  <c r="AI416" i="1"/>
  <c r="AI185" i="1"/>
  <c r="AI192" i="1"/>
  <c r="AI31" i="1"/>
  <c r="AI422" i="1"/>
  <c r="AI21" i="1"/>
  <c r="AI364" i="1"/>
  <c r="AI590" i="1"/>
  <c r="AI207" i="1"/>
  <c r="AI471" i="1"/>
  <c r="AI315" i="1"/>
  <c r="AI464" i="1"/>
  <c r="AI239" i="1"/>
  <c r="AI150" i="1"/>
  <c r="AI486" i="1"/>
  <c r="AI104" i="1"/>
  <c r="AI515" i="1"/>
  <c r="AI352" i="1"/>
  <c r="AI28" i="1"/>
  <c r="AI58" i="1"/>
  <c r="AI222" i="1"/>
  <c r="AI593" i="1"/>
  <c r="AI200" i="1"/>
  <c r="AI64" i="1"/>
  <c r="AI10" i="1"/>
  <c r="AI487" i="1"/>
  <c r="AI204" i="1"/>
  <c r="AI425" i="1"/>
  <c r="AI54" i="1"/>
  <c r="AI455" i="1"/>
  <c r="AI254" i="1"/>
  <c r="AI88" i="1"/>
  <c r="AI407" i="1"/>
  <c r="AI415" i="1"/>
  <c r="AI59" i="1"/>
  <c r="AI353" i="1"/>
  <c r="AI225" i="1"/>
  <c r="AI94" i="1"/>
  <c r="AI371" i="1"/>
  <c r="AI432" i="1"/>
  <c r="AI489" i="1"/>
  <c r="AI493" i="1"/>
  <c r="AI334" i="1"/>
  <c r="AI445" i="1"/>
  <c r="AI127" i="1"/>
  <c r="AI438" i="1"/>
  <c r="AI301" i="1"/>
  <c r="AI47" i="1"/>
  <c r="AI9" i="1"/>
  <c r="AI65" i="1"/>
  <c r="AI572" i="1"/>
  <c r="AI567" i="1"/>
  <c r="AI133" i="1"/>
  <c r="AI544" i="1"/>
  <c r="AI519" i="1"/>
  <c r="AI151" i="1"/>
  <c r="AI451" i="1"/>
  <c r="AI293" i="1"/>
  <c r="AI265" i="1"/>
  <c r="AI531" i="1"/>
  <c r="AI235" i="1"/>
  <c r="AI243" i="1"/>
  <c r="AI183" i="1"/>
  <c r="AI320" i="1"/>
  <c r="AI419" i="1"/>
  <c r="AF647" i="1"/>
  <c r="AF609" i="1"/>
  <c r="AF626" i="1"/>
  <c r="AF687" i="1"/>
  <c r="AF638" i="1"/>
  <c r="AF684" i="1"/>
  <c r="AF656" i="1"/>
  <c r="AF665" i="1"/>
  <c r="AF610" i="1"/>
  <c r="AF643" i="1"/>
  <c r="AF692" i="1"/>
  <c r="AF630" i="1"/>
  <c r="AF604" i="1"/>
  <c r="AF645" i="1"/>
  <c r="AF676" i="1"/>
  <c r="AF663" i="1"/>
  <c r="AF634" i="1"/>
  <c r="AF677" i="1"/>
  <c r="AF648" i="1"/>
  <c r="AF686" i="1"/>
  <c r="AF619" i="1"/>
  <c r="AF688" i="1"/>
  <c r="AF606" i="1"/>
  <c r="AF672" i="1"/>
  <c r="AF668" i="1"/>
  <c r="AF653" i="1"/>
  <c r="AF641" i="1"/>
  <c r="AF632" i="1"/>
  <c r="AF694" i="1"/>
  <c r="AF615" i="1"/>
  <c r="AF650" i="1"/>
  <c r="AF635" i="1"/>
  <c r="AF644" i="1"/>
  <c r="AF678" i="1"/>
  <c r="AF637" i="1"/>
  <c r="AF683" i="1"/>
  <c r="AF667" i="1"/>
  <c r="AF624" i="1"/>
  <c r="AF639" i="1"/>
  <c r="AF696" i="1"/>
  <c r="AF681" i="1"/>
  <c r="AF603" i="1"/>
  <c r="AF627" i="1"/>
  <c r="AF628" i="1"/>
  <c r="AF660" i="1"/>
  <c r="AF697" i="1"/>
  <c r="AF693" i="1"/>
  <c r="AF662" i="1"/>
  <c r="AF622" i="1"/>
  <c r="AF625" i="1"/>
  <c r="AF617" i="1"/>
  <c r="AF669" i="1"/>
  <c r="AF613" i="1"/>
  <c r="AF618" i="1"/>
  <c r="AF680" i="1"/>
  <c r="AF670" i="1"/>
  <c r="AF651" i="1"/>
  <c r="AF605" i="1"/>
  <c r="AF621" i="1"/>
  <c r="AF616" i="1"/>
  <c r="AF633" i="1"/>
  <c r="AF657" i="1"/>
  <c r="AF679" i="1"/>
  <c r="AF655" i="1"/>
  <c r="AF664" i="1"/>
  <c r="AF640" i="1"/>
  <c r="AF608" i="1"/>
  <c r="AF674" i="1"/>
  <c r="AF623" i="1"/>
  <c r="AF666" i="1"/>
  <c r="AF620" i="1"/>
  <c r="AF661" i="1"/>
  <c r="AF673" i="1"/>
  <c r="AF685" i="1"/>
  <c r="AF614" i="1"/>
  <c r="AF690" i="1"/>
  <c r="AF646" i="1"/>
  <c r="AF602" i="1"/>
  <c r="AF652" i="1"/>
  <c r="AF631" i="1"/>
  <c r="AF698" i="1"/>
  <c r="AF612" i="1"/>
  <c r="AF611" i="1"/>
  <c r="AF671" i="1"/>
  <c r="AF695" i="1"/>
  <c r="AF689" i="1"/>
  <c r="AF682" i="1"/>
  <c r="AF649" i="1"/>
  <c r="AF607" i="1"/>
  <c r="AF699" i="1"/>
  <c r="AF642" i="1"/>
  <c r="AF636" i="1"/>
  <c r="AF658" i="1"/>
  <c r="AF675" i="1"/>
  <c r="AF654" i="1"/>
  <c r="AF659" i="1"/>
  <c r="AF691" i="1"/>
  <c r="AF601" i="1"/>
  <c r="AF629" i="1"/>
  <c r="AI17" i="1" a="1"/>
  <c r="AI18" i="1" a="1"/>
  <c r="AI16" i="1" a="1"/>
  <c r="AI14" i="1" a="1"/>
  <c r="AI15" i="1" a="1"/>
  <c r="AI13" i="1" a="1"/>
  <c r="AI12" i="1" a="1"/>
  <c r="AI11" i="1" a="1"/>
  <c r="AJ466" i="1" a="1"/>
  <c r="AJ585" i="1" a="1"/>
  <c r="AJ418" i="1" a="1"/>
  <c r="AJ498" i="1" a="1"/>
  <c r="AJ268" i="1" a="1"/>
  <c r="AJ478" i="1" a="1"/>
  <c r="AJ93" i="1" a="1"/>
  <c r="AJ274" i="1" a="1"/>
  <c r="AJ140" i="1" a="1"/>
  <c r="AJ460" i="1" a="1"/>
  <c r="AJ540" i="1" a="1"/>
  <c r="AJ216" i="1" a="1"/>
  <c r="AJ588" i="1" a="1"/>
  <c r="AJ520" i="1" a="1"/>
  <c r="AJ381" i="1" a="1"/>
  <c r="AJ171" i="1" a="1"/>
  <c r="AJ162" i="1" a="1"/>
  <c r="AJ405" i="1" a="1"/>
  <c r="AJ77" i="1" a="1"/>
  <c r="AJ573" i="1" a="1"/>
  <c r="AJ164" i="1" a="1"/>
  <c r="AJ344" i="1" a="1"/>
  <c r="AJ281" i="1" a="1"/>
  <c r="AJ479" i="1" a="1"/>
  <c r="AJ584" i="1" a="1"/>
  <c r="AJ354" i="1" a="1"/>
  <c r="AJ326" i="1" a="1"/>
  <c r="AJ223" i="1" a="1"/>
  <c r="AJ576" i="1" a="1"/>
  <c r="AJ525" i="1" a="1"/>
  <c r="AJ128" i="1" a="1"/>
  <c r="AJ33" i="1" a="1"/>
  <c r="AJ526" i="1" a="1"/>
  <c r="AJ23" i="1" a="1"/>
  <c r="AJ522" i="1" a="1"/>
  <c r="AJ476" i="1" a="1"/>
  <c r="AJ172" i="1" a="1"/>
  <c r="AJ72" i="1" a="1"/>
  <c r="AJ492" i="1" a="1"/>
  <c r="AJ292" i="1" a="1"/>
  <c r="AJ420" i="1" a="1"/>
  <c r="AJ224" i="1" a="1"/>
  <c r="AJ24" i="1" a="1"/>
  <c r="AJ187" i="1" a="1"/>
  <c r="AJ31" i="1" a="1"/>
  <c r="AJ104" i="1" a="1"/>
  <c r="AJ425" i="1" a="1"/>
  <c r="AJ432" i="1" a="1"/>
  <c r="AJ572" i="1" a="1"/>
  <c r="AJ183" i="1" a="1"/>
  <c r="AJ403" i="1" a="1"/>
  <c r="AJ157" i="1" a="1"/>
  <c r="AJ553" i="1" a="1"/>
  <c r="AJ62" i="1" a="1"/>
  <c r="AJ449" i="1" a="1"/>
  <c r="AJ428" i="1" a="1"/>
  <c r="AJ41" i="1" a="1"/>
  <c r="AJ509" i="1" a="1"/>
  <c r="AJ153" i="1" a="1"/>
  <c r="AJ528" i="1" a="1"/>
  <c r="AJ193" i="1" a="1"/>
  <c r="AJ264" i="1" a="1"/>
  <c r="AJ406" i="1" a="1"/>
  <c r="AJ226" i="1" a="1"/>
  <c r="AJ598" i="1" a="1"/>
  <c r="AJ569" i="1" a="1"/>
  <c r="AJ118" i="1" a="1"/>
  <c r="AJ537" i="1" a="1"/>
  <c r="AJ217" i="1" a="1"/>
  <c r="AJ369" i="1" a="1"/>
  <c r="AJ495" i="1" a="1"/>
  <c r="AJ106" i="1" a="1"/>
  <c r="AJ384" i="1" a="1"/>
  <c r="AJ374" i="1" a="1"/>
  <c r="AJ342" i="1" a="1"/>
  <c r="AJ273" i="1" a="1"/>
  <c r="AJ407" i="1" a="1"/>
  <c r="AJ136" i="1" a="1"/>
  <c r="AJ247" i="1" a="1"/>
  <c r="AJ463" i="1" a="1"/>
  <c r="AJ469" i="1" a="1"/>
  <c r="AJ89" i="1" a="1"/>
  <c r="AJ231" i="1" a="1"/>
  <c r="AJ440" i="1" a="1"/>
  <c r="AJ127" i="1" a="1"/>
  <c r="AJ314" i="1" a="1"/>
  <c r="AJ382" i="1" a="1"/>
  <c r="AJ107" i="1" a="1"/>
  <c r="AJ512" i="1" a="1"/>
  <c r="AJ308" i="1" a="1"/>
  <c r="AJ173" i="1" a="1"/>
  <c r="AJ131" i="1" a="1"/>
  <c r="AJ586" i="1" a="1"/>
  <c r="AJ29" i="1" a="1"/>
  <c r="AJ542" i="1" a="1"/>
  <c r="AJ86" i="1" a="1"/>
  <c r="AJ339" i="1" a="1"/>
  <c r="AJ256" i="1" a="1"/>
  <c r="AJ200" i="1" a="1"/>
  <c r="AJ261" i="1" a="1"/>
  <c r="AJ120" i="1" a="1"/>
  <c r="AJ40" i="1" a="1"/>
  <c r="AJ73" i="1" a="1"/>
  <c r="AJ379" i="1" a="1"/>
  <c r="AJ436" i="1" a="1"/>
  <c r="AJ396" i="1" a="1"/>
  <c r="AJ121" i="1" a="1"/>
  <c r="AJ270" i="1" a="1"/>
  <c r="AJ459" i="1" a="1"/>
  <c r="AJ210" i="1" a="1"/>
  <c r="AJ597" i="1" a="1"/>
  <c r="AJ310" i="1" a="1"/>
  <c r="AJ96" i="1" a="1"/>
  <c r="AJ297" i="1" a="1"/>
  <c r="AJ485" i="1" a="1"/>
  <c r="AJ95" i="1" a="1"/>
  <c r="AJ317" i="1" a="1"/>
  <c r="AJ599" i="1" a="1"/>
  <c r="AJ163" i="1" a="1"/>
  <c r="AJ377" i="1" a="1"/>
  <c r="AJ416" i="1" a="1"/>
  <c r="AJ239" i="1" a="1"/>
  <c r="AJ47" i="1" a="1"/>
  <c r="AJ141" i="1" a="1"/>
  <c r="AJ335" i="1" a="1"/>
  <c r="AJ392" i="1" a="1"/>
  <c r="AJ524" i="1" a="1"/>
  <c r="AJ490" i="1" a="1"/>
  <c r="AJ102" i="1" a="1"/>
  <c r="AJ574" i="1" a="1"/>
  <c r="AJ241" i="1" a="1"/>
  <c r="AJ467" i="1" a="1"/>
  <c r="AJ178" i="1" a="1"/>
  <c r="AJ196" i="1" a="1"/>
  <c r="AJ285" i="1" a="1"/>
  <c r="AJ358" i="1" a="1"/>
  <c r="AJ457" i="1" a="1"/>
  <c r="AJ161" i="1" a="1"/>
  <c r="AJ387" i="1" a="1"/>
  <c r="AJ105" i="1" a="1"/>
  <c r="AJ50" i="1" a="1"/>
  <c r="AJ192" i="1" a="1"/>
  <c r="AJ204" i="1" a="1"/>
  <c r="AJ65" i="1" a="1"/>
  <c r="AJ243" i="1" a="1"/>
  <c r="AJ444" i="1" a="1"/>
  <c r="AJ278" i="1" a="1"/>
  <c r="AJ332" i="1" a="1"/>
  <c r="AJ596" i="1" a="1"/>
  <c r="AJ513" i="1" a="1"/>
  <c r="AJ244" i="1" a="1"/>
  <c r="AJ421" i="1" a="1"/>
  <c r="AJ228" i="1" a="1"/>
  <c r="AJ341" i="1" a="1"/>
  <c r="AJ365" i="1" a="1"/>
  <c r="AJ343" i="1" a="1"/>
  <c r="AJ583" i="1" a="1"/>
  <c r="AJ429" i="1" a="1"/>
  <c r="AJ126" i="1" a="1"/>
  <c r="AJ189" i="1" a="1"/>
  <c r="AJ51" i="1" a="1"/>
  <c r="AJ502" i="1" a="1"/>
  <c r="AJ111" i="1" a="1"/>
  <c r="AJ578" i="1" a="1"/>
  <c r="AJ393" i="1" a="1"/>
  <c r="AJ52" i="1" a="1"/>
  <c r="AJ410" i="1" a="1"/>
  <c r="AJ450" i="1" a="1"/>
  <c r="AJ401" i="1" a="1"/>
  <c r="AJ209" i="1" a="1"/>
  <c r="AJ441" i="1" a="1"/>
  <c r="AJ177" i="1" a="1"/>
  <c r="AJ46" i="1" a="1"/>
  <c r="AJ412" i="1" a="1"/>
  <c r="AJ589" i="1" a="1"/>
  <c r="AJ181" i="1" a="1"/>
  <c r="AJ470" i="1" a="1"/>
  <c r="AJ299" i="1" a="1"/>
  <c r="AJ279" i="1" a="1"/>
  <c r="AJ303" i="1" a="1"/>
  <c r="AJ291" i="1" a="1"/>
  <c r="AJ34" i="1" a="1"/>
  <c r="AJ322" i="1" a="1"/>
  <c r="AJ78" i="1" a="1"/>
  <c r="AJ147" i="1" a="1"/>
  <c r="AJ117" i="1" a="1"/>
  <c r="AJ213" i="1" a="1"/>
  <c r="AJ158" i="1" a="1"/>
  <c r="AJ110" i="1" a="1"/>
  <c r="AJ422" i="1" a="1"/>
  <c r="AJ515" i="1" a="1"/>
  <c r="AJ54" i="1" a="1"/>
  <c r="AJ489" i="1" a="1"/>
  <c r="AJ567" i="1" a="1"/>
  <c r="AJ320" i="1" a="1"/>
  <c r="AJ523" i="1" a="1"/>
  <c r="AJ439" i="1" a="1"/>
  <c r="AJ383" i="1" a="1"/>
  <c r="AJ55" i="1" a="1"/>
  <c r="AJ58" i="1" a="1"/>
  <c r="AJ60" i="1" a="1"/>
  <c r="AJ257" i="1" a="1"/>
  <c r="AJ397" i="1" a="1"/>
  <c r="AJ154" i="1" a="1"/>
  <c r="AJ168" i="1" a="1"/>
  <c r="AJ530" i="1" a="1"/>
  <c r="AJ250" i="1" a="1"/>
  <c r="AJ234" i="1" a="1"/>
  <c r="AJ454" i="1" a="1"/>
  <c r="AJ465" i="1" a="1"/>
  <c r="AJ186" i="1" a="1"/>
  <c r="AJ375" i="1" a="1"/>
  <c r="AJ283" i="1" a="1"/>
  <c r="AJ207" i="1" a="1"/>
  <c r="AJ445" i="1" a="1"/>
  <c r="AJ413" i="1" a="1"/>
  <c r="AJ521" i="1" a="1"/>
  <c r="AJ443" i="1" a="1"/>
  <c r="AJ284" i="1" a="1"/>
  <c r="AJ417" i="1" a="1"/>
  <c r="AJ169" i="1" a="1"/>
  <c r="AJ68" i="1" a="1"/>
  <c r="AJ593" i="1" a="1"/>
  <c r="AJ221" i="1" a="1"/>
  <c r="AJ399" i="1" a="1"/>
  <c r="AJ276" i="1" a="1"/>
  <c r="AJ129" i="1" a="1"/>
  <c r="AJ560" i="1" a="1"/>
  <c r="AJ577" i="1" a="1"/>
  <c r="AJ142" i="1" a="1"/>
  <c r="AJ468" i="1" a="1"/>
  <c r="AJ496" i="1" a="1"/>
  <c r="AJ474" i="1" a="1"/>
  <c r="AJ260" i="1" a="1"/>
  <c r="AJ61" i="1" a="1"/>
  <c r="AJ315" i="1" a="1"/>
  <c r="AJ293" i="1" a="1"/>
  <c r="AJ305" i="1" a="1"/>
  <c r="AJ510" i="1" a="1"/>
  <c r="AJ294" i="1" a="1"/>
  <c r="AJ447" i="1" a="1"/>
  <c r="AJ464" i="1" a="1"/>
  <c r="AJ488" i="1" a="1"/>
  <c r="AJ411" i="1" a="1"/>
  <c r="AJ125" i="1" a="1"/>
  <c r="AJ252" i="1" a="1"/>
  <c r="AJ545" i="1" a="1"/>
  <c r="AJ414" i="1" a="1"/>
  <c r="AJ514" i="1" a="1"/>
  <c r="AJ230" i="1" a="1"/>
  <c r="AJ198" i="1" a="1"/>
  <c r="AJ263" i="1" a="1"/>
  <c r="AJ546" i="1" a="1"/>
  <c r="AJ543" i="1" a="1"/>
  <c r="AJ376" i="1" a="1"/>
  <c r="AJ174" i="1" a="1"/>
  <c r="AJ505" i="1" a="1"/>
  <c r="AJ242" i="1" a="1"/>
  <c r="AJ404" i="1" a="1"/>
  <c r="AJ316" i="1" a="1"/>
  <c r="AJ81" i="1" a="1"/>
  <c r="AJ225" i="1" a="1"/>
  <c r="AJ267" i="1" a="1"/>
  <c r="AJ271" i="1" a="1"/>
  <c r="AJ350" i="1" a="1"/>
  <c r="AJ9" i="1" a="1"/>
  <c r="AJ462" i="1" a="1"/>
  <c r="AJ289" i="1" a="1"/>
  <c r="AJ389" i="1" a="1"/>
  <c r="AJ98" i="1" a="1"/>
  <c r="AJ167" i="1" a="1"/>
  <c r="AJ119" i="1" a="1"/>
  <c r="AJ296" i="1" a="1"/>
  <c r="AJ504" i="1" a="1"/>
  <c r="AJ533" i="1" a="1"/>
  <c r="AJ355" i="1" a="1"/>
  <c r="AJ328" i="1" a="1"/>
  <c r="AJ97" i="1" a="1"/>
  <c r="AJ63" i="1" a="1"/>
  <c r="AJ170" i="1" a="1"/>
  <c r="AJ452" i="1" a="1"/>
  <c r="AJ486" i="1" a="1"/>
  <c r="AJ148" i="1" a="1"/>
  <c r="AJ165" i="1" a="1"/>
  <c r="AJ83" i="1" a="1"/>
  <c r="AJ201" i="1" a="1"/>
  <c r="AJ491" i="1" a="1"/>
  <c r="AJ76" i="1" a="1"/>
  <c r="AJ333" i="1" a="1"/>
  <c r="AJ336" i="1" a="1"/>
  <c r="AJ366" i="1" a="1"/>
  <c r="AJ541" i="1" a="1"/>
  <c r="AJ159" i="1" a="1"/>
  <c r="AJ262" i="1" a="1"/>
  <c r="AJ581" i="1" a="1"/>
  <c r="AJ179" i="1" a="1"/>
  <c r="AJ548" i="1" a="1"/>
  <c r="AJ348" i="1" a="1"/>
  <c r="AJ146" i="1" a="1"/>
  <c r="AJ155" i="1" a="1"/>
  <c r="AJ448" i="1" a="1"/>
  <c r="AJ115" i="1" a="1"/>
  <c r="AJ67" i="1" a="1"/>
  <c r="AJ482" i="1" a="1"/>
  <c r="AJ327" i="1" a="1"/>
  <c r="AJ295" i="1" a="1"/>
  <c r="AJ70" i="1" a="1"/>
  <c r="AJ122" i="1" a="1"/>
  <c r="AJ345" i="1" a="1"/>
  <c r="AJ532" i="1" a="1"/>
  <c r="AJ321" i="1" a="1"/>
  <c r="AJ206" i="1" a="1"/>
  <c r="AJ559" i="1" a="1"/>
  <c r="AJ71" i="1" a="1"/>
  <c r="AJ175" i="1" a="1"/>
  <c r="AJ302" i="1" a="1"/>
  <c r="AJ547" i="1" a="1"/>
  <c r="AJ591" i="1" a="1"/>
  <c r="AJ75" i="1" a="1"/>
  <c r="AJ182" i="1" a="1"/>
  <c r="AJ535" i="1" a="1"/>
  <c r="AJ558" i="1" a="1"/>
  <c r="AJ378" i="1" a="1"/>
  <c r="AJ38" i="1" a="1"/>
  <c r="AJ571" i="1" a="1"/>
  <c r="AJ288" i="1" a="1"/>
  <c r="AJ21" i="1" a="1"/>
  <c r="AJ352" i="1" a="1"/>
  <c r="AJ455" i="1" a="1"/>
  <c r="AJ133" i="1" a="1"/>
  <c r="AJ419" i="1" a="1"/>
  <c r="AJ214" i="1" a="1"/>
  <c r="AJ570" i="1" a="1"/>
  <c r="AJ594" i="1" a="1"/>
  <c r="AJ402" i="1" a="1"/>
  <c r="AJ552" i="1" a="1"/>
  <c r="AJ56" i="1" a="1"/>
  <c r="AJ538" i="1" a="1"/>
  <c r="AJ99" i="1" a="1"/>
  <c r="AJ103" i="1" a="1"/>
  <c r="AJ557" i="1" a="1"/>
  <c r="AJ197" i="1" a="1"/>
  <c r="AJ394" i="1" a="1"/>
  <c r="AJ90" i="1" a="1"/>
  <c r="AJ503" i="1" a="1"/>
  <c r="AJ472" i="1" a="1"/>
  <c r="AJ208" i="1" a="1"/>
  <c r="AJ562" i="1" a="1"/>
  <c r="AJ590" i="1" a="1"/>
  <c r="AJ88" i="1" a="1"/>
  <c r="AJ519" i="1" a="1"/>
  <c r="AJ307" i="1" a="1"/>
  <c r="AJ306" i="1" a="1"/>
  <c r="AJ180" i="1" a="1"/>
  <c r="AJ20" i="1" a="1"/>
  <c r="AJ300" i="1" a="1"/>
  <c r="AJ151" i="1" a="1"/>
  <c r="AJ551" i="1" a="1"/>
  <c r="AJ423" i="1" a="1"/>
  <c r="AJ473" i="1" a="1"/>
  <c r="AJ565" i="1" a="1"/>
  <c r="AJ361" i="1" a="1"/>
  <c r="AJ494" i="1" a="1"/>
  <c r="AJ484" i="1" a="1"/>
  <c r="AJ145" i="1" a="1"/>
  <c r="AJ202" i="1" a="1"/>
  <c r="AJ37" i="1" a="1"/>
  <c r="AJ32" i="1" a="1"/>
  <c r="AJ372" i="1" a="1"/>
  <c r="AJ592" i="1" a="1"/>
  <c r="AJ362" i="1" a="1"/>
  <c r="AJ427" i="1" a="1"/>
  <c r="AJ349" i="1" a="1"/>
  <c r="AJ101" i="1" a="1"/>
  <c r="AJ471" i="1" a="1"/>
  <c r="AJ451" i="1" a="1"/>
  <c r="AJ359" i="1" a="1"/>
  <c r="AJ340" i="1" a="1"/>
  <c r="AJ395" i="1" a="1"/>
  <c r="AJ508" i="1" a="1"/>
  <c r="AJ351" i="1" a="1"/>
  <c r="AJ595" i="1" a="1"/>
  <c r="AJ338" i="1" a="1"/>
  <c r="AJ461" i="1" a="1"/>
  <c r="AJ59" i="1" a="1"/>
  <c r="AJ438" i="1" a="1"/>
  <c r="AJ458" i="1" a="1"/>
  <c r="AJ580" i="1" a="1"/>
  <c r="AJ113" i="1" a="1"/>
  <c r="AJ446" i="1" a="1"/>
  <c r="AJ311" i="1" a="1"/>
  <c r="AJ22" i="1" a="1"/>
  <c r="AJ290" i="1" a="1"/>
  <c r="AJ35" i="1" a="1"/>
  <c r="AJ277" i="1" a="1"/>
  <c r="AJ385" i="1" a="1"/>
  <c r="AJ236" i="1" a="1"/>
  <c r="AJ152" i="1" a="1"/>
  <c r="AJ188" i="1" a="1"/>
  <c r="AJ227" i="1" a="1"/>
  <c r="AJ64" i="1" a="1"/>
  <c r="AJ265" i="1" a="1"/>
  <c r="AJ116" i="1" a="1"/>
  <c r="AJ370" i="1" a="1"/>
  <c r="AJ57" i="1" a="1"/>
  <c r="AJ10" i="1" a="1"/>
  <c r="AJ138" i="1" a="1"/>
  <c r="AJ100" i="1" a="1"/>
  <c r="AJ373" i="1" a="1"/>
  <c r="AJ212" i="1" a="1"/>
  <c r="AJ499" i="1" a="1"/>
  <c r="AJ215" i="1" a="1"/>
  <c r="AJ442" i="1" a="1"/>
  <c r="AJ539" i="1" a="1"/>
  <c r="AJ356" i="1" a="1"/>
  <c r="AJ286" i="1" a="1"/>
  <c r="AJ534" i="1" a="1"/>
  <c r="AJ237" i="1" a="1"/>
  <c r="AJ240" i="1" a="1"/>
  <c r="AJ266" i="1" a="1"/>
  <c r="AJ346" i="1" a="1"/>
  <c r="AJ85" i="1" a="1"/>
  <c r="AJ82" i="1" a="1"/>
  <c r="AJ233" i="1" a="1"/>
  <c r="AJ251" i="1" a="1"/>
  <c r="AJ150" i="1" a="1"/>
  <c r="AJ94" i="1" a="1"/>
  <c r="AJ325" i="1" a="1"/>
  <c r="AJ135" i="1" a="1"/>
  <c r="AJ249" i="1" a="1"/>
  <c r="AJ190" i="1" a="1"/>
  <c r="AJ329" i="1" a="1"/>
  <c r="AJ36" i="1" a="1"/>
  <c r="AJ87" i="1" a="1"/>
  <c r="AJ282" i="1" a="1"/>
  <c r="AJ437" i="1" a="1"/>
  <c r="AJ130" i="1" a="1"/>
  <c r="AJ435" i="1" a="1"/>
  <c r="AJ330" i="1" a="1"/>
  <c r="AJ434" i="1" a="1"/>
  <c r="AJ360" i="1" a="1"/>
  <c r="AJ483" i="1" a="1"/>
  <c r="AJ587" i="1" a="1"/>
  <c r="AJ566" i="1" a="1"/>
  <c r="AJ357" i="1" a="1"/>
  <c r="AJ390" i="1" a="1"/>
  <c r="AJ44" i="1" a="1"/>
  <c r="AJ518" i="1" a="1"/>
  <c r="AJ556" i="1" a="1"/>
  <c r="AJ39" i="1" a="1"/>
  <c r="AJ497" i="1" a="1"/>
  <c r="AJ398" i="1" a="1"/>
  <c r="AJ45" i="1" a="1"/>
  <c r="AJ19" i="1" a="1"/>
  <c r="AJ74" i="1" a="1"/>
  <c r="AJ255" i="1" a="1"/>
  <c r="AJ27" i="1" a="1"/>
  <c r="AJ280" i="1" a="1"/>
  <c r="AJ318" i="1" a="1"/>
  <c r="AJ563" i="1" a="1"/>
  <c r="AJ453" i="1" a="1"/>
  <c r="AJ84" i="1" a="1"/>
  <c r="AJ391" i="1" a="1"/>
  <c r="AJ367" i="1" a="1"/>
  <c r="AJ49" i="1" a="1"/>
  <c r="AJ564" i="1" a="1"/>
  <c r="AJ323" i="1" a="1"/>
  <c r="AJ550" i="1" a="1"/>
  <c r="AJ287" i="1" a="1"/>
  <c r="AJ426" i="1" a="1"/>
  <c r="AJ555" i="1" a="1"/>
  <c r="AJ156" i="1" a="1"/>
  <c r="AJ91" i="1" a="1"/>
  <c r="AJ363" i="1" a="1"/>
  <c r="AJ246" i="1" a="1"/>
  <c r="AJ364" i="1" a="1"/>
  <c r="AJ28" i="1" a="1"/>
  <c r="AJ254" i="1" a="1"/>
  <c r="AJ493" i="1" a="1"/>
  <c r="AJ544" i="1" a="1"/>
  <c r="AJ511" i="1" a="1"/>
  <c r="AJ191" i="1" a="1"/>
  <c r="AJ312" i="1" a="1"/>
  <c r="AJ408" i="1" a="1"/>
  <c r="AJ220" i="1" a="1"/>
  <c r="AJ199" i="1" a="1"/>
  <c r="AJ219" i="1" a="1"/>
  <c r="AJ195" i="1" a="1"/>
  <c r="AJ549" i="1" a="1"/>
  <c r="AJ319" i="1" a="1"/>
  <c r="AJ456" i="1" a="1"/>
  <c r="AJ232" i="1" a="1"/>
  <c r="AJ501" i="1" a="1"/>
  <c r="AJ477" i="1" a="1"/>
  <c r="AJ516" i="1" a="1"/>
  <c r="AJ517" i="1" a="1"/>
  <c r="AJ184" i="1" a="1"/>
  <c r="AJ334" i="1" a="1"/>
  <c r="AJ205" i="1" a="1"/>
  <c r="AJ253" i="1" a="1"/>
  <c r="AJ431" i="1" a="1"/>
  <c r="AJ42" i="1" a="1"/>
  <c r="AJ149" i="1" a="1"/>
  <c r="AJ222" i="1" a="1"/>
  <c r="AJ561" i="1" a="1"/>
  <c r="AJ114" i="1" a="1"/>
  <c r="AJ66" i="1" a="1"/>
  <c r="AJ272" i="1" a="1"/>
  <c r="AJ388" i="1" a="1"/>
  <c r="AJ347" i="1" a="1"/>
  <c r="AJ368" i="1" a="1"/>
  <c r="AJ568" i="1" a="1"/>
  <c r="AJ80" i="1" a="1"/>
  <c r="AJ579" i="1" a="1"/>
  <c r="AJ480" i="1" a="1"/>
  <c r="AJ304" i="1" a="1"/>
  <c r="AJ139" i="1" a="1"/>
  <c r="AJ415" i="1" a="1"/>
  <c r="AJ337" i="1" a="1"/>
  <c r="AJ124" i="1" a="1"/>
  <c r="AJ313" i="1" a="1"/>
  <c r="AJ69" i="1" a="1"/>
  <c r="AJ424" i="1" a="1"/>
  <c r="AJ43" i="1" a="1"/>
  <c r="AJ143" i="1" a="1"/>
  <c r="AJ536" i="1" a="1"/>
  <c r="AJ309" i="1" a="1"/>
  <c r="AJ258" i="1" a="1"/>
  <c r="AJ229" i="1" a="1"/>
  <c r="AJ582" i="1" a="1"/>
  <c r="AJ160" i="1" a="1"/>
  <c r="AJ137" i="1" a="1"/>
  <c r="AJ527" i="1" a="1"/>
  <c r="AJ275" i="1" a="1"/>
  <c r="AJ218" i="1" a="1"/>
  <c r="AJ269" i="1" a="1"/>
  <c r="AJ500" i="1" a="1"/>
  <c r="AJ248" i="1" a="1"/>
  <c r="AJ134" i="1" a="1"/>
  <c r="AJ554" i="1" a="1"/>
  <c r="AJ529" i="1" a="1"/>
  <c r="AJ166" i="1" a="1"/>
  <c r="AJ92" i="1" a="1"/>
  <c r="AJ132" i="1" a="1"/>
  <c r="AJ109" i="1" a="1"/>
  <c r="AJ507" i="1" a="1"/>
  <c r="AJ48" i="1" a="1"/>
  <c r="AJ245" i="1" a="1"/>
  <c r="AJ353" i="1" a="1"/>
  <c r="AJ301" i="1" a="1"/>
  <c r="AJ481" i="1" a="1"/>
  <c r="AJ238" i="1" a="1"/>
  <c r="AJ176" i="1" a="1"/>
  <c r="AJ331" i="1" a="1"/>
  <c r="AJ531" i="1" a="1"/>
  <c r="AJ430" i="1" a="1"/>
  <c r="AJ433" i="1" a="1"/>
  <c r="AJ211" i="1" a="1"/>
  <c r="AJ112" i="1" a="1"/>
  <c r="AJ324" i="1" a="1"/>
  <c r="AJ144" i="1" a="1"/>
  <c r="AJ26" i="1" a="1"/>
  <c r="AJ30" i="1" a="1"/>
  <c r="AJ475" i="1" a="1"/>
  <c r="AJ575" i="1" a="1"/>
  <c r="AJ203" i="1" a="1"/>
  <c r="AJ259" i="1" a="1"/>
  <c r="AJ79" i="1" a="1"/>
  <c r="AJ380" i="1" a="1"/>
  <c r="AJ53" i="1" a="1"/>
  <c r="AJ409" i="1" a="1"/>
  <c r="AJ108" i="1" a="1"/>
  <c r="AJ194" i="1" a="1"/>
  <c r="AJ185" i="1" a="1"/>
  <c r="AJ487" i="1" a="1"/>
  <c r="AJ235" i="1" a="1"/>
  <c r="AJ386" i="1" a="1"/>
  <c r="AJ506" i="1" a="1"/>
  <c r="AJ123" i="1" a="1"/>
  <c r="AJ298" i="1" a="1"/>
  <c r="AJ25" i="1" a="1"/>
  <c r="AJ400" i="1" a="1"/>
  <c r="AJ371" i="1" a="1"/>
  <c r="AG661" i="1" a="1"/>
  <c r="AG697" i="1" a="1"/>
  <c r="AG648" i="1" a="1"/>
  <c r="AG635" i="1" a="1"/>
  <c r="AG656" i="1" a="1"/>
  <c r="AG654" i="1" a="1"/>
  <c r="AG639" i="1" a="1"/>
  <c r="AG601" i="1" a="1"/>
  <c r="AG698" i="1" a="1"/>
  <c r="AG610" i="1" a="1"/>
  <c r="AG692" i="1" a="1"/>
  <c r="AG651" i="1" a="1"/>
  <c r="AG658" i="1" a="1"/>
  <c r="AG657" i="1" a="1"/>
  <c r="AG672" i="1" a="1"/>
  <c r="AG632" i="1" a="1"/>
  <c r="AG647" i="1" a="1"/>
  <c r="AG618" i="1" a="1"/>
  <c r="AG607" i="1" a="1"/>
  <c r="AG640" i="1" a="1"/>
  <c r="AG606" i="1" a="1"/>
  <c r="AG664" i="1" a="1"/>
  <c r="AG684" i="1" a="1"/>
  <c r="AG681" i="1" a="1"/>
  <c r="AG682" i="1" a="1"/>
  <c r="AG608" i="1" a="1"/>
  <c r="AG626" i="1" a="1"/>
  <c r="AG669" i="1" a="1"/>
  <c r="AG613" i="1" a="1"/>
  <c r="AG690" i="1" a="1"/>
  <c r="AG650" i="1" a="1"/>
  <c r="AG677" i="1" a="1"/>
  <c r="AG617" i="1" a="1"/>
  <c r="AG652" i="1" a="1"/>
  <c r="AG630" i="1" a="1"/>
  <c r="AG689" i="1" a="1"/>
  <c r="AG680" i="1" a="1"/>
  <c r="AG604" i="1" a="1"/>
  <c r="AG673" i="1" a="1"/>
  <c r="AG605" i="1" a="1"/>
  <c r="AG691" i="1" a="1"/>
  <c r="AG615" i="1" a="1"/>
  <c r="AG683" i="1" a="1"/>
  <c r="AG653" i="1" a="1"/>
  <c r="AG670" i="1" a="1"/>
  <c r="AG674" i="1" a="1"/>
  <c r="AG686" i="1" a="1"/>
  <c r="AG625" i="1" a="1"/>
  <c r="AG685" i="1" a="1"/>
  <c r="AG611" i="1" a="1"/>
  <c r="AG631" i="1" a="1"/>
  <c r="AG609" i="1" a="1"/>
  <c r="AG638" i="1" a="1"/>
  <c r="AG659" i="1" a="1"/>
  <c r="AG643" i="1" a="1"/>
  <c r="AG671" i="1" a="1"/>
  <c r="AG688" i="1" a="1"/>
  <c r="AG612" i="1" a="1"/>
  <c r="AG694" i="1" a="1"/>
  <c r="AG633" i="1" a="1"/>
  <c r="AG614" i="1" a="1"/>
  <c r="AG675" i="1" a="1"/>
  <c r="AG687" i="1" a="1"/>
  <c r="AG645" i="1" a="1"/>
  <c r="AG623" i="1" a="1"/>
  <c r="AG662" i="1" a="1"/>
  <c r="AG646" i="1" a="1"/>
  <c r="AG622" i="1" a="1"/>
  <c r="AG627" i="1" a="1"/>
  <c r="AG644" i="1" a="1"/>
  <c r="AG665" i="1" a="1"/>
  <c r="AG619" i="1" a="1"/>
  <c r="AG616" i="1" a="1"/>
  <c r="AG676" i="1" a="1"/>
  <c r="AG667" i="1" a="1"/>
  <c r="AG628" i="1" a="1"/>
  <c r="AG637" i="1" a="1"/>
  <c r="AG636" i="1" a="1"/>
  <c r="AG602" i="1" a="1"/>
  <c r="AG678" i="1" a="1"/>
  <c r="AG642" i="1" a="1"/>
  <c r="AG620" i="1" a="1"/>
  <c r="AG695" i="1" a="1"/>
  <c r="AG624" i="1" a="1"/>
  <c r="AG655" i="1" a="1"/>
  <c r="AG603" i="1" a="1"/>
  <c r="AG666" i="1" a="1"/>
  <c r="AG693" i="1" a="1"/>
  <c r="AG641" i="1" a="1"/>
  <c r="AG668" i="1" a="1"/>
  <c r="AG696" i="1" a="1"/>
  <c r="AG663" i="1" a="1"/>
  <c r="AG634" i="1" a="1"/>
  <c r="AG621" i="1" a="1"/>
  <c r="AG699" i="1" a="1"/>
  <c r="AG649" i="1" a="1"/>
  <c r="AG660" i="1" a="1"/>
  <c r="AG679" i="1" a="1"/>
  <c r="AG629" i="1" a="1"/>
  <c r="AI18" i="1" l="1"/>
  <c r="AI17" i="1"/>
  <c r="AI16" i="1"/>
  <c r="AI13" i="1"/>
  <c r="AI15" i="1"/>
  <c r="AI14" i="1"/>
  <c r="AI12" i="1"/>
  <c r="AI11" i="1"/>
  <c r="AJ371" i="1"/>
  <c r="AJ400" i="1"/>
  <c r="AJ25" i="1"/>
  <c r="AJ298" i="1"/>
  <c r="AJ123" i="1"/>
  <c r="AJ506" i="1"/>
  <c r="AJ386" i="1"/>
  <c r="AJ235" i="1"/>
  <c r="AJ487" i="1"/>
  <c r="AJ185" i="1"/>
  <c r="AJ194" i="1"/>
  <c r="AJ108" i="1"/>
  <c r="AJ409" i="1"/>
  <c r="AJ53" i="1"/>
  <c r="AJ380" i="1"/>
  <c r="AJ79" i="1"/>
  <c r="AJ259" i="1"/>
  <c r="AJ203" i="1"/>
  <c r="AJ575" i="1"/>
  <c r="AJ475" i="1"/>
  <c r="AJ30" i="1"/>
  <c r="AJ26" i="1"/>
  <c r="AJ144" i="1"/>
  <c r="AJ324" i="1"/>
  <c r="AJ112" i="1"/>
  <c r="AJ211" i="1"/>
  <c r="AJ433" i="1"/>
  <c r="AJ430" i="1"/>
  <c r="AJ531" i="1"/>
  <c r="AJ331" i="1"/>
  <c r="AJ176" i="1"/>
  <c r="AJ238" i="1"/>
  <c r="AJ481" i="1"/>
  <c r="AJ301" i="1"/>
  <c r="AJ353" i="1"/>
  <c r="AJ245" i="1"/>
  <c r="AJ48" i="1"/>
  <c r="AJ507" i="1"/>
  <c r="AJ109" i="1"/>
  <c r="AJ132" i="1"/>
  <c r="AJ92" i="1"/>
  <c r="AJ166" i="1"/>
  <c r="AJ529" i="1"/>
  <c r="AJ554" i="1"/>
  <c r="AJ134" i="1"/>
  <c r="AJ248" i="1"/>
  <c r="AJ500" i="1"/>
  <c r="AJ269" i="1"/>
  <c r="AJ218" i="1"/>
  <c r="AJ275" i="1"/>
  <c r="AJ527" i="1"/>
  <c r="AJ137" i="1"/>
  <c r="AJ160" i="1"/>
  <c r="AJ582" i="1"/>
  <c r="AJ229" i="1"/>
  <c r="AJ258" i="1"/>
  <c r="AJ309" i="1"/>
  <c r="AJ536" i="1"/>
  <c r="AJ143" i="1"/>
  <c r="AJ43" i="1"/>
  <c r="AJ424" i="1"/>
  <c r="AJ69" i="1"/>
  <c r="AJ313" i="1"/>
  <c r="AJ124" i="1"/>
  <c r="AJ337" i="1"/>
  <c r="AJ415" i="1"/>
  <c r="AJ139" i="1"/>
  <c r="AJ304" i="1"/>
  <c r="AJ480" i="1"/>
  <c r="AJ579" i="1"/>
  <c r="AJ80" i="1"/>
  <c r="AJ568" i="1"/>
  <c r="AJ368" i="1"/>
  <c r="AJ347" i="1"/>
  <c r="AJ388" i="1"/>
  <c r="AJ272" i="1"/>
  <c r="AJ66" i="1"/>
  <c r="AJ114" i="1"/>
  <c r="AJ561" i="1"/>
  <c r="AJ222" i="1"/>
  <c r="AJ149" i="1"/>
  <c r="AJ42" i="1"/>
  <c r="AJ431" i="1"/>
  <c r="AJ253" i="1"/>
  <c r="AJ205" i="1"/>
  <c r="AJ334" i="1"/>
  <c r="AJ184" i="1"/>
  <c r="AJ517" i="1"/>
  <c r="AJ516" i="1"/>
  <c r="AJ477" i="1"/>
  <c r="AJ501" i="1"/>
  <c r="AJ232" i="1"/>
  <c r="AJ456" i="1"/>
  <c r="AJ319" i="1"/>
  <c r="AJ549" i="1"/>
  <c r="AJ195" i="1"/>
  <c r="AJ219" i="1"/>
  <c r="AJ199" i="1"/>
  <c r="AJ220" i="1"/>
  <c r="AJ408" i="1"/>
  <c r="AJ312" i="1"/>
  <c r="AJ191" i="1"/>
  <c r="AJ511" i="1"/>
  <c r="AJ544" i="1"/>
  <c r="AJ493" i="1"/>
  <c r="AJ254" i="1"/>
  <c r="AJ28" i="1"/>
  <c r="AJ364" i="1"/>
  <c r="AJ246" i="1"/>
  <c r="AJ363" i="1"/>
  <c r="AJ91" i="1"/>
  <c r="AJ156" i="1"/>
  <c r="AJ555" i="1"/>
  <c r="AJ426" i="1"/>
  <c r="AJ287" i="1"/>
  <c r="AJ550" i="1"/>
  <c r="AJ323" i="1"/>
  <c r="AJ564" i="1"/>
  <c r="AJ49" i="1"/>
  <c r="AJ367" i="1"/>
  <c r="AJ391" i="1"/>
  <c r="AJ84" i="1"/>
  <c r="AJ453" i="1"/>
  <c r="AJ563" i="1"/>
  <c r="AJ318" i="1"/>
  <c r="AJ280" i="1"/>
  <c r="AJ27" i="1"/>
  <c r="AJ255" i="1"/>
  <c r="AJ74" i="1"/>
  <c r="AJ19" i="1"/>
  <c r="AJ45" i="1"/>
  <c r="AJ398" i="1"/>
  <c r="AJ497" i="1"/>
  <c r="AJ39" i="1"/>
  <c r="AJ556" i="1"/>
  <c r="AJ518" i="1"/>
  <c r="AJ44" i="1"/>
  <c r="AJ390" i="1"/>
  <c r="AJ357" i="1"/>
  <c r="AJ566" i="1"/>
  <c r="AJ587" i="1"/>
  <c r="AJ483" i="1"/>
  <c r="AJ360" i="1"/>
  <c r="AJ434" i="1"/>
  <c r="AJ330" i="1"/>
  <c r="AJ435" i="1"/>
  <c r="AJ130" i="1"/>
  <c r="AJ437" i="1"/>
  <c r="AJ282" i="1"/>
  <c r="AJ87" i="1"/>
  <c r="AJ36" i="1"/>
  <c r="AJ329" i="1"/>
  <c r="AJ190" i="1"/>
  <c r="AJ249" i="1"/>
  <c r="AJ135" i="1"/>
  <c r="AJ325" i="1"/>
  <c r="AJ94" i="1"/>
  <c r="AJ150" i="1"/>
  <c r="AJ251" i="1"/>
  <c r="AJ233" i="1"/>
  <c r="AJ82" i="1"/>
  <c r="AJ85" i="1"/>
  <c r="AJ346" i="1"/>
  <c r="AJ266" i="1"/>
  <c r="AJ240" i="1"/>
  <c r="AJ237" i="1"/>
  <c r="AJ534" i="1"/>
  <c r="AJ286" i="1"/>
  <c r="AJ356" i="1"/>
  <c r="AJ539" i="1"/>
  <c r="AJ442" i="1"/>
  <c r="AJ215" i="1"/>
  <c r="AJ499" i="1"/>
  <c r="AJ212" i="1"/>
  <c r="AJ373" i="1"/>
  <c r="AJ100" i="1"/>
  <c r="AJ138" i="1"/>
  <c r="AJ10" i="1"/>
  <c r="AJ57" i="1"/>
  <c r="AJ370" i="1"/>
  <c r="AJ116" i="1"/>
  <c r="AJ265" i="1"/>
  <c r="AJ64" i="1"/>
  <c r="AJ227" i="1"/>
  <c r="AJ188" i="1"/>
  <c r="AJ152" i="1"/>
  <c r="AJ236" i="1"/>
  <c r="AJ385" i="1"/>
  <c r="AJ277" i="1"/>
  <c r="AJ35" i="1"/>
  <c r="AJ290" i="1"/>
  <c r="AJ22" i="1"/>
  <c r="AJ311" i="1"/>
  <c r="AJ446" i="1"/>
  <c r="AJ113" i="1"/>
  <c r="AJ580" i="1"/>
  <c r="AJ458" i="1"/>
  <c r="AJ438" i="1"/>
  <c r="AJ59" i="1"/>
  <c r="AJ461" i="1"/>
  <c r="AJ338" i="1"/>
  <c r="AJ595" i="1"/>
  <c r="AJ351" i="1"/>
  <c r="AJ508" i="1"/>
  <c r="AJ395" i="1"/>
  <c r="AJ340" i="1"/>
  <c r="AJ359" i="1"/>
  <c r="AJ451" i="1"/>
  <c r="AJ471" i="1"/>
  <c r="AJ101" i="1"/>
  <c r="AJ349" i="1"/>
  <c r="AJ427" i="1"/>
  <c r="AJ362" i="1"/>
  <c r="AJ592" i="1"/>
  <c r="AJ372" i="1"/>
  <c r="AJ32" i="1"/>
  <c r="AJ37" i="1"/>
  <c r="AJ202" i="1"/>
  <c r="AJ145" i="1"/>
  <c r="AJ484" i="1"/>
  <c r="AJ494" i="1"/>
  <c r="AJ361" i="1"/>
  <c r="AJ565" i="1"/>
  <c r="AJ473" i="1"/>
  <c r="AJ423" i="1"/>
  <c r="AJ551" i="1"/>
  <c r="AJ151" i="1"/>
  <c r="AJ300" i="1"/>
  <c r="AJ20" i="1"/>
  <c r="AJ180" i="1"/>
  <c r="AJ306" i="1"/>
  <c r="AJ307" i="1"/>
  <c r="AJ519" i="1"/>
  <c r="AJ88" i="1"/>
  <c r="AJ590" i="1"/>
  <c r="AJ562" i="1"/>
  <c r="AJ208" i="1"/>
  <c r="AJ472" i="1"/>
  <c r="AJ503" i="1"/>
  <c r="AJ90" i="1"/>
  <c r="AJ394" i="1"/>
  <c r="AJ197" i="1"/>
  <c r="AJ557" i="1"/>
  <c r="AJ103" i="1"/>
  <c r="AJ99" i="1"/>
  <c r="AJ538" i="1"/>
  <c r="AJ56" i="1"/>
  <c r="AJ552" i="1"/>
  <c r="AJ402" i="1"/>
  <c r="AJ594" i="1"/>
  <c r="AJ570" i="1"/>
  <c r="AJ214" i="1"/>
  <c r="AJ419" i="1"/>
  <c r="AJ133" i="1"/>
  <c r="AJ455" i="1"/>
  <c r="AJ352" i="1"/>
  <c r="AJ21" i="1"/>
  <c r="AJ288" i="1"/>
  <c r="AJ571" i="1"/>
  <c r="AJ38" i="1"/>
  <c r="AJ378" i="1"/>
  <c r="AJ558" i="1"/>
  <c r="AJ535" i="1"/>
  <c r="AJ182" i="1"/>
  <c r="AJ75" i="1"/>
  <c r="AJ591" i="1"/>
  <c r="AJ547" i="1"/>
  <c r="AJ302" i="1"/>
  <c r="AJ175" i="1"/>
  <c r="AJ71" i="1"/>
  <c r="AJ559" i="1"/>
  <c r="AJ206" i="1"/>
  <c r="AJ321" i="1"/>
  <c r="AJ532" i="1"/>
  <c r="AJ345" i="1"/>
  <c r="AJ122" i="1"/>
  <c r="AJ70" i="1"/>
  <c r="AJ295" i="1"/>
  <c r="AJ327" i="1"/>
  <c r="AJ482" i="1"/>
  <c r="AJ67" i="1"/>
  <c r="AJ115" i="1"/>
  <c r="AJ448" i="1"/>
  <c r="AJ155" i="1"/>
  <c r="AJ146" i="1"/>
  <c r="AJ348" i="1"/>
  <c r="AJ548" i="1"/>
  <c r="AJ179" i="1"/>
  <c r="AJ581" i="1"/>
  <c r="AJ262" i="1"/>
  <c r="AJ159" i="1"/>
  <c r="AJ541" i="1"/>
  <c r="AJ366" i="1"/>
  <c r="AJ336" i="1"/>
  <c r="AJ333" i="1"/>
  <c r="AJ76" i="1"/>
  <c r="AJ491" i="1"/>
  <c r="AJ201" i="1"/>
  <c r="AJ83" i="1"/>
  <c r="AJ165" i="1"/>
  <c r="AJ148" i="1"/>
  <c r="AJ486" i="1"/>
  <c r="AJ452" i="1"/>
  <c r="AJ170" i="1"/>
  <c r="AJ63" i="1"/>
  <c r="AJ97" i="1"/>
  <c r="AJ328" i="1"/>
  <c r="AJ355" i="1"/>
  <c r="AJ533" i="1"/>
  <c r="AJ504" i="1"/>
  <c r="AJ296" i="1"/>
  <c r="AJ119" i="1"/>
  <c r="AJ167" i="1"/>
  <c r="AJ98" i="1"/>
  <c r="AJ389" i="1"/>
  <c r="AJ289" i="1"/>
  <c r="AJ462" i="1"/>
  <c r="AJ9" i="1"/>
  <c r="AJ350" i="1"/>
  <c r="AJ271" i="1"/>
  <c r="AJ267" i="1"/>
  <c r="AJ225" i="1"/>
  <c r="AJ81" i="1"/>
  <c r="AJ316" i="1"/>
  <c r="AJ404" i="1"/>
  <c r="AJ242" i="1"/>
  <c r="AJ505" i="1"/>
  <c r="AJ174" i="1"/>
  <c r="AJ376" i="1"/>
  <c r="AJ543" i="1"/>
  <c r="AJ546" i="1"/>
  <c r="AJ263" i="1"/>
  <c r="AJ198" i="1"/>
  <c r="AJ230" i="1"/>
  <c r="AJ514" i="1"/>
  <c r="AJ414" i="1"/>
  <c r="AJ545" i="1"/>
  <c r="AJ252" i="1"/>
  <c r="AJ125" i="1"/>
  <c r="AJ411" i="1"/>
  <c r="AJ488" i="1"/>
  <c r="AJ464" i="1"/>
  <c r="AJ447" i="1"/>
  <c r="AJ294" i="1"/>
  <c r="AJ510" i="1"/>
  <c r="AJ305" i="1"/>
  <c r="AJ293" i="1"/>
  <c r="AJ315" i="1"/>
  <c r="AJ61" i="1"/>
  <c r="AJ260" i="1"/>
  <c r="AJ474" i="1"/>
  <c r="AJ496" i="1"/>
  <c r="AJ468" i="1"/>
  <c r="AJ142" i="1"/>
  <c r="AJ577" i="1"/>
  <c r="AJ560" i="1"/>
  <c r="AJ129" i="1"/>
  <c r="AJ276" i="1"/>
  <c r="AJ399" i="1"/>
  <c r="AJ221" i="1"/>
  <c r="AJ593" i="1"/>
  <c r="AJ68" i="1"/>
  <c r="AJ169" i="1"/>
  <c r="AJ417" i="1"/>
  <c r="AJ284" i="1"/>
  <c r="AJ443" i="1"/>
  <c r="AJ521" i="1"/>
  <c r="AJ413" i="1"/>
  <c r="AJ445" i="1"/>
  <c r="AJ207" i="1"/>
  <c r="AJ283" i="1"/>
  <c r="AJ375" i="1"/>
  <c r="AJ186" i="1"/>
  <c r="AJ465" i="1"/>
  <c r="AJ454" i="1"/>
  <c r="AJ234" i="1"/>
  <c r="AJ250" i="1"/>
  <c r="AJ530" i="1"/>
  <c r="AJ168" i="1"/>
  <c r="AJ154" i="1"/>
  <c r="AJ397" i="1"/>
  <c r="AJ257" i="1"/>
  <c r="AJ60" i="1"/>
  <c r="AJ58" i="1"/>
  <c r="AJ55" i="1"/>
  <c r="AJ383" i="1"/>
  <c r="AJ439" i="1"/>
  <c r="AJ523" i="1"/>
  <c r="AJ320" i="1"/>
  <c r="AJ567" i="1"/>
  <c r="AJ489" i="1"/>
  <c r="AJ54" i="1"/>
  <c r="AJ515" i="1"/>
  <c r="AJ422" i="1"/>
  <c r="AJ110" i="1"/>
  <c r="AJ158" i="1"/>
  <c r="AJ213" i="1"/>
  <c r="AJ117" i="1"/>
  <c r="AJ147" i="1"/>
  <c r="AJ78" i="1"/>
  <c r="AJ322" i="1"/>
  <c r="AJ34" i="1"/>
  <c r="AJ291" i="1"/>
  <c r="AJ303" i="1"/>
  <c r="AJ279" i="1"/>
  <c r="AJ299" i="1"/>
  <c r="AJ470" i="1"/>
  <c r="AJ181" i="1"/>
  <c r="AJ589" i="1"/>
  <c r="AJ412" i="1"/>
  <c r="AJ46" i="1"/>
  <c r="AJ177" i="1"/>
  <c r="AJ441" i="1"/>
  <c r="AJ209" i="1"/>
  <c r="AJ401" i="1"/>
  <c r="AJ450" i="1"/>
  <c r="AJ410" i="1"/>
  <c r="AJ52" i="1"/>
  <c r="AJ393" i="1"/>
  <c r="AJ578" i="1"/>
  <c r="AJ111" i="1"/>
  <c r="AJ502" i="1"/>
  <c r="AJ51" i="1"/>
  <c r="AJ189" i="1"/>
  <c r="AJ126" i="1"/>
  <c r="AJ429" i="1"/>
  <c r="AJ583" i="1"/>
  <c r="AJ343" i="1"/>
  <c r="AJ365" i="1"/>
  <c r="AJ341" i="1"/>
  <c r="AJ228" i="1"/>
  <c r="AJ421" i="1"/>
  <c r="AJ244" i="1"/>
  <c r="AJ513" i="1"/>
  <c r="AJ596" i="1"/>
  <c r="AJ332" i="1"/>
  <c r="AJ278" i="1"/>
  <c r="AJ444" i="1"/>
  <c r="AJ243" i="1"/>
  <c r="AJ65" i="1"/>
  <c r="AJ204" i="1"/>
  <c r="AJ192" i="1"/>
  <c r="AJ50" i="1"/>
  <c r="AJ105" i="1"/>
  <c r="AJ387" i="1"/>
  <c r="AJ161" i="1"/>
  <c r="AJ457" i="1"/>
  <c r="AJ358" i="1"/>
  <c r="AJ285" i="1"/>
  <c r="AJ196" i="1"/>
  <c r="AJ178" i="1"/>
  <c r="AJ467" i="1"/>
  <c r="AJ241" i="1"/>
  <c r="AJ574" i="1"/>
  <c r="AJ102" i="1"/>
  <c r="AJ490" i="1"/>
  <c r="AJ524" i="1"/>
  <c r="AJ392" i="1"/>
  <c r="AJ335" i="1"/>
  <c r="AJ141" i="1"/>
  <c r="AJ47" i="1"/>
  <c r="AJ239" i="1"/>
  <c r="AJ416" i="1"/>
  <c r="AJ377" i="1"/>
  <c r="AJ163" i="1"/>
  <c r="AJ599" i="1"/>
  <c r="AJ317" i="1"/>
  <c r="AJ95" i="1"/>
  <c r="AJ485" i="1"/>
  <c r="AJ297" i="1"/>
  <c r="AJ96" i="1"/>
  <c r="AJ310" i="1"/>
  <c r="AJ597" i="1"/>
  <c r="AJ210" i="1"/>
  <c r="AJ459" i="1"/>
  <c r="AJ270" i="1"/>
  <c r="AJ121" i="1"/>
  <c r="AJ396" i="1"/>
  <c r="AJ436" i="1"/>
  <c r="AJ379" i="1"/>
  <c r="AJ73" i="1"/>
  <c r="AJ40" i="1"/>
  <c r="AJ120" i="1"/>
  <c r="AJ261" i="1"/>
  <c r="AJ200" i="1"/>
  <c r="AJ256" i="1"/>
  <c r="AJ339" i="1"/>
  <c r="AJ86" i="1"/>
  <c r="AJ542" i="1"/>
  <c r="AJ29" i="1"/>
  <c r="AJ586" i="1"/>
  <c r="AJ131" i="1"/>
  <c r="AJ173" i="1"/>
  <c r="AJ308" i="1"/>
  <c r="AJ512" i="1"/>
  <c r="AJ107" i="1"/>
  <c r="AJ382" i="1"/>
  <c r="AJ314" i="1"/>
  <c r="AJ127" i="1"/>
  <c r="AJ440" i="1"/>
  <c r="AJ231" i="1"/>
  <c r="AJ89" i="1"/>
  <c r="AJ469" i="1"/>
  <c r="AJ463" i="1"/>
  <c r="AJ247" i="1"/>
  <c r="AJ136" i="1"/>
  <c r="AJ407" i="1"/>
  <c r="AJ273" i="1"/>
  <c r="AJ342" i="1"/>
  <c r="AJ374" i="1"/>
  <c r="AJ384" i="1"/>
  <c r="AJ106" i="1"/>
  <c r="AJ495" i="1"/>
  <c r="AJ369" i="1"/>
  <c r="AJ217" i="1"/>
  <c r="AJ537" i="1"/>
  <c r="AJ118" i="1"/>
  <c r="AJ569" i="1"/>
  <c r="AJ598" i="1"/>
  <c r="AJ226" i="1"/>
  <c r="AJ406" i="1"/>
  <c r="AJ264" i="1"/>
  <c r="AJ193" i="1"/>
  <c r="AJ528" i="1"/>
  <c r="AJ153" i="1"/>
  <c r="AJ509" i="1"/>
  <c r="AJ41" i="1"/>
  <c r="AJ428" i="1"/>
  <c r="AJ449" i="1"/>
  <c r="AJ62" i="1"/>
  <c r="AJ553" i="1"/>
  <c r="AJ157" i="1"/>
  <c r="AJ403" i="1"/>
  <c r="AJ183" i="1"/>
  <c r="AJ572" i="1"/>
  <c r="AJ432" i="1"/>
  <c r="AJ425" i="1"/>
  <c r="AJ104" i="1"/>
  <c r="AJ31" i="1"/>
  <c r="AJ187" i="1"/>
  <c r="AJ24" i="1"/>
  <c r="AJ224" i="1"/>
  <c r="AJ420" i="1"/>
  <c r="AJ292" i="1"/>
  <c r="AJ492" i="1"/>
  <c r="AJ72" i="1"/>
  <c r="AJ172" i="1"/>
  <c r="AJ476" i="1"/>
  <c r="AJ522" i="1"/>
  <c r="AJ23" i="1"/>
  <c r="AJ526" i="1"/>
  <c r="AJ33" i="1"/>
  <c r="AJ128" i="1"/>
  <c r="AJ525" i="1"/>
  <c r="AJ576" i="1"/>
  <c r="AJ223" i="1"/>
  <c r="AJ326" i="1"/>
  <c r="AJ354" i="1"/>
  <c r="AJ584" i="1"/>
  <c r="AJ479" i="1"/>
  <c r="AJ281" i="1"/>
  <c r="AJ344" i="1"/>
  <c r="AJ164" i="1"/>
  <c r="AJ573" i="1"/>
  <c r="AJ77" i="1"/>
  <c r="AJ405" i="1"/>
  <c r="AJ162" i="1"/>
  <c r="AJ171" i="1"/>
  <c r="AJ381" i="1"/>
  <c r="AJ520" i="1"/>
  <c r="AJ588" i="1"/>
  <c r="AJ216" i="1"/>
  <c r="AJ540" i="1"/>
  <c r="AJ460" i="1"/>
  <c r="AJ140" i="1"/>
  <c r="AJ274" i="1"/>
  <c r="AJ93" i="1"/>
  <c r="AJ478" i="1"/>
  <c r="AJ268" i="1"/>
  <c r="AJ498" i="1"/>
  <c r="AJ418" i="1"/>
  <c r="AJ585" i="1"/>
  <c r="AJ466" i="1"/>
  <c r="AG660" i="1"/>
  <c r="AG667" i="1"/>
  <c r="AG691" i="1"/>
  <c r="AG621" i="1"/>
  <c r="AG618" i="1"/>
  <c r="AG627" i="1"/>
  <c r="AG683" i="1"/>
  <c r="AG694" i="1"/>
  <c r="AG619" i="1"/>
  <c r="AG610" i="1"/>
  <c r="AG637" i="1"/>
  <c r="AG690" i="1"/>
  <c r="AG628" i="1"/>
  <c r="AG636" i="1"/>
  <c r="AG698" i="1"/>
  <c r="AG623" i="1"/>
  <c r="AG622" i="1"/>
  <c r="AG645" i="1"/>
  <c r="AG642" i="1"/>
  <c r="AG649" i="1"/>
  <c r="AG631" i="1"/>
  <c r="AG685" i="1"/>
  <c r="AG686" i="1"/>
  <c r="AG665" i="1"/>
  <c r="AG699" i="1"/>
  <c r="AG682" i="1"/>
  <c r="AG674" i="1"/>
  <c r="AG603" i="1"/>
  <c r="AG604" i="1"/>
  <c r="AG626" i="1"/>
  <c r="AG612" i="1"/>
  <c r="AG680" i="1"/>
  <c r="AG614" i="1"/>
  <c r="AG687" i="1"/>
  <c r="AG689" i="1"/>
  <c r="AG648" i="1"/>
  <c r="AG640" i="1"/>
  <c r="AG605" i="1"/>
  <c r="AG613" i="1"/>
  <c r="AG662" i="1"/>
  <c r="AG696" i="1"/>
  <c r="AG692" i="1"/>
  <c r="AG609" i="1"/>
  <c r="AG606" i="1"/>
  <c r="AG616" i="1"/>
  <c r="AG688" i="1"/>
  <c r="AG656" i="1"/>
  <c r="AG695" i="1"/>
  <c r="AG661" i="1"/>
  <c r="AG664" i="1"/>
  <c r="AG651" i="1"/>
  <c r="AG669" i="1"/>
  <c r="AG641" i="1"/>
  <c r="AG677" i="1"/>
  <c r="AG684" i="1"/>
  <c r="AG633" i="1"/>
  <c r="AG666" i="1"/>
  <c r="AG630" i="1"/>
  <c r="AG654" i="1"/>
  <c r="AG655" i="1"/>
  <c r="AG678" i="1"/>
  <c r="AG653" i="1"/>
  <c r="AG668" i="1"/>
  <c r="AG681" i="1"/>
  <c r="AG629" i="1"/>
  <c r="AG671" i="1"/>
  <c r="AG620" i="1"/>
  <c r="AG608" i="1"/>
  <c r="AG679" i="1"/>
  <c r="AG617" i="1"/>
  <c r="AG644" i="1"/>
  <c r="AG634" i="1"/>
  <c r="AG643" i="1"/>
  <c r="AG647" i="1"/>
  <c r="AG624" i="1"/>
  <c r="AG615" i="1"/>
  <c r="AG659" i="1"/>
  <c r="AG652" i="1"/>
  <c r="AG673" i="1"/>
  <c r="AG601" i="1"/>
  <c r="AG675" i="1"/>
  <c r="AG602" i="1"/>
  <c r="AG657" i="1"/>
  <c r="AG670" i="1"/>
  <c r="AG693" i="1"/>
  <c r="AG635" i="1"/>
  <c r="AG638" i="1"/>
  <c r="AG676" i="1"/>
  <c r="AG632" i="1"/>
  <c r="AG658" i="1"/>
  <c r="AG607" i="1"/>
  <c r="AG611" i="1"/>
  <c r="AG646" i="1"/>
  <c r="AG625" i="1"/>
  <c r="AG697" i="1"/>
  <c r="AG639" i="1"/>
  <c r="AG650" i="1"/>
  <c r="AG672" i="1"/>
  <c r="AG663" i="1"/>
  <c r="AJ18" i="1" a="1"/>
  <c r="AJ17" i="1" a="1"/>
  <c r="AJ16" i="1" a="1"/>
  <c r="AJ13" i="1" a="1"/>
  <c r="AJ15" i="1" a="1"/>
  <c r="AJ14" i="1" a="1"/>
  <c r="AJ12" i="1" a="1"/>
  <c r="AJ11" i="1" a="1"/>
  <c r="AK371" i="1" a="1"/>
  <c r="AK409" i="1" a="1"/>
  <c r="AK112" i="1" a="1"/>
  <c r="AK48" i="1" a="1"/>
  <c r="AK218" i="1" a="1"/>
  <c r="AK43" i="1" a="1"/>
  <c r="AK568" i="1" a="1"/>
  <c r="AK253" i="1" a="1"/>
  <c r="AK195" i="1" a="1"/>
  <c r="AK364" i="1" a="1"/>
  <c r="AK49" i="1" a="1"/>
  <c r="AK45" i="1" a="1"/>
  <c r="AK360" i="1" a="1"/>
  <c r="AK135" i="1" a="1"/>
  <c r="AK237" i="1" a="1"/>
  <c r="AK10" i="1" a="1"/>
  <c r="AK277" i="1" a="1"/>
  <c r="AK461" i="1" a="1"/>
  <c r="AK427" i="1" a="1"/>
  <c r="AK473" i="1" a="1"/>
  <c r="AK562" i="1" a="1"/>
  <c r="AK56" i="1" a="1"/>
  <c r="AK288" i="1" a="1"/>
  <c r="AK71" i="1" a="1"/>
  <c r="AK115" i="1" a="1"/>
  <c r="AK336" i="1" a="1"/>
  <c r="AK63" i="1" a="1"/>
  <c r="AK462" i="1" a="1"/>
  <c r="AK376" i="1" a="1"/>
  <c r="AK488" i="1" a="1"/>
  <c r="AK468" i="1" a="1"/>
  <c r="AK284" i="1" a="1"/>
  <c r="AK250" i="1" a="1"/>
  <c r="AK320" i="1" a="1"/>
  <c r="AK322" i="1" a="1"/>
  <c r="AK441" i="1" a="1"/>
  <c r="AK126" i="1" a="1"/>
  <c r="AK278" i="1" a="1"/>
  <c r="AK285" i="1" a="1"/>
  <c r="AK47" i="1" a="1"/>
  <c r="AK597" i="1" a="1"/>
  <c r="AK200" i="1" a="1"/>
  <c r="AK382" i="1" a="1"/>
  <c r="AK342" i="1" a="1"/>
  <c r="AK406" i="1" a="1"/>
  <c r="AK403" i="1" a="1"/>
  <c r="AK492" i="1" a="1"/>
  <c r="AK326" i="1" a="1"/>
  <c r="AK381" i="1" a="1"/>
  <c r="AK418" i="1" a="1"/>
  <c r="AK472" i="1" a="1"/>
  <c r="AK76" i="1" a="1"/>
  <c r="AK546" i="1" a="1"/>
  <c r="AK577" i="1" a="1"/>
  <c r="AK168" i="1" a="1"/>
  <c r="AK291" i="1" a="1"/>
  <c r="AK401" i="1" a="1"/>
  <c r="AK178" i="1" a="1"/>
  <c r="AK459" i="1" a="1"/>
  <c r="AK127" i="1" a="1"/>
  <c r="AK193" i="1" a="1"/>
  <c r="AK172" i="1" a="1"/>
  <c r="AK588" i="1" a="1"/>
  <c r="AK54" i="1" a="1"/>
  <c r="AK65" i="1" a="1"/>
  <c r="AK377" i="1" a="1"/>
  <c r="AK270" i="1" a="1"/>
  <c r="AK106" i="1" a="1"/>
  <c r="AK476" i="1" a="1"/>
  <c r="AK216" i="1" a="1"/>
  <c r="AK123" i="1" a="1"/>
  <c r="AK272" i="1" a="1"/>
  <c r="AK453" i="1" a="1"/>
  <c r="AK130" i="1" a="1"/>
  <c r="AK539" i="1" a="1"/>
  <c r="AK22" i="1" a="1"/>
  <c r="AK32" i="1" a="1"/>
  <c r="AK90" i="1" a="1"/>
  <c r="AK558" i="1" a="1"/>
  <c r="AK532" i="1" a="1"/>
  <c r="AK348" i="1" a="1"/>
  <c r="AK533" i="1" a="1"/>
  <c r="AK267" i="1" a="1"/>
  <c r="AK510" i="1" a="1"/>
  <c r="AK445" i="1" a="1"/>
  <c r="AK515" i="1" a="1"/>
  <c r="AK410" i="1" a="1"/>
  <c r="AK204" i="1" a="1"/>
  <c r="AK163" i="1" a="1"/>
  <c r="AK231" i="1" a="1"/>
  <c r="AK425" i="1" a="1"/>
  <c r="AK540" i="1" a="1"/>
  <c r="AK506" i="1" a="1"/>
  <c r="AK337" i="1" a="1"/>
  <c r="AK516" i="1" a="1"/>
  <c r="AK156" i="1" a="1"/>
  <c r="AK518" i="1" a="1"/>
  <c r="AK442" i="1" a="1"/>
  <c r="AK311" i="1" a="1"/>
  <c r="AK37" i="1" a="1"/>
  <c r="AK394" i="1" a="1"/>
  <c r="AK535" i="1" a="1"/>
  <c r="AK83" i="1" a="1"/>
  <c r="AK225" i="1" a="1"/>
  <c r="AK276" i="1" a="1"/>
  <c r="AK257" i="1" a="1"/>
  <c r="AK299" i="1" a="1"/>
  <c r="AK341" i="1" a="1"/>
  <c r="AK599" i="1" a="1"/>
  <c r="AK29" i="1" a="1"/>
  <c r="AK23" i="1" a="1"/>
  <c r="AK575" i="1" a="1"/>
  <c r="AK282" i="1" a="1"/>
  <c r="AK197" i="1" a="1"/>
  <c r="AK81" i="1" a="1"/>
  <c r="AK110" i="1" a="1"/>
  <c r="AK317" i="1" a="1"/>
  <c r="AK526" i="1" a="1"/>
  <c r="AK554" i="1" a="1"/>
  <c r="AK229" i="1" a="1"/>
  <c r="AK561" i="1" a="1"/>
  <c r="AK426" i="1" a="1"/>
  <c r="AK390" i="1" a="1"/>
  <c r="AK82" i="1" a="1"/>
  <c r="AK227" i="1" a="1"/>
  <c r="AK359" i="1" a="1"/>
  <c r="AK557" i="1" a="1"/>
  <c r="AK75" i="1" a="1"/>
  <c r="AK581" i="1" a="1"/>
  <c r="AK316" i="1" a="1"/>
  <c r="AK315" i="1" a="1"/>
  <c r="AK58" i="1" a="1"/>
  <c r="AK578" i="1" a="1"/>
  <c r="AK105" i="1" a="1"/>
  <c r="AK379" i="1" a="1"/>
  <c r="AK537" i="1" a="1"/>
  <c r="AK187" i="1" a="1"/>
  <c r="AK274" i="1" a="1"/>
  <c r="AK30" i="1" a="1"/>
  <c r="AK111" i="1" a="1"/>
  <c r="AK24" i="1" a="1"/>
  <c r="AK301" i="1" a="1"/>
  <c r="AK149" i="1" a="1"/>
  <c r="AK493" i="1" a="1"/>
  <c r="AK346" i="1" a="1"/>
  <c r="AK458" i="1" a="1"/>
  <c r="AK99" i="1" a="1"/>
  <c r="AK159" i="1" a="1"/>
  <c r="AK98" i="1" a="1"/>
  <c r="AK68" i="1" a="1"/>
  <c r="AK117" i="1" a="1"/>
  <c r="AK502" i="1" a="1"/>
  <c r="AK161" i="1" a="1"/>
  <c r="AK40" i="1" a="1"/>
  <c r="AK569" i="1" a="1"/>
  <c r="AK224" i="1" a="1"/>
  <c r="AK405" i="1" a="1"/>
  <c r="AK144" i="1" a="1"/>
  <c r="AK236" i="1" a="1"/>
  <c r="AK170" i="1" a="1"/>
  <c r="AK147" i="1" a="1"/>
  <c r="AK120" i="1" a="1"/>
  <c r="AK162" i="1" a="1"/>
  <c r="AK245" i="1" a="1"/>
  <c r="AK431" i="1" a="1"/>
  <c r="AK28" i="1" a="1"/>
  <c r="AK19" i="1" a="1"/>
  <c r="AK249" i="1" a="1"/>
  <c r="AK385" i="1" a="1"/>
  <c r="AK565" i="1" a="1"/>
  <c r="AK538" i="1" a="1"/>
  <c r="AK175" i="1" a="1"/>
  <c r="AK411" i="1" a="1"/>
  <c r="AK417" i="1" a="1"/>
  <c r="AK523" i="1" a="1"/>
  <c r="AK189" i="1" a="1"/>
  <c r="AK141" i="1" a="1"/>
  <c r="AK107" i="1" a="1"/>
  <c r="AK157" i="1" a="1"/>
  <c r="AK223" i="1" a="1"/>
  <c r="AK400" i="1" a="1"/>
  <c r="AK53" i="1" a="1"/>
  <c r="AK211" i="1" a="1"/>
  <c r="AK507" i="1" a="1"/>
  <c r="AK275" i="1" a="1"/>
  <c r="AK424" i="1" a="1"/>
  <c r="AK368" i="1" a="1"/>
  <c r="AK205" i="1" a="1"/>
  <c r="AK219" i="1" a="1"/>
  <c r="AK367" i="1" a="1"/>
  <c r="AK398" i="1" a="1"/>
  <c r="AK434" i="1" a="1"/>
  <c r="AK325" i="1" a="1"/>
  <c r="AK534" i="1" a="1"/>
  <c r="AK57" i="1" a="1"/>
  <c r="AK35" i="1" a="1"/>
  <c r="AK338" i="1" a="1"/>
  <c r="AK362" i="1" a="1"/>
  <c r="AK423" i="1" a="1"/>
  <c r="AK208" i="1" a="1"/>
  <c r="AK552" i="1" a="1"/>
  <c r="AK571" i="1" a="1"/>
  <c r="AK559" i="1" a="1"/>
  <c r="AK448" i="1" a="1"/>
  <c r="AK333" i="1" a="1"/>
  <c r="AK97" i="1" a="1"/>
  <c r="AK9" i="1" a="1"/>
  <c r="AK543" i="1" a="1"/>
  <c r="AK464" i="1" a="1"/>
  <c r="AK142" i="1" a="1"/>
  <c r="AK443" i="1" a="1"/>
  <c r="AK530" i="1" a="1"/>
  <c r="AK567" i="1" a="1"/>
  <c r="AK34" i="1" a="1"/>
  <c r="AK209" i="1" a="1"/>
  <c r="AK429" i="1" a="1"/>
  <c r="AK444" i="1" a="1"/>
  <c r="AK196" i="1" a="1"/>
  <c r="AK239" i="1" a="1"/>
  <c r="AK210" i="1" a="1"/>
  <c r="AK256" i="1" a="1"/>
  <c r="AK314" i="1" a="1"/>
  <c r="AK374" i="1" a="1"/>
  <c r="AK264" i="1" a="1"/>
  <c r="AK183" i="1" a="1"/>
  <c r="AK72" i="1" a="1"/>
  <c r="AK354" i="1" a="1"/>
  <c r="AK520" i="1" a="1"/>
  <c r="AK585" i="1" a="1"/>
  <c r="AK592" i="1" a="1"/>
  <c r="AK155" i="1" a="1"/>
  <c r="AK350" i="1" a="1"/>
  <c r="AK447" i="1" a="1"/>
  <c r="AK521" i="1" a="1"/>
  <c r="AK489" i="1" a="1"/>
  <c r="AK583" i="1" a="1"/>
  <c r="AK416" i="1" a="1"/>
  <c r="AK339" i="1" a="1"/>
  <c r="AK384" i="1" a="1"/>
  <c r="AK572" i="1" a="1"/>
  <c r="AK584" i="1" a="1"/>
  <c r="AK466" i="1" a="1"/>
  <c r="AK303" i="1" a="1"/>
  <c r="AK343" i="1" a="1"/>
  <c r="AK467" i="1" a="1"/>
  <c r="AK86" i="1" a="1"/>
  <c r="AK528" i="1" a="1"/>
  <c r="AK432" i="1" a="1"/>
  <c r="AK479" i="1" a="1"/>
  <c r="AK259" i="1" a="1"/>
  <c r="AK137" i="1" a="1"/>
  <c r="AK124" i="1" a="1"/>
  <c r="AK517" i="1" a="1"/>
  <c r="AK408" i="1" a="1"/>
  <c r="AK91" i="1" a="1"/>
  <c r="AK556" i="1" a="1"/>
  <c r="AK150" i="1" a="1"/>
  <c r="AK116" i="1" a="1"/>
  <c r="AK508" i="1" a="1"/>
  <c r="AK300" i="1" a="1"/>
  <c r="AK570" i="1" a="1"/>
  <c r="AK201" i="1" a="1"/>
  <c r="AK198" i="1" a="1"/>
  <c r="AK129" i="1" a="1"/>
  <c r="AK397" i="1" a="1"/>
  <c r="AK279" i="1" a="1"/>
  <c r="AK365" i="1" a="1"/>
  <c r="AK241" i="1" a="1"/>
  <c r="AK121" i="1" a="1"/>
  <c r="AK542" i="1" a="1"/>
  <c r="AK495" i="1" a="1"/>
  <c r="AK522" i="1" a="1"/>
  <c r="AK203" i="1" a="1"/>
  <c r="AK160" i="1" a="1"/>
  <c r="AK66" i="1" a="1"/>
  <c r="AK312" i="1" a="1"/>
  <c r="AK563" i="1" a="1"/>
  <c r="AK437" i="1" a="1"/>
  <c r="AK251" i="1" a="1"/>
  <c r="AK265" i="1" a="1"/>
  <c r="AK395" i="1" a="1"/>
  <c r="AK20" i="1" a="1"/>
  <c r="AK214" i="1" a="1"/>
  <c r="AK345" i="1" a="1"/>
  <c r="AK504" i="1" a="1"/>
  <c r="AK230" i="1" a="1"/>
  <c r="AK207" i="1" a="1"/>
  <c r="AK422" i="1" a="1"/>
  <c r="AK52" i="1" a="1"/>
  <c r="AK574" i="1" a="1"/>
  <c r="AK396" i="1" a="1"/>
  <c r="AK369" i="1" a="1"/>
  <c r="AK509" i="1" a="1"/>
  <c r="AK104" i="1" a="1"/>
  <c r="AK460" i="1" a="1"/>
  <c r="AK386" i="1" a="1"/>
  <c r="AK233" i="1" a="1"/>
  <c r="AK122" i="1" a="1"/>
  <c r="AK293" i="1" a="1"/>
  <c r="AK393" i="1" a="1"/>
  <c r="AK436" i="1" a="1"/>
  <c r="AK31" i="1" a="1"/>
  <c r="AK238" i="1" a="1"/>
  <c r="AK139" i="1" a="1"/>
  <c r="AK501" i="1" a="1"/>
  <c r="AK511" i="1" a="1"/>
  <c r="AK280" i="1" a="1"/>
  <c r="AK87" i="1" a="1"/>
  <c r="AK499" i="1" a="1"/>
  <c r="AK145" i="1" a="1"/>
  <c r="AK133" i="1" a="1"/>
  <c r="AK70" i="1" a="1"/>
  <c r="AK148" i="1" a="1"/>
  <c r="AK414" i="1" a="1"/>
  <c r="AK375" i="1" a="1"/>
  <c r="AK158" i="1" a="1"/>
  <c r="AK421" i="1" a="1"/>
  <c r="AK490" i="1" a="1"/>
  <c r="AK131" i="1" a="1"/>
  <c r="AK428" i="1" a="1"/>
  <c r="AK573" i="1" a="1"/>
  <c r="AK487" i="1" a="1"/>
  <c r="AK591" i="1" a="1"/>
  <c r="AK589" i="1" a="1"/>
  <c r="AK449" i="1" a="1"/>
  <c r="AK248" i="1" a="1"/>
  <c r="AK309" i="1" a="1"/>
  <c r="AK480" i="1" a="1"/>
  <c r="AK456" i="1" a="1"/>
  <c r="AK550" i="1" a="1"/>
  <c r="AK566" i="1" a="1"/>
  <c r="AK373" i="1" a="1"/>
  <c r="AK152" i="1" a="1"/>
  <c r="AK471" i="1" a="1"/>
  <c r="AK519" i="1" a="1"/>
  <c r="AK455" i="1" a="1"/>
  <c r="AK327" i="1" a="1"/>
  <c r="AK452" i="1" a="1"/>
  <c r="AK242" i="1" a="1"/>
  <c r="AK260" i="1" a="1"/>
  <c r="AK383" i="1" a="1"/>
  <c r="AK412" i="1" a="1"/>
  <c r="AK513" i="1" a="1"/>
  <c r="AK297" i="1" a="1"/>
  <c r="AK136" i="1" a="1"/>
  <c r="AK62" i="1" a="1"/>
  <c r="AK525" i="1" a="1"/>
  <c r="AK194" i="1" a="1"/>
  <c r="AK101" i="1" a="1"/>
  <c r="AK389" i="1" a="1"/>
  <c r="AK439" i="1" a="1"/>
  <c r="AK96" i="1" a="1"/>
  <c r="AK576" i="1" a="1"/>
  <c r="AK269" i="1" a="1"/>
  <c r="AK143" i="1" a="1"/>
  <c r="AK80" i="1" a="1"/>
  <c r="AK549" i="1" a="1"/>
  <c r="AK564" i="1" a="1"/>
  <c r="AK483" i="1" a="1"/>
  <c r="AK240" i="1" a="1"/>
  <c r="AK59" i="1" a="1"/>
  <c r="AK590" i="1" a="1"/>
  <c r="AK21" i="1" a="1"/>
  <c r="AK67" i="1" a="1"/>
  <c r="AK289" i="1" a="1"/>
  <c r="AK496" i="1" a="1"/>
  <c r="AK234" i="1" a="1"/>
  <c r="AK177" i="1" a="1"/>
  <c r="AK358" i="1" a="1"/>
  <c r="AK310" i="1" a="1"/>
  <c r="AK273" i="1" a="1"/>
  <c r="AK292" i="1" a="1"/>
  <c r="AK171" i="1" a="1"/>
  <c r="AK25" i="1" a="1"/>
  <c r="AK380" i="1" a="1"/>
  <c r="AK433" i="1" a="1"/>
  <c r="AK109" i="1" a="1"/>
  <c r="AK69" i="1" a="1"/>
  <c r="AK347" i="1" a="1"/>
  <c r="AK334" i="1" a="1"/>
  <c r="AK199" i="1" a="1"/>
  <c r="AK246" i="1" a="1"/>
  <c r="AK391" i="1" a="1"/>
  <c r="AK497" i="1" a="1"/>
  <c r="AK330" i="1" a="1"/>
  <c r="AK286" i="1" a="1"/>
  <c r="AK370" i="1" a="1"/>
  <c r="AK595" i="1" a="1"/>
  <c r="AK551" i="1" a="1"/>
  <c r="AK402" i="1" a="1"/>
  <c r="AK38" i="1" a="1"/>
  <c r="AK206" i="1" a="1"/>
  <c r="AK328" i="1" a="1"/>
  <c r="AK243" i="1" a="1"/>
  <c r="AK92" i="1" a="1"/>
  <c r="AK153" i="1" a="1"/>
  <c r="AK166" i="1" a="1"/>
  <c r="AK305" i="1" a="1"/>
  <c r="AK89" i="1" a="1"/>
  <c r="AK176" i="1" a="1"/>
  <c r="AK114" i="1" a="1"/>
  <c r="AK477" i="1" a="1"/>
  <c r="AK555" i="1" a="1"/>
  <c r="AK44" i="1" a="1"/>
  <c r="AK64" i="1" a="1"/>
  <c r="AK340" i="1" a="1"/>
  <c r="AK180" i="1" a="1"/>
  <c r="AK182" i="1" a="1"/>
  <c r="AK165" i="1" a="1"/>
  <c r="AK514" i="1" a="1"/>
  <c r="AK283" i="1" a="1"/>
  <c r="AK60" i="1" a="1"/>
  <c r="AK228" i="1" a="1"/>
  <c r="AK102" i="1" a="1"/>
  <c r="AK469" i="1" a="1"/>
  <c r="AK41" i="1" a="1"/>
  <c r="AK140" i="1" a="1"/>
  <c r="AK235" i="1" a="1"/>
  <c r="AK306" i="1" a="1"/>
  <c r="AK221" i="1" a="1"/>
  <c r="AK95" i="1" a="1"/>
  <c r="AK33" i="1" a="1"/>
  <c r="AK481" i="1" a="1"/>
  <c r="AK258" i="1" a="1"/>
  <c r="AK232" i="1" a="1"/>
  <c r="AK27" i="1" a="1"/>
  <c r="AK212" i="1" a="1"/>
  <c r="AK580" i="1" a="1"/>
  <c r="AK307" i="1" a="1"/>
  <c r="AK295" i="1" a="1"/>
  <c r="AK486" i="1" a="1"/>
  <c r="AK545" i="1" a="1"/>
  <c r="AK593" i="1" a="1"/>
  <c r="AK55" i="1" a="1"/>
  <c r="AK244" i="1" a="1"/>
  <c r="AK524" i="1" a="1"/>
  <c r="AK73" i="1" a="1"/>
  <c r="AK118" i="1" a="1"/>
  <c r="AK77" i="1" a="1"/>
  <c r="AK185" i="1" a="1"/>
  <c r="AK329" i="1" a="1"/>
  <c r="AK547" i="1" a="1"/>
  <c r="AK465" i="1" a="1"/>
  <c r="AK308" i="1" a="1"/>
  <c r="AK500" i="1" a="1"/>
  <c r="AK536" i="1" a="1"/>
  <c r="AK579" i="1" a="1"/>
  <c r="AK319" i="1" a="1"/>
  <c r="AK323" i="1" a="1"/>
  <c r="AK74" i="1" a="1"/>
  <c r="AK190" i="1" a="1"/>
  <c r="AK100" i="1" a="1"/>
  <c r="AK361" i="1" a="1"/>
  <c r="AK482" i="1" a="1"/>
  <c r="AK125" i="1" a="1"/>
  <c r="AK169" i="1" a="1"/>
  <c r="AK454" i="1" a="1"/>
  <c r="AK46" i="1" a="1"/>
  <c r="AK596" i="1" a="1"/>
  <c r="AK335" i="1" a="1"/>
  <c r="AK407" i="1" a="1"/>
  <c r="AK598" i="1" a="1"/>
  <c r="AK420" i="1" a="1"/>
  <c r="AK268" i="1" a="1"/>
  <c r="AK108" i="1" a="1"/>
  <c r="AK349" i="1" a="1"/>
  <c r="AK174" i="1" a="1"/>
  <c r="AK332" i="1" a="1"/>
  <c r="AK226" i="1" a="1"/>
  <c r="AK298" i="1" a="1"/>
  <c r="AK79" i="1" a="1"/>
  <c r="AK430" i="1" a="1"/>
  <c r="AK132" i="1" a="1"/>
  <c r="AK527" i="1" a="1"/>
  <c r="AK313" i="1" a="1"/>
  <c r="AK388" i="1" a="1"/>
  <c r="AK184" i="1" a="1"/>
  <c r="AK220" i="1" a="1"/>
  <c r="AK363" i="1" a="1"/>
  <c r="AK84" i="1" a="1"/>
  <c r="AK39" i="1" a="1"/>
  <c r="AK435" i="1" a="1"/>
  <c r="AK94" i="1" a="1"/>
  <c r="AK356" i="1" a="1"/>
  <c r="AK290" i="1" a="1"/>
  <c r="AK351" i="1" a="1"/>
  <c r="AK372" i="1" a="1"/>
  <c r="AK151" i="1" a="1"/>
  <c r="AK503" i="1" a="1"/>
  <c r="AK594" i="1" a="1"/>
  <c r="AK378" i="1" a="1"/>
  <c r="AK321" i="1" a="1"/>
  <c r="AK146" i="1" a="1"/>
  <c r="AK491" i="1" a="1"/>
  <c r="AK355" i="1" a="1"/>
  <c r="AK271" i="1" a="1"/>
  <c r="AK263" i="1" a="1"/>
  <c r="AK294" i="1" a="1"/>
  <c r="AK560" i="1" a="1"/>
  <c r="AK413" i="1" a="1"/>
  <c r="AK154" i="1" a="1"/>
  <c r="AK450" i="1" a="1"/>
  <c r="AK440" i="1" a="1"/>
  <c r="AK531" i="1" a="1"/>
  <c r="AK281" i="1" a="1"/>
  <c r="AK331" i="1" a="1"/>
  <c r="AK548" i="1" a="1"/>
  <c r="AK192" i="1" a="1"/>
  <c r="AK344" i="1" a="1"/>
  <c r="AK529" i="1" a="1"/>
  <c r="AK582" i="1" a="1"/>
  <c r="AK415" i="1" a="1"/>
  <c r="AK191" i="1" a="1"/>
  <c r="AK318" i="1" a="1"/>
  <c r="AK215" i="1" a="1"/>
  <c r="AK446" i="1" a="1"/>
  <c r="AK202" i="1" a="1"/>
  <c r="AK419" i="1" a="1"/>
  <c r="AK179" i="1" a="1"/>
  <c r="AK296" i="1" a="1"/>
  <c r="AK399" i="1" a="1"/>
  <c r="AK470" i="1" a="1"/>
  <c r="AK50" i="1" a="1"/>
  <c r="AK586" i="1" a="1"/>
  <c r="AK217" i="1" a="1"/>
  <c r="AK164" i="1" a="1"/>
  <c r="AK475" i="1" a="1"/>
  <c r="AK113" i="1" a="1"/>
  <c r="AK119" i="1" a="1"/>
  <c r="AK181" i="1" a="1"/>
  <c r="AK463" i="1" a="1"/>
  <c r="AK134" i="1" a="1"/>
  <c r="AK304" i="1" a="1"/>
  <c r="AK222" i="1" a="1"/>
  <c r="AK544" i="1" a="1"/>
  <c r="AK287" i="1" a="1"/>
  <c r="AK357" i="1" a="1"/>
  <c r="AK36" i="1" a="1"/>
  <c r="AK85" i="1" a="1"/>
  <c r="AK188" i="1" a="1"/>
  <c r="AK451" i="1" a="1"/>
  <c r="AK484" i="1" a="1"/>
  <c r="AK103" i="1" a="1"/>
  <c r="AK262" i="1" a="1"/>
  <c r="AK167" i="1" a="1"/>
  <c r="AK404" i="1" a="1"/>
  <c r="AK61" i="1" a="1"/>
  <c r="AK186" i="1" a="1"/>
  <c r="AK213" i="1" a="1"/>
  <c r="AK387" i="1" a="1"/>
  <c r="AK485" i="1" a="1"/>
  <c r="AK173" i="1" a="1"/>
  <c r="AK247" i="1" a="1"/>
  <c r="AK128" i="1" a="1"/>
  <c r="AK93" i="1" a="1"/>
  <c r="AK26" i="1" a="1"/>
  <c r="AK255" i="1" a="1"/>
  <c r="AK494" i="1" a="1"/>
  <c r="AK252" i="1" a="1"/>
  <c r="AK392" i="1" a="1"/>
  <c r="AK478" i="1" a="1"/>
  <c r="AK353" i="1" a="1"/>
  <c r="AK42" i="1" a="1"/>
  <c r="AK254" i="1" a="1"/>
  <c r="AK587" i="1" a="1"/>
  <c r="AK266" i="1" a="1"/>
  <c r="AK438" i="1" a="1"/>
  <c r="AK88" i="1" a="1"/>
  <c r="AK352" i="1" a="1"/>
  <c r="AK302" i="1" a="1"/>
  <c r="AK541" i="1" a="1"/>
  <c r="AK505" i="1" a="1"/>
  <c r="AK474" i="1" a="1"/>
  <c r="AK51" i="1" a="1"/>
  <c r="AK457" i="1" a="1"/>
  <c r="AK512" i="1" a="1"/>
  <c r="AK553" i="1" a="1"/>
  <c r="AK324" i="1" a="1"/>
  <c r="AK138" i="1" a="1"/>
  <c r="AK366" i="1" a="1"/>
  <c r="AK78" i="1" a="1"/>
  <c r="AK261" i="1" a="1"/>
  <c r="AK498" i="1" a="1"/>
  <c r="AH670" i="1" a="1"/>
  <c r="AH655" i="1" a="1"/>
  <c r="AH632" i="1" a="1"/>
  <c r="AH673" i="1" a="1"/>
  <c r="AH630" i="1" a="1"/>
  <c r="AH649" i="1" a="1"/>
  <c r="AH640" i="1" a="1"/>
  <c r="AH647" i="1" a="1"/>
  <c r="AH654" i="1" a="1"/>
  <c r="AH659" i="1" a="1"/>
  <c r="AH697" i="1" a="1"/>
  <c r="AH648" i="1" a="1"/>
  <c r="AH663" i="1" a="1"/>
  <c r="AH617" i="1" a="1"/>
  <c r="AH624" i="1" a="1"/>
  <c r="AH629" i="1" a="1"/>
  <c r="AH681" i="1" a="1"/>
  <c r="AH608" i="1" a="1"/>
  <c r="AH658" i="1" a="1"/>
  <c r="AH661" i="1" a="1"/>
  <c r="AH657" i="1" a="1"/>
  <c r="AH603" i="1" a="1"/>
  <c r="AH606" i="1" a="1"/>
  <c r="AH690" i="1" a="1"/>
  <c r="AH677" i="1" a="1"/>
  <c r="AH682" i="1" a="1"/>
  <c r="AH628" i="1" a="1"/>
  <c r="AH609" i="1" a="1"/>
  <c r="AH644" i="1" a="1"/>
  <c r="AH646" i="1" a="1"/>
  <c r="AH614" i="1" a="1"/>
  <c r="AH613" i="1" a="1"/>
  <c r="AH622" i="1" a="1"/>
  <c r="AH689" i="1" a="1"/>
  <c r="AH675" i="1" a="1"/>
  <c r="AH631" i="1" a="1"/>
  <c r="AH601" i="1" a="1"/>
  <c r="AH678" i="1" a="1"/>
  <c r="AH638" i="1" a="1"/>
  <c r="AH627" i="1" a="1"/>
  <c r="AH651" i="1" a="1"/>
  <c r="AH669" i="1" a="1"/>
  <c r="AH634" i="1" a="1"/>
  <c r="AH687" i="1" a="1"/>
  <c r="AH633" i="1" a="1"/>
  <c r="AH698" i="1" a="1"/>
  <c r="AH667" i="1" a="1"/>
  <c r="AH676" i="1" a="1"/>
  <c r="AH637" i="1" a="1"/>
  <c r="AH672" i="1" a="1"/>
  <c r="AH625" i="1" a="1"/>
  <c r="AH691" i="1" a="1"/>
  <c r="AH639" i="1" a="1"/>
  <c r="AH692" i="1" a="1"/>
  <c r="AH607" i="1" a="1"/>
  <c r="AH660" i="1" a="1"/>
  <c r="AH635" i="1" a="1"/>
  <c r="AH685" i="1" a="1"/>
  <c r="AH636" i="1" a="1"/>
  <c r="AH688" i="1" a="1"/>
  <c r="AH666" i="1" a="1"/>
  <c r="AH623" i="1" a="1"/>
  <c r="AH665" i="1" a="1"/>
  <c r="AH642" i="1" a="1"/>
  <c r="AH620" i="1" a="1"/>
  <c r="AH686" i="1" a="1"/>
  <c r="AH693" i="1" a="1"/>
  <c r="AH695" i="1" a="1"/>
  <c r="AH612" i="1" a="1"/>
  <c r="AH653" i="1" a="1"/>
  <c r="AH616" i="1" a="1"/>
  <c r="AH650" i="1" a="1"/>
  <c r="AH699" i="1" a="1"/>
  <c r="AH674" i="1" a="1"/>
  <c r="AH684" i="1" a="1"/>
  <c r="AH694" i="1" a="1"/>
  <c r="AH652" i="1" a="1"/>
  <c r="AH668" i="1" a="1"/>
  <c r="AH602" i="1" a="1"/>
  <c r="AH656" i="1" a="1"/>
  <c r="AH645" i="1" a="1"/>
  <c r="AH611" i="1" a="1"/>
  <c r="AH604" i="1" a="1"/>
  <c r="AH615" i="1" a="1"/>
  <c r="AH641" i="1" a="1"/>
  <c r="AH696" i="1" a="1"/>
  <c r="AH683" i="1" a="1"/>
  <c r="AH619" i="1" a="1"/>
  <c r="AH679" i="1" a="1"/>
  <c r="AH621" i="1" a="1"/>
  <c r="AH618" i="1" a="1"/>
  <c r="AH605" i="1" a="1"/>
  <c r="AH664" i="1" a="1"/>
  <c r="AH662" i="1" a="1"/>
  <c r="AH680" i="1" a="1"/>
  <c r="AH626" i="1" a="1"/>
  <c r="AH643" i="1" a="1"/>
  <c r="AH671" i="1" a="1"/>
  <c r="AH610" i="1" a="1"/>
  <c r="AJ17" i="1" l="1"/>
  <c r="AJ18" i="1"/>
  <c r="AJ16" i="1"/>
  <c r="AJ14" i="1"/>
  <c r="AJ15" i="1"/>
  <c r="AJ13" i="1"/>
  <c r="AJ12" i="1"/>
  <c r="AJ11" i="1"/>
  <c r="AK498" i="1"/>
  <c r="AK261" i="1"/>
  <c r="AK78" i="1"/>
  <c r="AK366" i="1"/>
  <c r="AK138" i="1"/>
  <c r="AK324" i="1"/>
  <c r="AK553" i="1"/>
  <c r="AK512" i="1"/>
  <c r="AK457" i="1"/>
  <c r="AK51" i="1"/>
  <c r="AK474" i="1"/>
  <c r="AK505" i="1"/>
  <c r="AK541" i="1"/>
  <c r="AK302" i="1"/>
  <c r="AK352" i="1"/>
  <c r="AK88" i="1"/>
  <c r="AK438" i="1"/>
  <c r="AK266" i="1"/>
  <c r="AK587" i="1"/>
  <c r="AK254" i="1"/>
  <c r="AK42" i="1"/>
  <c r="AK353" i="1"/>
  <c r="AK478" i="1"/>
  <c r="AK392" i="1"/>
  <c r="AK252" i="1"/>
  <c r="AK494" i="1"/>
  <c r="AK255" i="1"/>
  <c r="AK26" i="1"/>
  <c r="AK93" i="1"/>
  <c r="AK128" i="1"/>
  <c r="AK247" i="1"/>
  <c r="AK173" i="1"/>
  <c r="AK485" i="1"/>
  <c r="AK387" i="1"/>
  <c r="AK213" i="1"/>
  <c r="AK186" i="1"/>
  <c r="AK61" i="1"/>
  <c r="AK404" i="1"/>
  <c r="AK167" i="1"/>
  <c r="AK262" i="1"/>
  <c r="AK103" i="1"/>
  <c r="AK484" i="1"/>
  <c r="AK451" i="1"/>
  <c r="AK188" i="1"/>
  <c r="AK85" i="1"/>
  <c r="AK36" i="1"/>
  <c r="AK357" i="1"/>
  <c r="AK287" i="1"/>
  <c r="AK544" i="1"/>
  <c r="AK222" i="1"/>
  <c r="AK304" i="1"/>
  <c r="AK134" i="1"/>
  <c r="AK463" i="1"/>
  <c r="AK181" i="1"/>
  <c r="AK119" i="1"/>
  <c r="AK113" i="1"/>
  <c r="AK475" i="1"/>
  <c r="AK164" i="1"/>
  <c r="AK217" i="1"/>
  <c r="AK586" i="1"/>
  <c r="AK50" i="1"/>
  <c r="AK470" i="1"/>
  <c r="AK399" i="1"/>
  <c r="AK296" i="1"/>
  <c r="AK179" i="1"/>
  <c r="AK419" i="1"/>
  <c r="AK202" i="1"/>
  <c r="AK446" i="1"/>
  <c r="AK215" i="1"/>
  <c r="AK318" i="1"/>
  <c r="AK191" i="1"/>
  <c r="AK415" i="1"/>
  <c r="AK582" i="1"/>
  <c r="AK529" i="1"/>
  <c r="AK344" i="1"/>
  <c r="AK192" i="1"/>
  <c r="AK548" i="1"/>
  <c r="AK331" i="1"/>
  <c r="AK281" i="1"/>
  <c r="AK531" i="1"/>
  <c r="AK440" i="1"/>
  <c r="AK450" i="1"/>
  <c r="AK154" i="1"/>
  <c r="AK413" i="1"/>
  <c r="AK560" i="1"/>
  <c r="AK294" i="1"/>
  <c r="AK263" i="1"/>
  <c r="AK271" i="1"/>
  <c r="AK355" i="1"/>
  <c r="AK491" i="1"/>
  <c r="AK146" i="1"/>
  <c r="AK321" i="1"/>
  <c r="AK378" i="1"/>
  <c r="AK594" i="1"/>
  <c r="AK503" i="1"/>
  <c r="AK151" i="1"/>
  <c r="AK372" i="1"/>
  <c r="AK351" i="1"/>
  <c r="AK290" i="1"/>
  <c r="AK356" i="1"/>
  <c r="AK94" i="1"/>
  <c r="AK435" i="1"/>
  <c r="AK39" i="1"/>
  <c r="AK84" i="1"/>
  <c r="AK363" i="1"/>
  <c r="AK220" i="1"/>
  <c r="AK184" i="1"/>
  <c r="AK388" i="1"/>
  <c r="AK313" i="1"/>
  <c r="AK527" i="1"/>
  <c r="AK132" i="1"/>
  <c r="AK430" i="1"/>
  <c r="AK79" i="1"/>
  <c r="AK298" i="1"/>
  <c r="AK226" i="1"/>
  <c r="AK332" i="1"/>
  <c r="AK174" i="1"/>
  <c r="AK349" i="1"/>
  <c r="AK108" i="1"/>
  <c r="AK268" i="1"/>
  <c r="AK420" i="1"/>
  <c r="AK598" i="1"/>
  <c r="AK407" i="1"/>
  <c r="AK335" i="1"/>
  <c r="AK596" i="1"/>
  <c r="AK46" i="1"/>
  <c r="AK454" i="1"/>
  <c r="AK169" i="1"/>
  <c r="AK125" i="1"/>
  <c r="AK482" i="1"/>
  <c r="AK361" i="1"/>
  <c r="AK100" i="1"/>
  <c r="AK190" i="1"/>
  <c r="AK74" i="1"/>
  <c r="AK323" i="1"/>
  <c r="AK319" i="1"/>
  <c r="AK579" i="1"/>
  <c r="AK536" i="1"/>
  <c r="AK500" i="1"/>
  <c r="AK308" i="1"/>
  <c r="AK465" i="1"/>
  <c r="AK547" i="1"/>
  <c r="AK329" i="1"/>
  <c r="AK185" i="1"/>
  <c r="AK77" i="1"/>
  <c r="AK118" i="1"/>
  <c r="AK73" i="1"/>
  <c r="AK524" i="1"/>
  <c r="AK244" i="1"/>
  <c r="AK55" i="1"/>
  <c r="AK593" i="1"/>
  <c r="AK545" i="1"/>
  <c r="AK486" i="1"/>
  <c r="AK295" i="1"/>
  <c r="AK307" i="1"/>
  <c r="AK580" i="1"/>
  <c r="AK212" i="1"/>
  <c r="AK27" i="1"/>
  <c r="AK232" i="1"/>
  <c r="AK258" i="1"/>
  <c r="AK481" i="1"/>
  <c r="AK33" i="1"/>
  <c r="AK95" i="1"/>
  <c r="AK221" i="1"/>
  <c r="AK306" i="1"/>
  <c r="AK235" i="1"/>
  <c r="AK140" i="1"/>
  <c r="AK41" i="1"/>
  <c r="AK469" i="1"/>
  <c r="AK102" i="1"/>
  <c r="AK228" i="1"/>
  <c r="AK60" i="1"/>
  <c r="AK283" i="1"/>
  <c r="AK514" i="1"/>
  <c r="AK165" i="1"/>
  <c r="AK182" i="1"/>
  <c r="AK180" i="1"/>
  <c r="AK340" i="1"/>
  <c r="AK64" i="1"/>
  <c r="AK44" i="1"/>
  <c r="AK555" i="1"/>
  <c r="AK477" i="1"/>
  <c r="AK114" i="1"/>
  <c r="AK176" i="1"/>
  <c r="AK89" i="1"/>
  <c r="AK305" i="1"/>
  <c r="AK166" i="1"/>
  <c r="AK153" i="1"/>
  <c r="AK92" i="1"/>
  <c r="AK243" i="1"/>
  <c r="AK328" i="1"/>
  <c r="AK206" i="1"/>
  <c r="AK38" i="1"/>
  <c r="AK402" i="1"/>
  <c r="AK551" i="1"/>
  <c r="AK595" i="1"/>
  <c r="AK370" i="1"/>
  <c r="AK286" i="1"/>
  <c r="AK330" i="1"/>
  <c r="AK497" i="1"/>
  <c r="AK391" i="1"/>
  <c r="AK246" i="1"/>
  <c r="AK199" i="1"/>
  <c r="AK334" i="1"/>
  <c r="AK347" i="1"/>
  <c r="AK69" i="1"/>
  <c r="AK109" i="1"/>
  <c r="AK433" i="1"/>
  <c r="AK380" i="1"/>
  <c r="AK25" i="1"/>
  <c r="AK171" i="1"/>
  <c r="AK292" i="1"/>
  <c r="AK273" i="1"/>
  <c r="AK310" i="1"/>
  <c r="AK358" i="1"/>
  <c r="AK177" i="1"/>
  <c r="AK234" i="1"/>
  <c r="AK496" i="1"/>
  <c r="AK289" i="1"/>
  <c r="AK67" i="1"/>
  <c r="AK21" i="1"/>
  <c r="AK590" i="1"/>
  <c r="AK59" i="1"/>
  <c r="AK240" i="1"/>
  <c r="AK483" i="1"/>
  <c r="AK564" i="1"/>
  <c r="AK549" i="1"/>
  <c r="AK80" i="1"/>
  <c r="AK143" i="1"/>
  <c r="AK269" i="1"/>
  <c r="AK576" i="1"/>
  <c r="AK96" i="1"/>
  <c r="AK439" i="1"/>
  <c r="AK389" i="1"/>
  <c r="AK101" i="1"/>
  <c r="AK194" i="1"/>
  <c r="AK525" i="1"/>
  <c r="AK62" i="1"/>
  <c r="AK136" i="1"/>
  <c r="AK297" i="1"/>
  <c r="AK513" i="1"/>
  <c r="AK412" i="1"/>
  <c r="AK383" i="1"/>
  <c r="AK260" i="1"/>
  <c r="AK242" i="1"/>
  <c r="AK452" i="1"/>
  <c r="AK327" i="1"/>
  <c r="AK455" i="1"/>
  <c r="AK519" i="1"/>
  <c r="AK471" i="1"/>
  <c r="AK152" i="1"/>
  <c r="AK373" i="1"/>
  <c r="AK566" i="1"/>
  <c r="AK550" i="1"/>
  <c r="AK456" i="1"/>
  <c r="AK480" i="1"/>
  <c r="AK309" i="1"/>
  <c r="AK248" i="1"/>
  <c r="AK449" i="1"/>
  <c r="AK589" i="1"/>
  <c r="AK591" i="1"/>
  <c r="AK487" i="1"/>
  <c r="AK573" i="1"/>
  <c r="AK428" i="1"/>
  <c r="AK131" i="1"/>
  <c r="AK490" i="1"/>
  <c r="AK421" i="1"/>
  <c r="AK158" i="1"/>
  <c r="AK375" i="1"/>
  <c r="AK414" i="1"/>
  <c r="AK148" i="1"/>
  <c r="AK70" i="1"/>
  <c r="AK133" i="1"/>
  <c r="AK145" i="1"/>
  <c r="AK499" i="1"/>
  <c r="AK87" i="1"/>
  <c r="AK280" i="1"/>
  <c r="AK511" i="1"/>
  <c r="AK501" i="1"/>
  <c r="AK139" i="1"/>
  <c r="AK238" i="1"/>
  <c r="AK31" i="1"/>
  <c r="AK436" i="1"/>
  <c r="AK393" i="1"/>
  <c r="AK293" i="1"/>
  <c r="AK122" i="1"/>
  <c r="AK233" i="1"/>
  <c r="AK386" i="1"/>
  <c r="AK460" i="1"/>
  <c r="AK104" i="1"/>
  <c r="AK509" i="1"/>
  <c r="AK369" i="1"/>
  <c r="AK396" i="1"/>
  <c r="AK574" i="1"/>
  <c r="AK52" i="1"/>
  <c r="AK422" i="1"/>
  <c r="AK207" i="1"/>
  <c r="AK230" i="1"/>
  <c r="AK504" i="1"/>
  <c r="AK345" i="1"/>
  <c r="AK214" i="1"/>
  <c r="AK20" i="1"/>
  <c r="AK395" i="1"/>
  <c r="AK265" i="1"/>
  <c r="AK251" i="1"/>
  <c r="AK437" i="1"/>
  <c r="AK563" i="1"/>
  <c r="AK312" i="1"/>
  <c r="AK66" i="1"/>
  <c r="AK160" i="1"/>
  <c r="AK203" i="1"/>
  <c r="AK522" i="1"/>
  <c r="AK495" i="1"/>
  <c r="AK542" i="1"/>
  <c r="AK121" i="1"/>
  <c r="AK241" i="1"/>
  <c r="AK365" i="1"/>
  <c r="AK279" i="1"/>
  <c r="AK397" i="1"/>
  <c r="AK129" i="1"/>
  <c r="AK198" i="1"/>
  <c r="AK201" i="1"/>
  <c r="AK570" i="1"/>
  <c r="AK300" i="1"/>
  <c r="AK508" i="1"/>
  <c r="AK116" i="1"/>
  <c r="AK150" i="1"/>
  <c r="AK556" i="1"/>
  <c r="AK91" i="1"/>
  <c r="AK408" i="1"/>
  <c r="AK517" i="1"/>
  <c r="AK124" i="1"/>
  <c r="AK137" i="1"/>
  <c r="AK259" i="1"/>
  <c r="AK479" i="1"/>
  <c r="AK432" i="1"/>
  <c r="AK528" i="1"/>
  <c r="AK86" i="1"/>
  <c r="AK467" i="1"/>
  <c r="AK343" i="1"/>
  <c r="AK303" i="1"/>
  <c r="AK466" i="1"/>
  <c r="AK584" i="1"/>
  <c r="AK572" i="1"/>
  <c r="AK384" i="1"/>
  <c r="AK339" i="1"/>
  <c r="AK416" i="1"/>
  <c r="AK583" i="1"/>
  <c r="AK489" i="1"/>
  <c r="AK521" i="1"/>
  <c r="AK447" i="1"/>
  <c r="AK350" i="1"/>
  <c r="AK155" i="1"/>
  <c r="AK592" i="1"/>
  <c r="AK585" i="1"/>
  <c r="AK520" i="1"/>
  <c r="AK354" i="1"/>
  <c r="AK72" i="1"/>
  <c r="AK183" i="1"/>
  <c r="AK264" i="1"/>
  <c r="AK374" i="1"/>
  <c r="AK314" i="1"/>
  <c r="AK256" i="1"/>
  <c r="AK210" i="1"/>
  <c r="AK239" i="1"/>
  <c r="AK196" i="1"/>
  <c r="AK444" i="1"/>
  <c r="AK429" i="1"/>
  <c r="AK209" i="1"/>
  <c r="AK34" i="1"/>
  <c r="AK567" i="1"/>
  <c r="AK530" i="1"/>
  <c r="AK443" i="1"/>
  <c r="AK142" i="1"/>
  <c r="AK464" i="1"/>
  <c r="AK543" i="1"/>
  <c r="AK9" i="1"/>
  <c r="AK97" i="1"/>
  <c r="AK333" i="1"/>
  <c r="AK448" i="1"/>
  <c r="AK559" i="1"/>
  <c r="AK571" i="1"/>
  <c r="AK552" i="1"/>
  <c r="AK208" i="1"/>
  <c r="AK423" i="1"/>
  <c r="AK362" i="1"/>
  <c r="AK338" i="1"/>
  <c r="AK35" i="1"/>
  <c r="AK57" i="1"/>
  <c r="AK534" i="1"/>
  <c r="AK325" i="1"/>
  <c r="AK434" i="1"/>
  <c r="AK398" i="1"/>
  <c r="AK367" i="1"/>
  <c r="AK219" i="1"/>
  <c r="AK205" i="1"/>
  <c r="AK368" i="1"/>
  <c r="AK424" i="1"/>
  <c r="AK275" i="1"/>
  <c r="AK507" i="1"/>
  <c r="AK211" i="1"/>
  <c r="AK53" i="1"/>
  <c r="AK400" i="1"/>
  <c r="AK223" i="1"/>
  <c r="AK157" i="1"/>
  <c r="AK107" i="1"/>
  <c r="AK141" i="1"/>
  <c r="AK189" i="1"/>
  <c r="AK523" i="1"/>
  <c r="AK417" i="1"/>
  <c r="AK411" i="1"/>
  <c r="AK175" i="1"/>
  <c r="AK538" i="1"/>
  <c r="AK565" i="1"/>
  <c r="AK385" i="1"/>
  <c r="AK249" i="1"/>
  <c r="AK19" i="1"/>
  <c r="AK28" i="1"/>
  <c r="AK431" i="1"/>
  <c r="AK245" i="1"/>
  <c r="AK162" i="1"/>
  <c r="AK120" i="1"/>
  <c r="AK147" i="1"/>
  <c r="AK170" i="1"/>
  <c r="AK236" i="1"/>
  <c r="AK144" i="1"/>
  <c r="AK405" i="1"/>
  <c r="AK224" i="1"/>
  <c r="AK569" i="1"/>
  <c r="AK40" i="1"/>
  <c r="AK161" i="1"/>
  <c r="AK502" i="1"/>
  <c r="AK117" i="1"/>
  <c r="AK68" i="1"/>
  <c r="AK98" i="1"/>
  <c r="AK159" i="1"/>
  <c r="AK99" i="1"/>
  <c r="AK458" i="1"/>
  <c r="AK346" i="1"/>
  <c r="AK493" i="1"/>
  <c r="AK149" i="1"/>
  <c r="AK301" i="1"/>
  <c r="AK24" i="1"/>
  <c r="AK111" i="1"/>
  <c r="AK30" i="1"/>
  <c r="AK274" i="1"/>
  <c r="AK187" i="1"/>
  <c r="AK537" i="1"/>
  <c r="AK379" i="1"/>
  <c r="AK105" i="1"/>
  <c r="AK578" i="1"/>
  <c r="AK58" i="1"/>
  <c r="AK315" i="1"/>
  <c r="AK316" i="1"/>
  <c r="AK581" i="1"/>
  <c r="AK75" i="1"/>
  <c r="AK557" i="1"/>
  <c r="AK359" i="1"/>
  <c r="AK227" i="1"/>
  <c r="AK82" i="1"/>
  <c r="AK390" i="1"/>
  <c r="AK426" i="1"/>
  <c r="AK561" i="1"/>
  <c r="AK229" i="1"/>
  <c r="AK554" i="1"/>
  <c r="AK526" i="1"/>
  <c r="AK317" i="1"/>
  <c r="AK110" i="1"/>
  <c r="AK81" i="1"/>
  <c r="AK197" i="1"/>
  <c r="AK282" i="1"/>
  <c r="AK575" i="1"/>
  <c r="AK23" i="1"/>
  <c r="AK29" i="1"/>
  <c r="AK599" i="1"/>
  <c r="AK341" i="1"/>
  <c r="AK299" i="1"/>
  <c r="AK257" i="1"/>
  <c r="AK276" i="1"/>
  <c r="AK225" i="1"/>
  <c r="AK83" i="1"/>
  <c r="AK535" i="1"/>
  <c r="AK394" i="1"/>
  <c r="AK37" i="1"/>
  <c r="AK311" i="1"/>
  <c r="AK442" i="1"/>
  <c r="AK518" i="1"/>
  <c r="AK156" i="1"/>
  <c r="AK516" i="1"/>
  <c r="AK337" i="1"/>
  <c r="AK506" i="1"/>
  <c r="AK540" i="1"/>
  <c r="AK425" i="1"/>
  <c r="AK231" i="1"/>
  <c r="AK163" i="1"/>
  <c r="AK204" i="1"/>
  <c r="AK410" i="1"/>
  <c r="AK515" i="1"/>
  <c r="AK445" i="1"/>
  <c r="AK510" i="1"/>
  <c r="AK267" i="1"/>
  <c r="AK533" i="1"/>
  <c r="AK348" i="1"/>
  <c r="AK532" i="1"/>
  <c r="AK558" i="1"/>
  <c r="AK90" i="1"/>
  <c r="AK32" i="1"/>
  <c r="AK22" i="1"/>
  <c r="AK539" i="1"/>
  <c r="AK130" i="1"/>
  <c r="AK453" i="1"/>
  <c r="AK272" i="1"/>
  <c r="AK123" i="1"/>
  <c r="AK216" i="1"/>
  <c r="AK476" i="1"/>
  <c r="AK106" i="1"/>
  <c r="AK270" i="1"/>
  <c r="AK377" i="1"/>
  <c r="AK65" i="1"/>
  <c r="AK54" i="1"/>
  <c r="AK588" i="1"/>
  <c r="AK172" i="1"/>
  <c r="AK193" i="1"/>
  <c r="AK127" i="1"/>
  <c r="AK459" i="1"/>
  <c r="AK178" i="1"/>
  <c r="AK401" i="1"/>
  <c r="AK291" i="1"/>
  <c r="AK168" i="1"/>
  <c r="AK577" i="1"/>
  <c r="AK546" i="1"/>
  <c r="AK76" i="1"/>
  <c r="AK472" i="1"/>
  <c r="AK418" i="1"/>
  <c r="AK381" i="1"/>
  <c r="AK326" i="1"/>
  <c r="AK492" i="1"/>
  <c r="AK403" i="1"/>
  <c r="AK406" i="1"/>
  <c r="AK342" i="1"/>
  <c r="AK382" i="1"/>
  <c r="AK200" i="1"/>
  <c r="AK597" i="1"/>
  <c r="AK47" i="1"/>
  <c r="AK285" i="1"/>
  <c r="AK278" i="1"/>
  <c r="AK126" i="1"/>
  <c r="AK441" i="1"/>
  <c r="AK322" i="1"/>
  <c r="AK320" i="1"/>
  <c r="AK250" i="1"/>
  <c r="AK284" i="1"/>
  <c r="AK468" i="1"/>
  <c r="AK488" i="1"/>
  <c r="AK376" i="1"/>
  <c r="AK462" i="1"/>
  <c r="AK63" i="1"/>
  <c r="AK336" i="1"/>
  <c r="AK115" i="1"/>
  <c r="AK71" i="1"/>
  <c r="AK288" i="1"/>
  <c r="AK56" i="1"/>
  <c r="AK562" i="1"/>
  <c r="AK473" i="1"/>
  <c r="AK427" i="1"/>
  <c r="AK461" i="1"/>
  <c r="AK277" i="1"/>
  <c r="AK10" i="1"/>
  <c r="AK237" i="1"/>
  <c r="AK135" i="1"/>
  <c r="AK360" i="1"/>
  <c r="AK45" i="1"/>
  <c r="AK49" i="1"/>
  <c r="AK364" i="1"/>
  <c r="AK195" i="1"/>
  <c r="AK253" i="1"/>
  <c r="AK568" i="1"/>
  <c r="AK43" i="1"/>
  <c r="AK218" i="1"/>
  <c r="AK48" i="1"/>
  <c r="AK112" i="1"/>
  <c r="AK409" i="1"/>
  <c r="AK371" i="1"/>
  <c r="AH632" i="1"/>
  <c r="AH647" i="1"/>
  <c r="AH625" i="1"/>
  <c r="AH676" i="1"/>
  <c r="AH620" i="1"/>
  <c r="AH688" i="1"/>
  <c r="AH622" i="1"/>
  <c r="AH693" i="1"/>
  <c r="AH643" i="1"/>
  <c r="AH669" i="1"/>
  <c r="AH616" i="1"/>
  <c r="AH682" i="1"/>
  <c r="AH623" i="1"/>
  <c r="AH627" i="1"/>
  <c r="AH608" i="1"/>
  <c r="AH604" i="1"/>
  <c r="AH683" i="1"/>
  <c r="AH634" i="1"/>
  <c r="AH671" i="1"/>
  <c r="AH633" i="1"/>
  <c r="AH651" i="1"/>
  <c r="AH696" i="1"/>
  <c r="AH648" i="1"/>
  <c r="AH699" i="1"/>
  <c r="AH698" i="1"/>
  <c r="AH618" i="1"/>
  <c r="AH675" i="1"/>
  <c r="AH619" i="1"/>
  <c r="AH697" i="1"/>
  <c r="AH655" i="1"/>
  <c r="AH657" i="1"/>
  <c r="AH613" i="1"/>
  <c r="AH687" i="1"/>
  <c r="AH685" i="1"/>
  <c r="AH628" i="1"/>
  <c r="AH645" i="1"/>
  <c r="AH694" i="1"/>
  <c r="AH646" i="1"/>
  <c r="AH644" i="1"/>
  <c r="AH629" i="1"/>
  <c r="AH654" i="1"/>
  <c r="AH684" i="1"/>
  <c r="AH661" i="1"/>
  <c r="AH605" i="1"/>
  <c r="AH603" i="1"/>
  <c r="AH665" i="1"/>
  <c r="AH631" i="1"/>
  <c r="AH653" i="1"/>
  <c r="AH674" i="1"/>
  <c r="AH666" i="1"/>
  <c r="AH621" i="1"/>
  <c r="AH663" i="1"/>
  <c r="AH611" i="1"/>
  <c r="AH673" i="1"/>
  <c r="AH678" i="1"/>
  <c r="AH640" i="1"/>
  <c r="AH614" i="1"/>
  <c r="AH649" i="1"/>
  <c r="AH635" i="1"/>
  <c r="AH656" i="1"/>
  <c r="AH670" i="1"/>
  <c r="AH664" i="1"/>
  <c r="AH606" i="1"/>
  <c r="AH662" i="1"/>
  <c r="AH689" i="1"/>
  <c r="AH672" i="1"/>
  <c r="AH607" i="1"/>
  <c r="AH602" i="1"/>
  <c r="AH652" i="1"/>
  <c r="AH681" i="1"/>
  <c r="AH630" i="1"/>
  <c r="AH677" i="1"/>
  <c r="AH695" i="1"/>
  <c r="AH609" i="1"/>
  <c r="AH686" i="1"/>
  <c r="AH642" i="1"/>
  <c r="AH690" i="1"/>
  <c r="AH691" i="1"/>
  <c r="AH624" i="1"/>
  <c r="AH626" i="1"/>
  <c r="AH601" i="1"/>
  <c r="AH658" i="1"/>
  <c r="AH659" i="1"/>
  <c r="AH617" i="1"/>
  <c r="AH680" i="1"/>
  <c r="AH637" i="1"/>
  <c r="AH667" i="1"/>
  <c r="AH639" i="1"/>
  <c r="AH679" i="1"/>
  <c r="AH638" i="1"/>
  <c r="AH636" i="1"/>
  <c r="AH650" i="1"/>
  <c r="AH615" i="1"/>
  <c r="AH668" i="1"/>
  <c r="AH641" i="1"/>
  <c r="AH692" i="1"/>
  <c r="AH612" i="1"/>
  <c r="AH610" i="1"/>
  <c r="AH660" i="1"/>
  <c r="AK17" i="1" a="1"/>
  <c r="AK18" i="1" a="1"/>
  <c r="AK16" i="1" a="1"/>
  <c r="AK14" i="1" a="1"/>
  <c r="AK15" i="1" a="1"/>
  <c r="AK13" i="1" a="1"/>
  <c r="AK12" i="1" a="1"/>
  <c r="AK11" i="1" a="1"/>
  <c r="AL498" i="1" a="1"/>
  <c r="AL541" i="1" a="1"/>
  <c r="AL252" i="1" a="1"/>
  <c r="AL61" i="1" a="1"/>
  <c r="AL544" i="1" a="1"/>
  <c r="AL50" i="1" a="1"/>
  <c r="AL582" i="1" a="1"/>
  <c r="AL560" i="1" a="1"/>
  <c r="AL372" i="1" a="1"/>
  <c r="AL388" i="1" a="1"/>
  <c r="AL268" i="1" a="1"/>
  <c r="AL361" i="1" a="1"/>
  <c r="AL329" i="1" a="1"/>
  <c r="AL307" i="1" a="1"/>
  <c r="AL140" i="1" a="1"/>
  <c r="AL64" i="1" a="1"/>
  <c r="AL328" i="1" a="1"/>
  <c r="AL391" i="1" a="1"/>
  <c r="AL292" i="1" a="1"/>
  <c r="AL240" i="1" a="1"/>
  <c r="AL194" i="1" a="1"/>
  <c r="AL455" i="1" a="1"/>
  <c r="AL589" i="1" a="1"/>
  <c r="AL70" i="1" a="1"/>
  <c r="AL393" i="1" a="1"/>
  <c r="AL422" i="1" a="1"/>
  <c r="AL312" i="1" a="1"/>
  <c r="AL129" i="1" a="1"/>
  <c r="AL124" i="1" a="1"/>
  <c r="AL572" i="1" a="1"/>
  <c r="AL520" i="1" a="1"/>
  <c r="AL429" i="1" a="1"/>
  <c r="AL448" i="1" a="1"/>
  <c r="AL434" i="1" a="1"/>
  <c r="AL400" i="1" a="1"/>
  <c r="AL565" i="1" a="1"/>
  <c r="AL144" i="1" a="1"/>
  <c r="AL458" i="1" a="1"/>
  <c r="AL379" i="1" a="1"/>
  <c r="AL390" i="1" a="1"/>
  <c r="AL23" i="1" a="1"/>
  <c r="AL311" i="1" a="1"/>
  <c r="AL410" i="1" a="1"/>
  <c r="AL539" i="1" a="1"/>
  <c r="AL588" i="1" a="1"/>
  <c r="AL472" i="1" a="1"/>
  <c r="AL285" i="1" a="1"/>
  <c r="AL63" i="1" a="1"/>
  <c r="AL237" i="1" a="1"/>
  <c r="AL112" i="1" a="1"/>
  <c r="AL93" i="1" a="1"/>
  <c r="AL40" i="1" a="1"/>
  <c r="AL128" i="1" a="1"/>
  <c r="AL419" i="1" a="1"/>
  <c r="AL491" i="1" a="1"/>
  <c r="AL596" i="1" a="1"/>
  <c r="AL524" i="1" a="1"/>
  <c r="AL60" i="1" a="1"/>
  <c r="AL595" i="1" a="1"/>
  <c r="AL513" i="1" a="1"/>
  <c r="AL131" i="1" a="1"/>
  <c r="AL460" i="1" a="1"/>
  <c r="AL495" i="1" a="1"/>
  <c r="AL508" i="1" a="1"/>
  <c r="AL374" i="1" a="1"/>
  <c r="AL205" i="1" a="1"/>
  <c r="AL431" i="1" a="1"/>
  <c r="AL316" i="1" a="1"/>
  <c r="AL337" i="1" a="1"/>
  <c r="AL216" i="1" a="1"/>
  <c r="AL320" i="1" a="1"/>
  <c r="AL587" i="1" a="1"/>
  <c r="AL89" i="1" a="1"/>
  <c r="AL511" i="1" a="1"/>
  <c r="AL142" i="1" a="1"/>
  <c r="AL111" i="1" a="1"/>
  <c r="AL348" i="1" a="1"/>
  <c r="AL562" i="1" a="1"/>
  <c r="AL173" i="1" a="1"/>
  <c r="AL113" i="1" a="1"/>
  <c r="AL531" i="1" a="1"/>
  <c r="AL39" i="1" a="1"/>
  <c r="AL454" i="1" a="1"/>
  <c r="AL33" i="1" a="1"/>
  <c r="AL305" i="1" a="1"/>
  <c r="AL289" i="1" a="1"/>
  <c r="AL501" i="1" a="1"/>
  <c r="AL467" i="1" a="1"/>
  <c r="AL424" i="1" a="1"/>
  <c r="AL110" i="1" a="1"/>
  <c r="AL291" i="1" a="1"/>
  <c r="AL485" i="1" a="1"/>
  <c r="AL215" i="1" a="1"/>
  <c r="AL440" i="1" a="1"/>
  <c r="AL84" i="1" a="1"/>
  <c r="AL593" i="1" a="1"/>
  <c r="AL166" i="1" a="1"/>
  <c r="AL96" i="1" a="1"/>
  <c r="AL260" i="1" a="1"/>
  <c r="AL139" i="1" a="1"/>
  <c r="AL241" i="1" a="1"/>
  <c r="AL343" i="1" a="1"/>
  <c r="AL350" i="1" a="1"/>
  <c r="AL275" i="1" a="1"/>
  <c r="AL120" i="1" a="1"/>
  <c r="AL557" i="1" a="1"/>
  <c r="AL83" i="1" a="1"/>
  <c r="AL168" i="1" a="1"/>
  <c r="AL427" i="1" a="1"/>
  <c r="AL51" i="1" a="1"/>
  <c r="AL238" i="1" a="1"/>
  <c r="AL239" i="1" a="1"/>
  <c r="AL98" i="1" a="1"/>
  <c r="AL90" i="1" a="1"/>
  <c r="AL488" i="1" a="1"/>
  <c r="AL357" i="1" a="1"/>
  <c r="AL217" i="1" a="1"/>
  <c r="AL191" i="1" a="1"/>
  <c r="AL503" i="1" a="1"/>
  <c r="AL220" i="1" a="1"/>
  <c r="AL482" i="1" a="1"/>
  <c r="AL465" i="1" a="1"/>
  <c r="AL306" i="1" a="1"/>
  <c r="AL92" i="1" a="1"/>
  <c r="AL389" i="1" a="1"/>
  <c r="AL248" i="1" a="1"/>
  <c r="AL31" i="1" a="1"/>
  <c r="AL437" i="1" a="1"/>
  <c r="AL408" i="1" a="1"/>
  <c r="AL97" i="1" a="1"/>
  <c r="AL211" i="1" a="1"/>
  <c r="AL170" i="1" a="1"/>
  <c r="AL227" i="1" a="1"/>
  <c r="AL163" i="1" a="1"/>
  <c r="AL546" i="1" a="1"/>
  <c r="AL218" i="1" a="1"/>
  <c r="AL505" i="1" a="1"/>
  <c r="AL235" i="1" a="1"/>
  <c r="AL436" i="1" a="1"/>
  <c r="AL333" i="1" a="1"/>
  <c r="AL575" i="1" a="1"/>
  <c r="AL462" i="1" a="1"/>
  <c r="AL261" i="1" a="1"/>
  <c r="AL302" i="1" a="1"/>
  <c r="AL494" i="1" a="1"/>
  <c r="AL404" i="1" a="1"/>
  <c r="AL222" i="1" a="1"/>
  <c r="AL470" i="1" a="1"/>
  <c r="AL529" i="1" a="1"/>
  <c r="AL294" i="1" a="1"/>
  <c r="AL351" i="1" a="1"/>
  <c r="AL313" i="1" a="1"/>
  <c r="AL420" i="1" a="1"/>
  <c r="AL100" i="1" a="1"/>
  <c r="AL185" i="1" a="1"/>
  <c r="AL580" i="1" a="1"/>
  <c r="AL41" i="1" a="1"/>
  <c r="AL44" i="1" a="1"/>
  <c r="AL206" i="1" a="1"/>
  <c r="AL246" i="1" a="1"/>
  <c r="AL273" i="1" a="1"/>
  <c r="AL483" i="1" a="1"/>
  <c r="AL525" i="1" a="1"/>
  <c r="AL519" i="1" a="1"/>
  <c r="AL591" i="1" a="1"/>
  <c r="AL133" i="1" a="1"/>
  <c r="AL293" i="1" a="1"/>
  <c r="AL207" i="1" a="1"/>
  <c r="AL66" i="1" a="1"/>
  <c r="AL198" i="1" a="1"/>
  <c r="AL137" i="1" a="1"/>
  <c r="AL384" i="1" a="1"/>
  <c r="AL354" i="1" a="1"/>
  <c r="AL209" i="1" a="1"/>
  <c r="AL559" i="1" a="1"/>
  <c r="AL398" i="1" a="1"/>
  <c r="AL223" i="1" a="1"/>
  <c r="AL385" i="1" a="1"/>
  <c r="AL405" i="1" a="1"/>
  <c r="AL346" i="1" a="1"/>
  <c r="AL105" i="1" a="1"/>
  <c r="AL426" i="1" a="1"/>
  <c r="AL29" i="1" a="1"/>
  <c r="AL442" i="1" a="1"/>
  <c r="AL515" i="1" a="1"/>
  <c r="AL130" i="1" a="1"/>
  <c r="AL172" i="1" a="1"/>
  <c r="AL418" i="1" a="1"/>
  <c r="AL278" i="1" a="1"/>
  <c r="AL336" i="1" a="1"/>
  <c r="AL135" i="1" a="1"/>
  <c r="AL409" i="1" a="1"/>
  <c r="AL103" i="1" a="1"/>
  <c r="AL219" i="1" a="1"/>
  <c r="AL288" i="1" a="1"/>
  <c r="AL484" i="1" a="1"/>
  <c r="AL181" i="1" a="1"/>
  <c r="AL331" i="1" a="1"/>
  <c r="AL94" i="1" a="1"/>
  <c r="AL79" i="1" a="1"/>
  <c r="AL319" i="1" a="1"/>
  <c r="AL258" i="1" a="1"/>
  <c r="AL176" i="1" a="1"/>
  <c r="AL234" i="1" a="1"/>
  <c r="AL566" i="1" a="1"/>
  <c r="AL280" i="1" a="1"/>
  <c r="AL214" i="1" a="1"/>
  <c r="AL528" i="1" a="1"/>
  <c r="AL423" i="1" a="1"/>
  <c r="AL189" i="1" a="1"/>
  <c r="AL161" i="1" a="1"/>
  <c r="AL526" i="1" a="1"/>
  <c r="AL533" i="1" a="1"/>
  <c r="AL403" i="1" a="1"/>
  <c r="AL364" i="1" a="1"/>
  <c r="AL553" i="1" a="1"/>
  <c r="AL542" i="1" a="1"/>
  <c r="AL523" i="1" a="1"/>
  <c r="AL276" i="1" a="1"/>
  <c r="AL406" i="1" a="1"/>
  <c r="AL254" i="1" a="1"/>
  <c r="AL446" i="1" a="1"/>
  <c r="AL321" i="1" a="1"/>
  <c r="AL226" i="1" a="1"/>
  <c r="AL536" i="1" a="1"/>
  <c r="AL514" i="1" a="1"/>
  <c r="AL370" i="1" a="1"/>
  <c r="AL576" i="1" a="1"/>
  <c r="AL421" i="1" a="1"/>
  <c r="AL395" i="1" a="1"/>
  <c r="AL447" i="1" a="1"/>
  <c r="AL417" i="1" a="1"/>
  <c r="AL75" i="1" a="1"/>
  <c r="AL532" i="1" a="1"/>
  <c r="AL473" i="1" a="1"/>
  <c r="AL85" i="1" a="1"/>
  <c r="AL475" i="1" a="1"/>
  <c r="AL378" i="1" a="1"/>
  <c r="AL500" i="1" a="1"/>
  <c r="AL95" i="1" a="1"/>
  <c r="AL165" i="1" a="1"/>
  <c r="AL67" i="1" a="1"/>
  <c r="AL480" i="1" a="1"/>
  <c r="AL265" i="1" a="1"/>
  <c r="AL210" i="1" a="1"/>
  <c r="AL411" i="1" a="1"/>
  <c r="AL81" i="1" a="1"/>
  <c r="AL558" i="1" a="1"/>
  <c r="AL382" i="1" a="1"/>
  <c r="AL568" i="1" a="1"/>
  <c r="AL353" i="1" a="1"/>
  <c r="AL153" i="1" a="1"/>
  <c r="AL251" i="1" a="1"/>
  <c r="AL57" i="1" a="1"/>
  <c r="AL197" i="1" a="1"/>
  <c r="AL377" i="1" a="1"/>
  <c r="AL461" i="1" a="1"/>
  <c r="AL213" i="1" a="1"/>
  <c r="AL154" i="1" a="1"/>
  <c r="AL349" i="1" a="1"/>
  <c r="AL486" i="1" a="1"/>
  <c r="AL180" i="1" a="1"/>
  <c r="AL330" i="1" a="1"/>
  <c r="AL452" i="1" a="1"/>
  <c r="AL414" i="1" a="1"/>
  <c r="AL574" i="1" a="1"/>
  <c r="AL279" i="1" a="1"/>
  <c r="AL196" i="1" a="1"/>
  <c r="AL534" i="1" a="1"/>
  <c r="AL175" i="1" a="1"/>
  <c r="AL159" i="1" a="1"/>
  <c r="AL394" i="1" a="1"/>
  <c r="AL32" i="1" a="1"/>
  <c r="AL65" i="1" a="1"/>
  <c r="AL376" i="1" a="1"/>
  <c r="AL392" i="1" a="1"/>
  <c r="AL295" i="1" a="1"/>
  <c r="AL148" i="1" a="1"/>
  <c r="AL444" i="1" a="1"/>
  <c r="AL82" i="1" a="1"/>
  <c r="AL76" i="1" a="1"/>
  <c r="AL78" i="1" a="1"/>
  <c r="AL352" i="1" a="1"/>
  <c r="AL255" i="1" a="1"/>
  <c r="AL167" i="1" a="1"/>
  <c r="AL304" i="1" a="1"/>
  <c r="AL399" i="1" a="1"/>
  <c r="AL344" i="1" a="1"/>
  <c r="AL263" i="1" a="1"/>
  <c r="AL290" i="1" a="1"/>
  <c r="AL527" i="1" a="1"/>
  <c r="AL598" i="1" a="1"/>
  <c r="AL190" i="1" a="1"/>
  <c r="AL77" i="1" a="1"/>
  <c r="AL212" i="1" a="1"/>
  <c r="AL469" i="1" a="1"/>
  <c r="AL555" i="1" a="1"/>
  <c r="AL38" i="1" a="1"/>
  <c r="AL199" i="1" a="1"/>
  <c r="AL310" i="1" a="1"/>
  <c r="AL564" i="1" a="1"/>
  <c r="AL62" i="1" a="1"/>
  <c r="AL471" i="1" a="1"/>
  <c r="AL487" i="1" a="1"/>
  <c r="AL145" i="1" a="1"/>
  <c r="AL122" i="1" a="1"/>
  <c r="AL230" i="1" a="1"/>
  <c r="AL160" i="1" a="1"/>
  <c r="AL201" i="1" a="1"/>
  <c r="AL259" i="1" a="1"/>
  <c r="AL339" i="1" a="1"/>
  <c r="AL72" i="1" a="1"/>
  <c r="AL34" i="1" a="1"/>
  <c r="AL571" i="1" a="1"/>
  <c r="AL367" i="1" a="1"/>
  <c r="AL157" i="1" a="1"/>
  <c r="AL249" i="1" a="1"/>
  <c r="AL224" i="1" a="1"/>
  <c r="AL493" i="1" a="1"/>
  <c r="AL578" i="1" a="1"/>
  <c r="AL561" i="1" a="1"/>
  <c r="AL599" i="1" a="1"/>
  <c r="AL518" i="1" a="1"/>
  <c r="AL445" i="1" a="1"/>
  <c r="AL453" i="1" a="1"/>
  <c r="AL193" i="1" a="1"/>
  <c r="AL381" i="1" a="1"/>
  <c r="AL126" i="1" a="1"/>
  <c r="AL115" i="1" a="1"/>
  <c r="AL360" i="1" a="1"/>
  <c r="AL371" i="1" a="1"/>
  <c r="AL438" i="1" a="1"/>
  <c r="AL463" i="1" a="1"/>
  <c r="AL548" i="1" a="1"/>
  <c r="AL355" i="1" a="1"/>
  <c r="AL430" i="1" a="1"/>
  <c r="AL73" i="1" a="1"/>
  <c r="AL228" i="1" a="1"/>
  <c r="AL551" i="1" a="1"/>
  <c r="AL177" i="1" a="1"/>
  <c r="AL297" i="1" a="1"/>
  <c r="AL428" i="1" a="1"/>
  <c r="AL386" i="1" a="1"/>
  <c r="AL522" i="1" a="1"/>
  <c r="AL432" i="1" a="1"/>
  <c r="AL264" i="1" a="1"/>
  <c r="AL208" i="1" a="1"/>
  <c r="AL28" i="1" a="1"/>
  <c r="AL315" i="1" a="1"/>
  <c r="AL299" i="1" a="1"/>
  <c r="AL267" i="1" a="1"/>
  <c r="AL459" i="1" a="1"/>
  <c r="AL322" i="1" a="1"/>
  <c r="AL324" i="1" a="1"/>
  <c r="AL143" i="1" a="1"/>
  <c r="AL443" i="1" a="1"/>
  <c r="AL257" i="1" a="1"/>
  <c r="AL56" i="1" a="1"/>
  <c r="AL247" i="1" a="1"/>
  <c r="AL119" i="1" a="1"/>
  <c r="AL281" i="1" a="1"/>
  <c r="AL435" i="1" a="1"/>
  <c r="AL46" i="1" a="1"/>
  <c r="AL244" i="1" a="1"/>
  <c r="AL283" i="1" a="1"/>
  <c r="AL496" i="1" a="1"/>
  <c r="AL412" i="1" a="1"/>
  <c r="AL490" i="1" a="1"/>
  <c r="AL20" i="1" a="1"/>
  <c r="AL86" i="1" a="1"/>
  <c r="AL314" i="1" a="1"/>
  <c r="AL368" i="1" a="1"/>
  <c r="AL502" i="1" a="1"/>
  <c r="AL317" i="1" a="1"/>
  <c r="AL476" i="1" a="1"/>
  <c r="AL250" i="1" a="1"/>
  <c r="AL512" i="1" a="1"/>
  <c r="AL109" i="1" a="1"/>
  <c r="AL456" i="1" a="1"/>
  <c r="AL121" i="1" a="1"/>
  <c r="AL256" i="1" a="1"/>
  <c r="AL338" i="1" a="1"/>
  <c r="AL117" i="1" a="1"/>
  <c r="AL225" i="1" a="1"/>
  <c r="AL106" i="1" a="1"/>
  <c r="AL284" i="1" a="1"/>
  <c r="AL457" i="1" a="1"/>
  <c r="AL169" i="1" a="1"/>
  <c r="AL433" i="1" a="1"/>
  <c r="AL369" i="1" a="1"/>
  <c r="AL543" i="1" a="1"/>
  <c r="AL30" i="1" a="1"/>
  <c r="AL270" i="1" a="1"/>
  <c r="AL36" i="1" a="1"/>
  <c r="AL164" i="1" a="1"/>
  <c r="AL318" i="1" a="1"/>
  <c r="AL450" i="1" a="1"/>
  <c r="AL363" i="1" a="1"/>
  <c r="AL125" i="1" a="1"/>
  <c r="AL545" i="1" a="1"/>
  <c r="AL182" i="1" a="1"/>
  <c r="AL21" i="1" a="1"/>
  <c r="AL242" i="1" a="1"/>
  <c r="AL375" i="1" a="1"/>
  <c r="AL365" i="1" a="1"/>
  <c r="AL303" i="1" a="1"/>
  <c r="AL9" i="1" a="1"/>
  <c r="AL359" i="1" a="1"/>
  <c r="AL231" i="1" a="1"/>
  <c r="AL200" i="1" a="1"/>
  <c r="AL43" i="1" a="1"/>
  <c r="AL478" i="1" a="1"/>
  <c r="AL25" i="1" a="1"/>
  <c r="AL592" i="1" a="1"/>
  <c r="AL282" i="1" a="1"/>
  <c r="AL277" i="1" a="1"/>
  <c r="AL287" i="1" a="1"/>
  <c r="AL151" i="1" a="1"/>
  <c r="AL108" i="1" a="1"/>
  <c r="AL547" i="1" a="1"/>
  <c r="AL340" i="1" a="1"/>
  <c r="AL497" i="1" a="1"/>
  <c r="AL59" i="1" a="1"/>
  <c r="AL101" i="1" a="1"/>
  <c r="AL449" i="1" a="1"/>
  <c r="AL52" i="1" a="1"/>
  <c r="AL397" i="1" a="1"/>
  <c r="AL584" i="1" a="1"/>
  <c r="AL325" i="1" a="1"/>
  <c r="AL538" i="1" a="1"/>
  <c r="AL99" i="1" a="1"/>
  <c r="AL37" i="1" a="1"/>
  <c r="AL54" i="1" a="1"/>
  <c r="AL10" i="1" a="1"/>
  <c r="AL366" i="1" a="1"/>
  <c r="AL88" i="1" a="1"/>
  <c r="AL26" i="1" a="1"/>
  <c r="AL262" i="1" a="1"/>
  <c r="AL134" i="1" a="1"/>
  <c r="AL296" i="1" a="1"/>
  <c r="AL192" i="1" a="1"/>
  <c r="AL271" i="1" a="1"/>
  <c r="AL132" i="1" a="1"/>
  <c r="AL407" i="1" a="1"/>
  <c r="AL74" i="1" a="1"/>
  <c r="AL118" i="1" a="1"/>
  <c r="AL27" i="1" a="1"/>
  <c r="AL102" i="1" a="1"/>
  <c r="AL477" i="1" a="1"/>
  <c r="AL402" i="1" a="1"/>
  <c r="AL334" i="1" a="1"/>
  <c r="AL358" i="1" a="1"/>
  <c r="AL549" i="1" a="1"/>
  <c r="AL136" i="1" a="1"/>
  <c r="AL152" i="1" a="1"/>
  <c r="AL573" i="1" a="1"/>
  <c r="AL499" i="1" a="1"/>
  <c r="AL233" i="1" a="1"/>
  <c r="AL504" i="1" a="1"/>
  <c r="AL203" i="1" a="1"/>
  <c r="AL570" i="1" a="1"/>
  <c r="AL479" i="1" a="1"/>
  <c r="AL416" i="1" a="1"/>
  <c r="AL183" i="1" a="1"/>
  <c r="AL567" i="1" a="1"/>
  <c r="AL552" i="1" a="1"/>
  <c r="AL107" i="1" a="1"/>
  <c r="AL19" i="1" a="1"/>
  <c r="AL569" i="1" a="1"/>
  <c r="AL149" i="1" a="1"/>
  <c r="AL58" i="1" a="1"/>
  <c r="AL229" i="1" a="1"/>
  <c r="AL341" i="1" a="1"/>
  <c r="AL156" i="1" a="1"/>
  <c r="AL510" i="1" a="1"/>
  <c r="AL272" i="1" a="1"/>
  <c r="AL127" i="1" a="1"/>
  <c r="AL326" i="1" a="1"/>
  <c r="AL441" i="1" a="1"/>
  <c r="AL71" i="1" a="1"/>
  <c r="AL45" i="1" a="1"/>
  <c r="AL138" i="1" a="1"/>
  <c r="AL179" i="1" a="1"/>
  <c r="AL356" i="1" a="1"/>
  <c r="AL335" i="1" a="1"/>
  <c r="AL323" i="1" a="1"/>
  <c r="AL232" i="1" a="1"/>
  <c r="AL114" i="1" a="1"/>
  <c r="AL347" i="1" a="1"/>
  <c r="AL80" i="1" a="1"/>
  <c r="AL373" i="1" a="1"/>
  <c r="AL87" i="1" a="1"/>
  <c r="AL345" i="1" a="1"/>
  <c r="AL300" i="1" a="1"/>
  <c r="AL583" i="1" a="1"/>
  <c r="AL530" i="1" a="1"/>
  <c r="AL141" i="1" a="1"/>
  <c r="AL301" i="1" a="1"/>
  <c r="AL554" i="1" a="1"/>
  <c r="AL516" i="1" a="1"/>
  <c r="AL123" i="1" a="1"/>
  <c r="AL492" i="1" a="1"/>
  <c r="AL49" i="1" a="1"/>
  <c r="AL266" i="1" a="1"/>
  <c r="AL69" i="1" a="1"/>
  <c r="AL489" i="1" a="1"/>
  <c r="AL24" i="1" a="1"/>
  <c r="AL178" i="1" a="1"/>
  <c r="AL451" i="1" a="1"/>
  <c r="AL202" i="1" a="1"/>
  <c r="AL146" i="1" a="1"/>
  <c r="AL298" i="1" a="1"/>
  <c r="AL579" i="1" a="1"/>
  <c r="AL481" i="1" a="1"/>
  <c r="AL269" i="1" a="1"/>
  <c r="AL550" i="1" a="1"/>
  <c r="AL104" i="1" a="1"/>
  <c r="AL116" i="1" a="1"/>
  <c r="AL521" i="1" a="1"/>
  <c r="AL362" i="1" a="1"/>
  <c r="AL245" i="1" a="1"/>
  <c r="AL581" i="1" a="1"/>
  <c r="AL506" i="1" a="1"/>
  <c r="AL401" i="1" a="1"/>
  <c r="AL195" i="1" a="1"/>
  <c r="AL188" i="1" a="1"/>
  <c r="AL55" i="1" a="1"/>
  <c r="AL383" i="1" a="1"/>
  <c r="AL509" i="1" a="1"/>
  <c r="AL150" i="1" a="1"/>
  <c r="AL464" i="1" a="1"/>
  <c r="AL162" i="1" a="1"/>
  <c r="AL540" i="1" a="1"/>
  <c r="AL342" i="1" a="1"/>
  <c r="AL253" i="1" a="1"/>
  <c r="AL42" i="1" a="1"/>
  <c r="AL332" i="1" a="1"/>
  <c r="AL286" i="1" a="1"/>
  <c r="AL158" i="1" a="1"/>
  <c r="AL556" i="1" a="1"/>
  <c r="AL35" i="1" a="1"/>
  <c r="AL68" i="1" a="1"/>
  <c r="AL425" i="1" a="1"/>
  <c r="AL468" i="1" a="1"/>
  <c r="AL387" i="1" a="1"/>
  <c r="AL594" i="1" a="1"/>
  <c r="AL174" i="1" a="1"/>
  <c r="AL308" i="1" a="1"/>
  <c r="AL221" i="1" a="1"/>
  <c r="AL380" i="1" a="1"/>
  <c r="AL439" i="1" a="1"/>
  <c r="AL309" i="1" a="1"/>
  <c r="AL396" i="1" a="1"/>
  <c r="AL91" i="1" a="1"/>
  <c r="AL155" i="1" a="1"/>
  <c r="AL507" i="1" a="1"/>
  <c r="AL147" i="1" a="1"/>
  <c r="AL274" i="1" a="1"/>
  <c r="AL535" i="1" a="1"/>
  <c r="AL577" i="1" a="1"/>
  <c r="AL474" i="1" a="1"/>
  <c r="AL590" i="1" a="1"/>
  <c r="AL466" i="1" a="1"/>
  <c r="AL187" i="1" a="1"/>
  <c r="AL597" i="1" a="1"/>
  <c r="AL186" i="1" a="1"/>
  <c r="AL586" i="1" a="1"/>
  <c r="AL415" i="1" a="1"/>
  <c r="AL413" i="1" a="1"/>
  <c r="AL184" i="1" a="1"/>
  <c r="AL243" i="1" a="1"/>
  <c r="AL171" i="1" a="1"/>
  <c r="AL327" i="1" a="1"/>
  <c r="AL563" i="1" a="1"/>
  <c r="AL517" i="1" a="1"/>
  <c r="AL585" i="1" a="1"/>
  <c r="AL53" i="1" a="1"/>
  <c r="AL236" i="1" a="1"/>
  <c r="AL537" i="1" a="1"/>
  <c r="AL204" i="1" a="1"/>
  <c r="AL22" i="1" a="1"/>
  <c r="AL47" i="1" a="1"/>
  <c r="AL48" i="1" a="1"/>
  <c r="AI687" i="1" a="1"/>
  <c r="AI629" i="1" a="1"/>
  <c r="AI693" i="1" a="1"/>
  <c r="AI611" i="1" a="1"/>
  <c r="AI658" i="1" a="1"/>
  <c r="AI697" i="1" a="1"/>
  <c r="AI691" i="1" a="1"/>
  <c r="AI696" i="1" a="1"/>
  <c r="AI675" i="1" a="1"/>
  <c r="AI650" i="1" a="1"/>
  <c r="AI670" i="1" a="1"/>
  <c r="AI632" i="1" a="1"/>
  <c r="AI635" i="1" a="1"/>
  <c r="AI644" i="1" a="1"/>
  <c r="AI689" i="1" a="1"/>
  <c r="AI654" i="1" a="1"/>
  <c r="AI699" i="1" a="1"/>
  <c r="AI640" i="1" a="1"/>
  <c r="AI641" i="1" a="1"/>
  <c r="AI625" i="1" a="1"/>
  <c r="AI639" i="1" a="1"/>
  <c r="AI643" i="1" a="1"/>
  <c r="AI669" i="1" a="1"/>
  <c r="AI663" i="1" a="1"/>
  <c r="AI630" i="1" a="1"/>
  <c r="AI619" i="1" a="1"/>
  <c r="AI616" i="1" a="1"/>
  <c r="AI612" i="1" a="1"/>
  <c r="AI655" i="1" a="1"/>
  <c r="AI618" i="1" a="1"/>
  <c r="AI672" i="1" a="1"/>
  <c r="AI609" i="1" a="1"/>
  <c r="AI652" i="1" a="1"/>
  <c r="AI642" i="1" a="1"/>
  <c r="AI608" i="1" a="1"/>
  <c r="AI662" i="1" a="1"/>
  <c r="AI631" i="1" a="1"/>
  <c r="AI649" i="1" a="1"/>
  <c r="AI601" i="1" a="1"/>
  <c r="AI645" i="1" a="1"/>
  <c r="AI626" i="1" a="1"/>
  <c r="AI614" i="1" a="1"/>
  <c r="AI657" i="1" a="1"/>
  <c r="AI615" i="1" a="1"/>
  <c r="AI660" i="1" a="1"/>
  <c r="AI620" i="1" a="1"/>
  <c r="AI627" i="1" a="1"/>
  <c r="AI605" i="1" a="1"/>
  <c r="AI671" i="1" a="1"/>
  <c r="AI682" i="1" a="1"/>
  <c r="AI681" i="1" a="1"/>
  <c r="AI656" i="1" a="1"/>
  <c r="AI607" i="1" a="1"/>
  <c r="AI694" i="1" a="1"/>
  <c r="AI661" i="1" a="1"/>
  <c r="AI628" i="1" a="1"/>
  <c r="AI613" i="1" a="1"/>
  <c r="AI637" i="1" a="1"/>
  <c r="AI668" i="1" a="1"/>
  <c r="AI651" i="1" a="1"/>
  <c r="AI621" i="1" a="1"/>
  <c r="AI678" i="1" a="1"/>
  <c r="AI634" i="1" a="1"/>
  <c r="AI684" i="1" a="1"/>
  <c r="AI692" i="1" a="1"/>
  <c r="AI680" i="1" a="1"/>
  <c r="AI653" i="1" a="1"/>
  <c r="AI659" i="1" a="1"/>
  <c r="AI690" i="1" a="1"/>
  <c r="AI638" i="1" a="1"/>
  <c r="AI676" i="1" a="1"/>
  <c r="AI622" i="1" a="1"/>
  <c r="AI674" i="1" a="1"/>
  <c r="AI647" i="1" a="1"/>
  <c r="AI686" i="1" a="1"/>
  <c r="AI679" i="1" a="1"/>
  <c r="AI633" i="1" a="1"/>
  <c r="AI602" i="1" a="1"/>
  <c r="AI646" i="1" a="1"/>
  <c r="AI666" i="1" a="1"/>
  <c r="AI604" i="1" a="1"/>
  <c r="AI617" i="1" a="1"/>
  <c r="AI610" i="1" a="1"/>
  <c r="AI685" i="1" a="1"/>
  <c r="AI603" i="1" a="1"/>
  <c r="AI623" i="1" a="1"/>
  <c r="AI667" i="1" a="1"/>
  <c r="AI673" i="1" a="1"/>
  <c r="AI624" i="1" a="1"/>
  <c r="AI695" i="1" a="1"/>
  <c r="AI636" i="1" a="1"/>
  <c r="AI664" i="1" a="1"/>
  <c r="AI665" i="1" a="1"/>
  <c r="AI698" i="1" a="1"/>
  <c r="AI677" i="1" a="1"/>
  <c r="AI683" i="1" a="1"/>
  <c r="AI688" i="1" a="1"/>
  <c r="AI606" i="1" a="1"/>
  <c r="AI648" i="1" a="1"/>
  <c r="AK18" i="1" l="1"/>
  <c r="AK17" i="1"/>
  <c r="AK16" i="1"/>
  <c r="AK13" i="1"/>
  <c r="AK15" i="1"/>
  <c r="AK14" i="1"/>
  <c r="AK12" i="1"/>
  <c r="AK11" i="1"/>
  <c r="AL48" i="1"/>
  <c r="AL47" i="1"/>
  <c r="AL22" i="1"/>
  <c r="AL204" i="1"/>
  <c r="AL537" i="1"/>
  <c r="AL236" i="1"/>
  <c r="AL53" i="1"/>
  <c r="AL585" i="1"/>
  <c r="AL517" i="1"/>
  <c r="AL563" i="1"/>
  <c r="AL327" i="1"/>
  <c r="AL171" i="1"/>
  <c r="AL243" i="1"/>
  <c r="AL184" i="1"/>
  <c r="AL413" i="1"/>
  <c r="AL415" i="1"/>
  <c r="AL586" i="1"/>
  <c r="AL186" i="1"/>
  <c r="AL597" i="1"/>
  <c r="AL187" i="1"/>
  <c r="AL466" i="1"/>
  <c r="AL590" i="1"/>
  <c r="AL474" i="1"/>
  <c r="AL577" i="1"/>
  <c r="AL535" i="1"/>
  <c r="AL274" i="1"/>
  <c r="AL147" i="1"/>
  <c r="AL507" i="1"/>
  <c r="AL155" i="1"/>
  <c r="AL91" i="1"/>
  <c r="AL396" i="1"/>
  <c r="AL309" i="1"/>
  <c r="AL439" i="1"/>
  <c r="AL380" i="1"/>
  <c r="AL221" i="1"/>
  <c r="AL308" i="1"/>
  <c r="AL174" i="1"/>
  <c r="AL594" i="1"/>
  <c r="AL387" i="1"/>
  <c r="AL468" i="1"/>
  <c r="AL425" i="1"/>
  <c r="AL68" i="1"/>
  <c r="AL35" i="1"/>
  <c r="AL556" i="1"/>
  <c r="AL158" i="1"/>
  <c r="AL286" i="1"/>
  <c r="AL332" i="1"/>
  <c r="AL42" i="1"/>
  <c r="AL253" i="1"/>
  <c r="AL342" i="1"/>
  <c r="AL540" i="1"/>
  <c r="AL162" i="1"/>
  <c r="AL464" i="1"/>
  <c r="AL150" i="1"/>
  <c r="AL509" i="1"/>
  <c r="AL383" i="1"/>
  <c r="AL55" i="1"/>
  <c r="AL188" i="1"/>
  <c r="AL195" i="1"/>
  <c r="AL401" i="1"/>
  <c r="AL506" i="1"/>
  <c r="AL581" i="1"/>
  <c r="AL245" i="1"/>
  <c r="AL362" i="1"/>
  <c r="AL521" i="1"/>
  <c r="AL116" i="1"/>
  <c r="AL104" i="1"/>
  <c r="AL550" i="1"/>
  <c r="AL269" i="1"/>
  <c r="AL481" i="1"/>
  <c r="AL579" i="1"/>
  <c r="AL298" i="1"/>
  <c r="AL146" i="1"/>
  <c r="AL202" i="1"/>
  <c r="AL451" i="1"/>
  <c r="AL178" i="1"/>
  <c r="AL24" i="1"/>
  <c r="AL489" i="1"/>
  <c r="AL69" i="1"/>
  <c r="AL266" i="1"/>
  <c r="AL49" i="1"/>
  <c r="AL492" i="1"/>
  <c r="AL123" i="1"/>
  <c r="AL516" i="1"/>
  <c r="AL554" i="1"/>
  <c r="AL301" i="1"/>
  <c r="AL141" i="1"/>
  <c r="AL530" i="1"/>
  <c r="AL583" i="1"/>
  <c r="AL300" i="1"/>
  <c r="AL345" i="1"/>
  <c r="AL87" i="1"/>
  <c r="AL373" i="1"/>
  <c r="AL80" i="1"/>
  <c r="AL347" i="1"/>
  <c r="AL114" i="1"/>
  <c r="AL232" i="1"/>
  <c r="AL323" i="1"/>
  <c r="AL335" i="1"/>
  <c r="AL356" i="1"/>
  <c r="AL179" i="1"/>
  <c r="AL138" i="1"/>
  <c r="AL45" i="1"/>
  <c r="AL71" i="1"/>
  <c r="AL441" i="1"/>
  <c r="AL326" i="1"/>
  <c r="AL127" i="1"/>
  <c r="AL272" i="1"/>
  <c r="AL510" i="1"/>
  <c r="AL156" i="1"/>
  <c r="AL341" i="1"/>
  <c r="AL229" i="1"/>
  <c r="AL58" i="1"/>
  <c r="AL149" i="1"/>
  <c r="AL569" i="1"/>
  <c r="AL19" i="1"/>
  <c r="AL107" i="1"/>
  <c r="AL552" i="1"/>
  <c r="AL567" i="1"/>
  <c r="AL183" i="1"/>
  <c r="AL416" i="1"/>
  <c r="AL479" i="1"/>
  <c r="AL570" i="1"/>
  <c r="AL203" i="1"/>
  <c r="AL504" i="1"/>
  <c r="AL233" i="1"/>
  <c r="AL499" i="1"/>
  <c r="AL573" i="1"/>
  <c r="AL152" i="1"/>
  <c r="AL136" i="1"/>
  <c r="AL549" i="1"/>
  <c r="AL358" i="1"/>
  <c r="AL334" i="1"/>
  <c r="AL402" i="1"/>
  <c r="AL477" i="1"/>
  <c r="AL102" i="1"/>
  <c r="AL27" i="1"/>
  <c r="AL118" i="1"/>
  <c r="AL74" i="1"/>
  <c r="AL407" i="1"/>
  <c r="AL132" i="1"/>
  <c r="AL271" i="1"/>
  <c r="AL192" i="1"/>
  <c r="AL296" i="1"/>
  <c r="AL134" i="1"/>
  <c r="AL262" i="1"/>
  <c r="AL26" i="1"/>
  <c r="AL88" i="1"/>
  <c r="AL366" i="1"/>
  <c r="AL10" i="1"/>
  <c r="AL54" i="1"/>
  <c r="AL37" i="1"/>
  <c r="AL99" i="1"/>
  <c r="AL538" i="1"/>
  <c r="AL325" i="1"/>
  <c r="AL584" i="1"/>
  <c r="AL397" i="1"/>
  <c r="AL52" i="1"/>
  <c r="AL449" i="1"/>
  <c r="AL101" i="1"/>
  <c r="AL59" i="1"/>
  <c r="AL497" i="1"/>
  <c r="AL340" i="1"/>
  <c r="AL547" i="1"/>
  <c r="AL108" i="1"/>
  <c r="AL151" i="1"/>
  <c r="AL287" i="1"/>
  <c r="AL277" i="1"/>
  <c r="AL282" i="1"/>
  <c r="AL592" i="1"/>
  <c r="AL25" i="1"/>
  <c r="AL478" i="1"/>
  <c r="AL43" i="1"/>
  <c r="AL200" i="1"/>
  <c r="AL231" i="1"/>
  <c r="AL359" i="1"/>
  <c r="AL9" i="1"/>
  <c r="AL303" i="1"/>
  <c r="AL365" i="1"/>
  <c r="AL375" i="1"/>
  <c r="AL242" i="1"/>
  <c r="AL21" i="1"/>
  <c r="AL182" i="1"/>
  <c r="AL545" i="1"/>
  <c r="AL125" i="1"/>
  <c r="AL363" i="1"/>
  <c r="AL450" i="1"/>
  <c r="AL318" i="1"/>
  <c r="AL164" i="1"/>
  <c r="AL36" i="1"/>
  <c r="AL270" i="1"/>
  <c r="AL30" i="1"/>
  <c r="AL543" i="1"/>
  <c r="AL369" i="1"/>
  <c r="AL433" i="1"/>
  <c r="AL169" i="1"/>
  <c r="AL457" i="1"/>
  <c r="AL284" i="1"/>
  <c r="AL106" i="1"/>
  <c r="AL225" i="1"/>
  <c r="AL117" i="1"/>
  <c r="AL338" i="1"/>
  <c r="AL256" i="1"/>
  <c r="AL121" i="1"/>
  <c r="AL456" i="1"/>
  <c r="AL109" i="1"/>
  <c r="AL512" i="1"/>
  <c r="AL250" i="1"/>
  <c r="AL476" i="1"/>
  <c r="AL317" i="1"/>
  <c r="AL502" i="1"/>
  <c r="AL368" i="1"/>
  <c r="AL314" i="1"/>
  <c r="AL86" i="1"/>
  <c r="AL20" i="1"/>
  <c r="AL490" i="1"/>
  <c r="AL412" i="1"/>
  <c r="AL496" i="1"/>
  <c r="AL283" i="1"/>
  <c r="AL244" i="1"/>
  <c r="AL46" i="1"/>
  <c r="AL435" i="1"/>
  <c r="AL281" i="1"/>
  <c r="AL119" i="1"/>
  <c r="AL247" i="1"/>
  <c r="AL56" i="1"/>
  <c r="AL257" i="1"/>
  <c r="AL443" i="1"/>
  <c r="AL143" i="1"/>
  <c r="AL324" i="1"/>
  <c r="AL322" i="1"/>
  <c r="AL459" i="1"/>
  <c r="AL267" i="1"/>
  <c r="AL299" i="1"/>
  <c r="AL315" i="1"/>
  <c r="AL28" i="1"/>
  <c r="AL208" i="1"/>
  <c r="AL264" i="1"/>
  <c r="AL432" i="1"/>
  <c r="AL522" i="1"/>
  <c r="AL386" i="1"/>
  <c r="AL428" i="1"/>
  <c r="AL297" i="1"/>
  <c r="AL177" i="1"/>
  <c r="AL551" i="1"/>
  <c r="AL228" i="1"/>
  <c r="AL73" i="1"/>
  <c r="AL430" i="1"/>
  <c r="AL355" i="1"/>
  <c r="AL548" i="1"/>
  <c r="AL463" i="1"/>
  <c r="AL438" i="1"/>
  <c r="AL371" i="1"/>
  <c r="AL360" i="1"/>
  <c r="AL115" i="1"/>
  <c r="AL126" i="1"/>
  <c r="AL381" i="1"/>
  <c r="AL193" i="1"/>
  <c r="AL453" i="1"/>
  <c r="AL445" i="1"/>
  <c r="AL518" i="1"/>
  <c r="AL599" i="1"/>
  <c r="AL561" i="1"/>
  <c r="AL578" i="1"/>
  <c r="AL493" i="1"/>
  <c r="AL224" i="1"/>
  <c r="AL249" i="1"/>
  <c r="AL157" i="1"/>
  <c r="AL367" i="1"/>
  <c r="AL571" i="1"/>
  <c r="AL34" i="1"/>
  <c r="AL72" i="1"/>
  <c r="AL339" i="1"/>
  <c r="AL259" i="1"/>
  <c r="AL201" i="1"/>
  <c r="AL160" i="1"/>
  <c r="AL230" i="1"/>
  <c r="AL122" i="1"/>
  <c r="AL145" i="1"/>
  <c r="AL487" i="1"/>
  <c r="AL471" i="1"/>
  <c r="AL62" i="1"/>
  <c r="AL564" i="1"/>
  <c r="AL310" i="1"/>
  <c r="AL199" i="1"/>
  <c r="AL38" i="1"/>
  <c r="AL555" i="1"/>
  <c r="AL469" i="1"/>
  <c r="AL212" i="1"/>
  <c r="AL77" i="1"/>
  <c r="AL190" i="1"/>
  <c r="AL598" i="1"/>
  <c r="AL527" i="1"/>
  <c r="AL290" i="1"/>
  <c r="AL263" i="1"/>
  <c r="AL344" i="1"/>
  <c r="AL399" i="1"/>
  <c r="AL304" i="1"/>
  <c r="AL167" i="1"/>
  <c r="AL255" i="1"/>
  <c r="AL352" i="1"/>
  <c r="AL78" i="1"/>
  <c r="AL76" i="1"/>
  <c r="AL82" i="1"/>
  <c r="AL444" i="1"/>
  <c r="AL148" i="1"/>
  <c r="AL295" i="1"/>
  <c r="AL392" i="1"/>
  <c r="AL376" i="1"/>
  <c r="AL65" i="1"/>
  <c r="AL32" i="1"/>
  <c r="AL394" i="1"/>
  <c r="AL159" i="1"/>
  <c r="AL175" i="1"/>
  <c r="AL534" i="1"/>
  <c r="AL196" i="1"/>
  <c r="AL279" i="1"/>
  <c r="AL574" i="1"/>
  <c r="AL414" i="1"/>
  <c r="AL452" i="1"/>
  <c r="AL330" i="1"/>
  <c r="AL180" i="1"/>
  <c r="AL486" i="1"/>
  <c r="AL349" i="1"/>
  <c r="AL154" i="1"/>
  <c r="AL213" i="1"/>
  <c r="AL461" i="1"/>
  <c r="AL377" i="1"/>
  <c r="AL197" i="1"/>
  <c r="AL57" i="1"/>
  <c r="AL251" i="1"/>
  <c r="AL153" i="1"/>
  <c r="AL353" i="1"/>
  <c r="AL568" i="1"/>
  <c r="AL382" i="1"/>
  <c r="AL558" i="1"/>
  <c r="AL81" i="1"/>
  <c r="AL411" i="1"/>
  <c r="AL210" i="1"/>
  <c r="AL265" i="1"/>
  <c r="AL480" i="1"/>
  <c r="AL67" i="1"/>
  <c r="AL165" i="1"/>
  <c r="AL95" i="1"/>
  <c r="AL500" i="1"/>
  <c r="AL378" i="1"/>
  <c r="AL475" i="1"/>
  <c r="AL85" i="1"/>
  <c r="AL473" i="1"/>
  <c r="AL532" i="1"/>
  <c r="AL75" i="1"/>
  <c r="AL417" i="1"/>
  <c r="AL447" i="1"/>
  <c r="AL395" i="1"/>
  <c r="AL421" i="1"/>
  <c r="AL576" i="1"/>
  <c r="AL370" i="1"/>
  <c r="AL514" i="1"/>
  <c r="AL536" i="1"/>
  <c r="AL226" i="1"/>
  <c r="AL321" i="1"/>
  <c r="AL446" i="1"/>
  <c r="AL254" i="1"/>
  <c r="AL406" i="1"/>
  <c r="AL276" i="1"/>
  <c r="AL523" i="1"/>
  <c r="AL542" i="1"/>
  <c r="AL553" i="1"/>
  <c r="AL364" i="1"/>
  <c r="AL403" i="1"/>
  <c r="AL533" i="1"/>
  <c r="AL526" i="1"/>
  <c r="AL161" i="1"/>
  <c r="AL189" i="1"/>
  <c r="AL423" i="1"/>
  <c r="AL528" i="1"/>
  <c r="AL214" i="1"/>
  <c r="AL280" i="1"/>
  <c r="AL566" i="1"/>
  <c r="AL234" i="1"/>
  <c r="AL176" i="1"/>
  <c r="AL258" i="1"/>
  <c r="AL319" i="1"/>
  <c r="AL79" i="1"/>
  <c r="AL94" i="1"/>
  <c r="AL331" i="1"/>
  <c r="AL181" i="1"/>
  <c r="AL484" i="1"/>
  <c r="AL288" i="1"/>
  <c r="AL219" i="1"/>
  <c r="AL103" i="1"/>
  <c r="AL409" i="1"/>
  <c r="AL135" i="1"/>
  <c r="AL336" i="1"/>
  <c r="AL278" i="1"/>
  <c r="AL418" i="1"/>
  <c r="AL172" i="1"/>
  <c r="AL130" i="1"/>
  <c r="AL515" i="1"/>
  <c r="AL442" i="1"/>
  <c r="AL29" i="1"/>
  <c r="AL426" i="1"/>
  <c r="AL105" i="1"/>
  <c r="AL346" i="1"/>
  <c r="AL405" i="1"/>
  <c r="AL385" i="1"/>
  <c r="AL223" i="1"/>
  <c r="AL398" i="1"/>
  <c r="AL559" i="1"/>
  <c r="AL209" i="1"/>
  <c r="AL354" i="1"/>
  <c r="AL384" i="1"/>
  <c r="AL137" i="1"/>
  <c r="AL198" i="1"/>
  <c r="AL66" i="1"/>
  <c r="AL207" i="1"/>
  <c r="AL293" i="1"/>
  <c r="AL133" i="1"/>
  <c r="AL591" i="1"/>
  <c r="AL519" i="1"/>
  <c r="AL525" i="1"/>
  <c r="AL483" i="1"/>
  <c r="AL273" i="1"/>
  <c r="AL246" i="1"/>
  <c r="AL206" i="1"/>
  <c r="AL44" i="1"/>
  <c r="AL41" i="1"/>
  <c r="AL580" i="1"/>
  <c r="AL185" i="1"/>
  <c r="AL100" i="1"/>
  <c r="AL420" i="1"/>
  <c r="AL313" i="1"/>
  <c r="AL351" i="1"/>
  <c r="AL294" i="1"/>
  <c r="AL529" i="1"/>
  <c r="AL470" i="1"/>
  <c r="AL222" i="1"/>
  <c r="AL404" i="1"/>
  <c r="AL494" i="1"/>
  <c r="AL302" i="1"/>
  <c r="AL261" i="1"/>
  <c r="AL462" i="1"/>
  <c r="AL575" i="1"/>
  <c r="AL333" i="1"/>
  <c r="AL436" i="1"/>
  <c r="AL235" i="1"/>
  <c r="AL505" i="1"/>
  <c r="AL218" i="1"/>
  <c r="AL546" i="1"/>
  <c r="AL163" i="1"/>
  <c r="AL227" i="1"/>
  <c r="AL170" i="1"/>
  <c r="AL211" i="1"/>
  <c r="AL97" i="1"/>
  <c r="AL408" i="1"/>
  <c r="AL437" i="1"/>
  <c r="AL31" i="1"/>
  <c r="AL248" i="1"/>
  <c r="AL389" i="1"/>
  <c r="AL92" i="1"/>
  <c r="AL306" i="1"/>
  <c r="AL465" i="1"/>
  <c r="AL482" i="1"/>
  <c r="AL220" i="1"/>
  <c r="AL503" i="1"/>
  <c r="AL191" i="1"/>
  <c r="AL217" i="1"/>
  <c r="AL357" i="1"/>
  <c r="AL488" i="1"/>
  <c r="AL90" i="1"/>
  <c r="AL98" i="1"/>
  <c r="AL239" i="1"/>
  <c r="AL238" i="1"/>
  <c r="AL51" i="1"/>
  <c r="AL427" i="1"/>
  <c r="AL168" i="1"/>
  <c r="AL83" i="1"/>
  <c r="AL557" i="1"/>
  <c r="AL120" i="1"/>
  <c r="AL275" i="1"/>
  <c r="AL350" i="1"/>
  <c r="AL343" i="1"/>
  <c r="AL241" i="1"/>
  <c r="AL139" i="1"/>
  <c r="AL260" i="1"/>
  <c r="AL96" i="1"/>
  <c r="AL166" i="1"/>
  <c r="AL593" i="1"/>
  <c r="AL84" i="1"/>
  <c r="AL440" i="1"/>
  <c r="AL215" i="1"/>
  <c r="AL485" i="1"/>
  <c r="AL291" i="1"/>
  <c r="AL110" i="1"/>
  <c r="AL424" i="1"/>
  <c r="AL467" i="1"/>
  <c r="AL501" i="1"/>
  <c r="AL289" i="1"/>
  <c r="AL305" i="1"/>
  <c r="AL33" i="1"/>
  <c r="AL454" i="1"/>
  <c r="AL39" i="1"/>
  <c r="AL531" i="1"/>
  <c r="AL113" i="1"/>
  <c r="AL173" i="1"/>
  <c r="AL562" i="1"/>
  <c r="AL348" i="1"/>
  <c r="AL111" i="1"/>
  <c r="AL142" i="1"/>
  <c r="AL511" i="1"/>
  <c r="AL89" i="1"/>
  <c r="AL587" i="1"/>
  <c r="AL320" i="1"/>
  <c r="AL216" i="1"/>
  <c r="AL337" i="1"/>
  <c r="AL316" i="1"/>
  <c r="AL431" i="1"/>
  <c r="AL205" i="1"/>
  <c r="AL374" i="1"/>
  <c r="AL508" i="1"/>
  <c r="AL495" i="1"/>
  <c r="AL460" i="1"/>
  <c r="AL131" i="1"/>
  <c r="AL513" i="1"/>
  <c r="AL595" i="1"/>
  <c r="AL60" i="1"/>
  <c r="AL524" i="1"/>
  <c r="AL596" i="1"/>
  <c r="AL491" i="1"/>
  <c r="AL419" i="1"/>
  <c r="AL128" i="1"/>
  <c r="AL40" i="1"/>
  <c r="AL93" i="1"/>
  <c r="AL112" i="1"/>
  <c r="AL237" i="1"/>
  <c r="AL63" i="1"/>
  <c r="AL285" i="1"/>
  <c r="AL472" i="1"/>
  <c r="AL588" i="1"/>
  <c r="AL539" i="1"/>
  <c r="AL410" i="1"/>
  <c r="AL311" i="1"/>
  <c r="AL23" i="1"/>
  <c r="AL390" i="1"/>
  <c r="AL379" i="1"/>
  <c r="AL458" i="1"/>
  <c r="AL144" i="1"/>
  <c r="AL565" i="1"/>
  <c r="AL400" i="1"/>
  <c r="AL434" i="1"/>
  <c r="AL448" i="1"/>
  <c r="AL429" i="1"/>
  <c r="AL520" i="1"/>
  <c r="AL572" i="1"/>
  <c r="AL124" i="1"/>
  <c r="AL129" i="1"/>
  <c r="AL312" i="1"/>
  <c r="AL422" i="1"/>
  <c r="AL393" i="1"/>
  <c r="AL70" i="1"/>
  <c r="AL589" i="1"/>
  <c r="AL455" i="1"/>
  <c r="AL194" i="1"/>
  <c r="AL240" i="1"/>
  <c r="AL292" i="1"/>
  <c r="AL391" i="1"/>
  <c r="AL328" i="1"/>
  <c r="AL64" i="1"/>
  <c r="AL140" i="1"/>
  <c r="AL307" i="1"/>
  <c r="AL329" i="1"/>
  <c r="AL361" i="1"/>
  <c r="AL268" i="1"/>
  <c r="AL388" i="1"/>
  <c r="AL372" i="1"/>
  <c r="AL560" i="1"/>
  <c r="AL582" i="1"/>
  <c r="AL50" i="1"/>
  <c r="AL544" i="1"/>
  <c r="AL61" i="1"/>
  <c r="AL252" i="1"/>
  <c r="AL541" i="1"/>
  <c r="AL498" i="1"/>
  <c r="AI636" i="1"/>
  <c r="AI642" i="1"/>
  <c r="AI603" i="1"/>
  <c r="AI602" i="1"/>
  <c r="AI640" i="1"/>
  <c r="AI686" i="1"/>
  <c r="AI692" i="1"/>
  <c r="AI652" i="1"/>
  <c r="AI663" i="1"/>
  <c r="AI670" i="1"/>
  <c r="AI613" i="1"/>
  <c r="AI672" i="1"/>
  <c r="AI635" i="1"/>
  <c r="AI666" i="1"/>
  <c r="AI661" i="1"/>
  <c r="AI696" i="1"/>
  <c r="AI682" i="1"/>
  <c r="AI658" i="1"/>
  <c r="AI687" i="1"/>
  <c r="AI641" i="1"/>
  <c r="AI656" i="1"/>
  <c r="AI605" i="1"/>
  <c r="AI668" i="1"/>
  <c r="AI609" i="1"/>
  <c r="AI678" i="1"/>
  <c r="AI610" i="1"/>
  <c r="AI679" i="1"/>
  <c r="AI601" i="1"/>
  <c r="AI695" i="1"/>
  <c r="AI662" i="1"/>
  <c r="AI674" i="1"/>
  <c r="AI654" i="1"/>
  <c r="AI645" i="1"/>
  <c r="AI655" i="1"/>
  <c r="AI651" i="1"/>
  <c r="AI622" i="1"/>
  <c r="AI625" i="1"/>
  <c r="AI680" i="1"/>
  <c r="AI621" i="1"/>
  <c r="AI627" i="1"/>
  <c r="AI607" i="1"/>
  <c r="AI615" i="1"/>
  <c r="AI639" i="1"/>
  <c r="AI626" i="1"/>
  <c r="AI677" i="1"/>
  <c r="AI606" i="1"/>
  <c r="AI653" i="1"/>
  <c r="AI697" i="1"/>
  <c r="AI633" i="1"/>
  <c r="AI604" i="1"/>
  <c r="AI638" i="1"/>
  <c r="AI646" i="1"/>
  <c r="AI623" i="1"/>
  <c r="AI693" i="1"/>
  <c r="AI660" i="1"/>
  <c r="AI689" i="1"/>
  <c r="AI684" i="1"/>
  <c r="AI683" i="1"/>
  <c r="AI667" i="1"/>
  <c r="AI630" i="1"/>
  <c r="AI664" i="1"/>
  <c r="AI649" i="1"/>
  <c r="AI673" i="1"/>
  <c r="AI629" i="1"/>
  <c r="AI619" i="1"/>
  <c r="AI616" i="1"/>
  <c r="AI647" i="1"/>
  <c r="AI643" i="1"/>
  <c r="AI676" i="1"/>
  <c r="AI637" i="1"/>
  <c r="AI617" i="1"/>
  <c r="AI624" i="1"/>
  <c r="AI644" i="1"/>
  <c r="AI628" i="1"/>
  <c r="AI675" i="1"/>
  <c r="AI669" i="1"/>
  <c r="AI699" i="1"/>
  <c r="AI648" i="1"/>
  <c r="AI694" i="1"/>
  <c r="AI612" i="1"/>
  <c r="AI659" i="1"/>
  <c r="AI691" i="1"/>
  <c r="AI681" i="1"/>
  <c r="AI631" i="1"/>
  <c r="AI685" i="1"/>
  <c r="AI618" i="1"/>
  <c r="AI671" i="1"/>
  <c r="AI688" i="1"/>
  <c r="AI620" i="1"/>
  <c r="AI650" i="1"/>
  <c r="AI690" i="1"/>
  <c r="AI614" i="1"/>
  <c r="AI611" i="1"/>
  <c r="AI665" i="1"/>
  <c r="AI657" i="1"/>
  <c r="AI698" i="1"/>
  <c r="AI634" i="1"/>
  <c r="AI608" i="1"/>
  <c r="AI632" i="1"/>
  <c r="AL18" i="1" a="1"/>
  <c r="AL17" i="1" a="1"/>
  <c r="AL16" i="1" a="1"/>
  <c r="AL13" i="1" a="1"/>
  <c r="AL15" i="1" a="1"/>
  <c r="AL14" i="1" a="1"/>
  <c r="AL12" i="1" a="1"/>
  <c r="AL11" i="1" a="1"/>
  <c r="AJ687" i="1" a="1"/>
  <c r="AJ602" i="1" a="1"/>
  <c r="AJ680" i="1" a="1"/>
  <c r="AJ643" i="1" a="1"/>
  <c r="AJ628" i="1" a="1"/>
  <c r="AJ625" i="1" a="1"/>
  <c r="AJ683" i="1" a="1"/>
  <c r="AJ619" i="1" a="1"/>
  <c r="AJ679" i="1" a="1"/>
  <c r="AJ669" i="1" a="1"/>
  <c r="AJ676" i="1" a="1"/>
  <c r="AJ698" i="1" a="1"/>
  <c r="AJ623" i="1" a="1"/>
  <c r="AJ646" i="1" a="1"/>
  <c r="AJ620" i="1" a="1"/>
  <c r="AJ642" i="1" a="1"/>
  <c r="AJ691" i="1" a="1"/>
  <c r="AJ692" i="1" a="1"/>
  <c r="AJ675" i="1" a="1"/>
  <c r="AJ632" i="1" a="1"/>
  <c r="AJ634" i="1" a="1"/>
  <c r="AJ613" i="1" a="1"/>
  <c r="AJ603" i="1" a="1"/>
  <c r="AJ617" i="1" a="1"/>
  <c r="AJ637" i="1" a="1"/>
  <c r="AJ684" i="1" a="1"/>
  <c r="AJ640" i="1" a="1"/>
  <c r="AJ695" i="1" a="1"/>
  <c r="AJ697" i="1" a="1"/>
  <c r="AJ682" i="1" a="1"/>
  <c r="AJ663" i="1" a="1"/>
  <c r="AJ670" i="1" a="1"/>
  <c r="AJ647" i="1" a="1"/>
  <c r="AJ656" i="1" a="1"/>
  <c r="AJ667" i="1" a="1"/>
  <c r="AJ677" i="1" a="1"/>
  <c r="AJ645" i="1" a="1"/>
  <c r="AJ681" i="1" a="1"/>
  <c r="AJ614" i="1" a="1"/>
  <c r="AJ618" i="1" a="1"/>
  <c r="AJ661" i="1" a="1"/>
  <c r="AJ658" i="1" a="1"/>
  <c r="AJ652" i="1" a="1"/>
  <c r="AJ685" i="1" a="1"/>
  <c r="AJ674" i="1" a="1"/>
  <c r="AJ629" i="1" a="1"/>
  <c r="AJ686" i="1" a="1"/>
  <c r="AJ693" i="1" a="1"/>
  <c r="AJ664" i="1" a="1"/>
  <c r="AJ649" i="1" a="1"/>
  <c r="AJ648" i="1" a="1"/>
  <c r="AJ696" i="1" a="1"/>
  <c r="AJ616" i="1" a="1"/>
  <c r="AJ678" i="1" a="1"/>
  <c r="AJ672" i="1" a="1"/>
  <c r="AJ615" i="1" a="1"/>
  <c r="AJ689" i="1" a="1"/>
  <c r="AJ666" i="1" a="1"/>
  <c r="AJ611" i="1" a="1"/>
  <c r="AJ606" i="1" a="1"/>
  <c r="AJ607" i="1" a="1"/>
  <c r="AJ673" i="1" a="1"/>
  <c r="AJ605" i="1" a="1"/>
  <c r="AJ659" i="1" a="1"/>
  <c r="AJ627" i="1" a="1"/>
  <c r="AJ688" i="1" a="1"/>
  <c r="AJ660" i="1" a="1"/>
  <c r="AJ655" i="1" a="1"/>
  <c r="AJ604" i="1" a="1"/>
  <c r="AJ654" i="1" a="1"/>
  <c r="AJ610" i="1" a="1"/>
  <c r="AJ630" i="1" a="1"/>
  <c r="AJ641" i="1" a="1"/>
  <c r="AJ671" i="1" a="1"/>
  <c r="AJ644" i="1" a="1"/>
  <c r="AJ621" i="1" a="1"/>
  <c r="AJ624" i="1" a="1"/>
  <c r="AJ668" i="1" a="1"/>
  <c r="AJ639" i="1" a="1"/>
  <c r="AJ633" i="1" a="1"/>
  <c r="AJ626" i="1" a="1"/>
  <c r="AJ612" i="1" a="1"/>
  <c r="AJ622" i="1" a="1"/>
  <c r="AJ638" i="1" a="1"/>
  <c r="AJ699" i="1" a="1"/>
  <c r="AJ635" i="1" a="1"/>
  <c r="AJ653" i="1" a="1"/>
  <c r="AJ609" i="1" a="1"/>
  <c r="AJ665" i="1" a="1"/>
  <c r="AJ651" i="1" a="1"/>
  <c r="AJ601" i="1" a="1"/>
  <c r="AJ690" i="1" a="1"/>
  <c r="AJ650" i="1" a="1"/>
  <c r="AJ662" i="1" a="1"/>
  <c r="AJ631" i="1" a="1"/>
  <c r="AJ694" i="1" a="1"/>
  <c r="AJ657" i="1" a="1"/>
  <c r="AJ608" i="1" a="1"/>
  <c r="AJ636" i="1" a="1"/>
  <c r="AL17" i="1" l="1"/>
  <c r="AL18" i="1"/>
  <c r="AL16" i="1"/>
  <c r="AL14" i="1"/>
  <c r="AL15" i="1"/>
  <c r="AL13" i="1"/>
  <c r="AL12" i="1"/>
  <c r="AL11" i="1"/>
  <c r="AJ611" i="1"/>
  <c r="AJ688" i="1"/>
  <c r="AJ681" i="1"/>
  <c r="AJ648" i="1"/>
  <c r="AJ647" i="1"/>
  <c r="AJ664" i="1"/>
  <c r="AJ693" i="1"/>
  <c r="AJ646" i="1"/>
  <c r="AJ653" i="1"/>
  <c r="AJ601" i="1"/>
  <c r="AJ661" i="1"/>
  <c r="AJ614" i="1"/>
  <c r="AJ691" i="1"/>
  <c r="AJ630" i="1"/>
  <c r="AJ607" i="1"/>
  <c r="AJ666" i="1"/>
  <c r="AJ686" i="1"/>
  <c r="AJ649" i="1"/>
  <c r="AJ613" i="1"/>
  <c r="AJ670" i="1"/>
  <c r="AJ671" i="1"/>
  <c r="AJ606" i="1"/>
  <c r="AJ655" i="1"/>
  <c r="AJ635" i="1"/>
  <c r="AJ640" i="1"/>
  <c r="AJ689" i="1"/>
  <c r="AJ680" i="1"/>
  <c r="AJ692" i="1"/>
  <c r="AJ620" i="1"/>
  <c r="AJ628" i="1"/>
  <c r="AJ676" i="1"/>
  <c r="AJ673" i="1"/>
  <c r="AJ625" i="1"/>
  <c r="AJ662" i="1"/>
  <c r="AJ665" i="1"/>
  <c r="AJ644" i="1"/>
  <c r="AJ643" i="1"/>
  <c r="AJ660" i="1"/>
  <c r="AJ622" i="1"/>
  <c r="AJ690" i="1"/>
  <c r="AJ618" i="1"/>
  <c r="AJ667" i="1"/>
  <c r="AJ677" i="1"/>
  <c r="AJ610" i="1"/>
  <c r="AJ672" i="1"/>
  <c r="AJ602" i="1"/>
  <c r="AJ695" i="1"/>
  <c r="AJ632" i="1"/>
  <c r="AJ659" i="1"/>
  <c r="AJ699" i="1"/>
  <c r="AJ616" i="1"/>
  <c r="AJ638" i="1"/>
  <c r="AJ651" i="1"/>
  <c r="AJ679" i="1"/>
  <c r="AJ658" i="1"/>
  <c r="AJ608" i="1"/>
  <c r="AJ612" i="1"/>
  <c r="AJ669" i="1"/>
  <c r="AJ624" i="1"/>
  <c r="AJ619" i="1"/>
  <c r="AJ626" i="1"/>
  <c r="AJ645" i="1"/>
  <c r="AJ605" i="1"/>
  <c r="AJ634" i="1"/>
  <c r="AJ685" i="1"/>
  <c r="AJ617" i="1"/>
  <c r="AJ604" i="1"/>
  <c r="AJ654" i="1"/>
  <c r="AJ678" i="1"/>
  <c r="AJ656" i="1"/>
  <c r="AJ682" i="1"/>
  <c r="AJ603" i="1"/>
  <c r="AJ687" i="1"/>
  <c r="AJ698" i="1"/>
  <c r="AJ650" i="1"/>
  <c r="AJ637" i="1"/>
  <c r="AJ683" i="1"/>
  <c r="AJ623" i="1"/>
  <c r="AJ633" i="1"/>
  <c r="AJ639" i="1"/>
  <c r="AJ627" i="1"/>
  <c r="AJ674" i="1"/>
  <c r="AJ609" i="1"/>
  <c r="AJ663" i="1"/>
  <c r="AJ642" i="1"/>
  <c r="AJ657" i="1"/>
  <c r="AJ631" i="1"/>
  <c r="AJ694" i="1"/>
  <c r="AJ675" i="1"/>
  <c r="AJ629" i="1"/>
  <c r="AJ684" i="1"/>
  <c r="AJ697" i="1"/>
  <c r="AJ615" i="1"/>
  <c r="AJ621" i="1"/>
  <c r="AJ668" i="1"/>
  <c r="AJ641" i="1"/>
  <c r="AJ696" i="1"/>
  <c r="AJ652" i="1"/>
  <c r="AJ636" i="1"/>
  <c r="AK650" i="1" a="1"/>
  <c r="AK629" i="1" a="1"/>
  <c r="AK669" i="1" a="1"/>
  <c r="AK614" i="1" a="1"/>
  <c r="AK609" i="1" a="1"/>
  <c r="AK665" i="1" a="1"/>
  <c r="AK602" i="1" a="1"/>
  <c r="AK628" i="1" a="1"/>
  <c r="AK610" i="1" a="1"/>
  <c r="AK691" i="1" a="1"/>
  <c r="AK613" i="1" a="1"/>
  <c r="AK630" i="1" a="1"/>
  <c r="AK626" i="1" a="1"/>
  <c r="AK699" i="1" a="1"/>
  <c r="AK687" i="1" a="1"/>
  <c r="AK690" i="1" a="1"/>
  <c r="AK683" i="1" a="1"/>
  <c r="AK661" i="1" a="1"/>
  <c r="AK694" i="1" a="1"/>
  <c r="AK671" i="1" a="1"/>
  <c r="AK631" i="1" a="1"/>
  <c r="AK667" i="1" a="1"/>
  <c r="AK654" i="1" a="1"/>
  <c r="AK652" i="1" a="1"/>
  <c r="AK673" i="1" a="1"/>
  <c r="AK617" i="1" a="1"/>
  <c r="AK642" i="1" a="1"/>
  <c r="AK632" i="1" a="1"/>
  <c r="AK663" i="1" a="1"/>
  <c r="AK624" i="1" a="1"/>
  <c r="AK611" i="1" a="1"/>
  <c r="AK606" i="1" a="1"/>
  <c r="AK649" i="1" a="1"/>
  <c r="AK619" i="1" a="1"/>
  <c r="AK640" i="1" a="1"/>
  <c r="AK633" i="1" a="1"/>
  <c r="AK682" i="1" a="1"/>
  <c r="AK637" i="1" a="1"/>
  <c r="AK693" i="1" a="1"/>
  <c r="AK604" i="1" a="1"/>
  <c r="AK627" i="1" a="1"/>
  <c r="AK695" i="1" a="1"/>
  <c r="AK689" i="1" a="1"/>
  <c r="AK672" i="1" a="1"/>
  <c r="AK612" i="1" a="1"/>
  <c r="AK635" i="1" a="1"/>
  <c r="AK641" i="1" a="1"/>
  <c r="AK668" i="1" a="1"/>
  <c r="AK639" i="1" a="1"/>
  <c r="AK646" i="1" a="1"/>
  <c r="AK674" i="1" a="1"/>
  <c r="AK625" i="1" a="1"/>
  <c r="AK638" i="1" a="1"/>
  <c r="AK678" i="1" a="1"/>
  <c r="AK657" i="1" a="1"/>
  <c r="AK634" i="1" a="1"/>
  <c r="AK647" i="1" a="1"/>
  <c r="AK651" i="1" a="1"/>
  <c r="AK608" i="1" a="1"/>
  <c r="AK684" i="1" a="1"/>
  <c r="AK675" i="1" a="1"/>
  <c r="AK680" i="1" a="1"/>
  <c r="AK601" i="1" a="1"/>
  <c r="AK607" i="1" a="1"/>
  <c r="AK623" i="1" a="1"/>
  <c r="AK648" i="1" a="1"/>
  <c r="AK662" i="1" a="1"/>
  <c r="AK685" i="1" a="1"/>
  <c r="AK697" i="1" a="1"/>
  <c r="AK645" i="1" a="1"/>
  <c r="AK659" i="1" a="1"/>
  <c r="AK676" i="1" a="1"/>
  <c r="AK688" i="1" a="1"/>
  <c r="AK679" i="1" a="1"/>
  <c r="AK618" i="1" a="1"/>
  <c r="AK686" i="1" a="1"/>
  <c r="AK655" i="1" a="1"/>
  <c r="AK664" i="1" a="1"/>
  <c r="AK677" i="1" a="1"/>
  <c r="AK636" i="1" a="1"/>
  <c r="AK658" i="1" a="1"/>
  <c r="AK660" i="1" a="1"/>
  <c r="AK692" i="1" a="1"/>
  <c r="AK643" i="1" a="1"/>
  <c r="AK603" i="1" a="1"/>
  <c r="AK620" i="1" a="1"/>
  <c r="AK681" i="1" a="1"/>
  <c r="AK656" i="1" a="1"/>
  <c r="AK698" i="1" a="1"/>
  <c r="AK653" i="1" a="1"/>
  <c r="AK670" i="1" a="1"/>
  <c r="AK616" i="1" a="1"/>
  <c r="AK696" i="1" a="1"/>
  <c r="AK666" i="1" a="1"/>
  <c r="AK605" i="1" a="1"/>
  <c r="AK622" i="1" a="1"/>
  <c r="AK644" i="1" a="1"/>
  <c r="AK615" i="1" a="1"/>
  <c r="AK621" i="1" a="1"/>
  <c r="AK621" i="1" l="1"/>
  <c r="AK673" i="1"/>
  <c r="AK676" i="1"/>
  <c r="AK693" i="1"/>
  <c r="AK645" i="1"/>
  <c r="AK614" i="1"/>
  <c r="AK618" i="1"/>
  <c r="AK655" i="1"/>
  <c r="AK672" i="1"/>
  <c r="AK697" i="1"/>
  <c r="AK606" i="1"/>
  <c r="AK633" i="1"/>
  <c r="AK646" i="1"/>
  <c r="AK623" i="1"/>
  <c r="AK683" i="1"/>
  <c r="AK642" i="1"/>
  <c r="AK699" i="1"/>
  <c r="AK605" i="1"/>
  <c r="AK644" i="1"/>
  <c r="AK664" i="1"/>
  <c r="AK649" i="1"/>
  <c r="AK691" i="1"/>
  <c r="AK608" i="1"/>
  <c r="AK615" i="1"/>
  <c r="AK660" i="1"/>
  <c r="AK603" i="1"/>
  <c r="AK616" i="1"/>
  <c r="AK643" i="1"/>
  <c r="AK670" i="1"/>
  <c r="AK617" i="1"/>
  <c r="AK628" i="1"/>
  <c r="AK613" i="1"/>
  <c r="AK647" i="1"/>
  <c r="AK656" i="1"/>
  <c r="AK685" i="1"/>
  <c r="AK665" i="1"/>
  <c r="AK661" i="1"/>
  <c r="AK648" i="1"/>
  <c r="AK678" i="1"/>
  <c r="AK679" i="1"/>
  <c r="AK692" i="1"/>
  <c r="AK640" i="1"/>
  <c r="AK681" i="1"/>
  <c r="AK675" i="1"/>
  <c r="AK651" i="1"/>
  <c r="AK632" i="1"/>
  <c r="AK677" i="1"/>
  <c r="AK680" i="1"/>
  <c r="AK688" i="1"/>
  <c r="AK619" i="1"/>
  <c r="AK622" i="1"/>
  <c r="AK662" i="1"/>
  <c r="AK635" i="1"/>
  <c r="AK630" i="1"/>
  <c r="AK601" i="1"/>
  <c r="AK611" i="1"/>
  <c r="AK684" i="1"/>
  <c r="AK663" i="1"/>
  <c r="AK682" i="1"/>
  <c r="AK658" i="1"/>
  <c r="AK610" i="1"/>
  <c r="AK629" i="1"/>
  <c r="AK654" i="1"/>
  <c r="AK694" i="1"/>
  <c r="AK650" i="1"/>
  <c r="AK695" i="1"/>
  <c r="AK641" i="1"/>
  <c r="AK631" i="1"/>
  <c r="AK674" i="1"/>
  <c r="AK698" i="1"/>
  <c r="AK624" i="1"/>
  <c r="AK625" i="1"/>
  <c r="AK686" i="1"/>
  <c r="AK637" i="1"/>
  <c r="AK626" i="1"/>
  <c r="AK659" i="1"/>
  <c r="AK690" i="1"/>
  <c r="AK620" i="1"/>
  <c r="AK607" i="1"/>
  <c r="AK636" i="1"/>
  <c r="AK652" i="1"/>
  <c r="AK634" i="1"/>
  <c r="AK696" i="1"/>
  <c r="AK609" i="1"/>
  <c r="AK668" i="1"/>
  <c r="AK627" i="1"/>
  <c r="AK687" i="1"/>
  <c r="AK604" i="1"/>
  <c r="AK669" i="1"/>
  <c r="AK638" i="1"/>
  <c r="AK667" i="1"/>
  <c r="AK671" i="1"/>
  <c r="AK657" i="1"/>
  <c r="AK639" i="1"/>
  <c r="AK612" i="1"/>
  <c r="AK602" i="1"/>
  <c r="AK689" i="1"/>
  <c r="AK666" i="1"/>
  <c r="AK653" i="1"/>
  <c r="AL674" i="1" a="1"/>
  <c r="AL611" i="1" a="1"/>
  <c r="AL648" i="1" a="1"/>
  <c r="AL613" i="1" a="1"/>
  <c r="AL651" i="1" a="1"/>
  <c r="AL685" i="1" a="1"/>
  <c r="AL663" i="1" a="1"/>
  <c r="AL629" i="1" a="1"/>
  <c r="AL612" i="1" a="1"/>
  <c r="AL630" i="1" a="1"/>
  <c r="AL675" i="1" a="1"/>
  <c r="AL666" i="1" a="1"/>
  <c r="AL665" i="1" a="1"/>
  <c r="AL642" i="1" a="1"/>
  <c r="AL604" i="1" a="1"/>
  <c r="AL692" i="1" a="1"/>
  <c r="AL671" i="1" a="1"/>
  <c r="AL657" i="1" a="1"/>
  <c r="AL673" i="1" a="1"/>
  <c r="AL617" i="1" a="1"/>
  <c r="AL672" i="1" a="1"/>
  <c r="AL687" i="1" a="1"/>
  <c r="AL664" i="1" a="1"/>
  <c r="AL693" i="1" a="1"/>
  <c r="AL614" i="1" a="1"/>
  <c r="AL658" i="1" a="1"/>
  <c r="AL679" i="1" a="1"/>
  <c r="AL623" i="1" a="1"/>
  <c r="AL652" i="1" a="1"/>
  <c r="AL654" i="1" a="1"/>
  <c r="AL621" i="1" a="1"/>
  <c r="AL625" i="1" a="1"/>
  <c r="AL677" i="1" a="1"/>
  <c r="AL638" i="1" a="1"/>
  <c r="AL606" i="1" a="1"/>
  <c r="AL661" i="1" a="1"/>
  <c r="AL690" i="1" a="1"/>
  <c r="AL615" i="1" a="1"/>
  <c r="AL610" i="1" a="1"/>
  <c r="AL609" i="1" a="1"/>
  <c r="AL601" i="1" a="1"/>
  <c r="AL646" i="1" a="1"/>
  <c r="AL616" i="1" a="1"/>
  <c r="AL689" i="1" a="1"/>
  <c r="AL637" i="1" a="1"/>
  <c r="AL626" i="1" a="1"/>
  <c r="AL640" i="1" a="1"/>
  <c r="AL669" i="1" a="1"/>
  <c r="AL676" i="1" a="1"/>
  <c r="AL686" i="1" a="1"/>
  <c r="AL662" i="1" a="1"/>
  <c r="AL655" i="1" a="1"/>
  <c r="AL653" i="1" a="1"/>
  <c r="AL660" i="1" a="1"/>
  <c r="AL636" i="1" a="1"/>
  <c r="AL694" i="1" a="1"/>
  <c r="AL645" i="1" a="1"/>
  <c r="AL624" i="1" a="1"/>
  <c r="AL682" i="1" a="1"/>
  <c r="AL608" i="1" a="1"/>
  <c r="AL670" i="1" a="1"/>
  <c r="AL681" i="1" a="1"/>
  <c r="AL603" i="1" a="1"/>
  <c r="AL628" i="1" a="1"/>
  <c r="AL607" i="1" a="1"/>
  <c r="AL688" i="1" a="1"/>
  <c r="AL618" i="1" a="1"/>
  <c r="AL649" i="1" a="1"/>
  <c r="AL644" i="1" a="1"/>
  <c r="AL634" i="1" a="1"/>
  <c r="AL627" i="1" a="1"/>
  <c r="AL667" i="1" a="1"/>
  <c r="AL620" i="1" a="1"/>
  <c r="AL696" i="1" a="1"/>
  <c r="AL699" i="1" a="1"/>
  <c r="AL695" i="1" a="1"/>
  <c r="AL639" i="1" a="1"/>
  <c r="AL684" i="1" a="1"/>
  <c r="AL697" i="1" a="1"/>
  <c r="AL641" i="1" a="1"/>
  <c r="AL698" i="1" a="1"/>
  <c r="AL650" i="1" a="1"/>
  <c r="AL605" i="1" a="1"/>
  <c r="AL668" i="1" a="1"/>
  <c r="AL683" i="1" a="1"/>
  <c r="AL632" i="1" a="1"/>
  <c r="AL619" i="1" a="1"/>
  <c r="AL647" i="1" a="1"/>
  <c r="AL691" i="1" a="1"/>
  <c r="AL602" i="1" a="1"/>
  <c r="AL635" i="1" a="1"/>
  <c r="AL633" i="1" a="1"/>
  <c r="AL631" i="1" a="1"/>
  <c r="AL678" i="1" a="1"/>
  <c r="AL659" i="1" a="1"/>
  <c r="AL622" i="1" a="1"/>
  <c r="AL643" i="1" a="1"/>
  <c r="AL656" i="1" a="1"/>
  <c r="AL680" i="1" a="1"/>
  <c r="AL614" i="1" l="1"/>
  <c r="AL604" i="1"/>
  <c r="AL652" i="1"/>
  <c r="AL624" i="1"/>
  <c r="AL684" i="1"/>
  <c r="AL688" i="1"/>
  <c r="AL665" i="1"/>
  <c r="AL660" i="1"/>
  <c r="AL642" i="1"/>
  <c r="AL606" i="1"/>
  <c r="AL602" i="1"/>
  <c r="AL687" i="1"/>
  <c r="AL636" i="1"/>
  <c r="AL611" i="1"/>
  <c r="AL675" i="1"/>
  <c r="AL679" i="1"/>
  <c r="AL664" i="1"/>
  <c r="AL697" i="1"/>
  <c r="AL645" i="1"/>
  <c r="AL671" i="1"/>
  <c r="AL627" i="1"/>
  <c r="AL601" i="1"/>
  <c r="AL681" i="1"/>
  <c r="AL613" i="1"/>
  <c r="AL644" i="1"/>
  <c r="AL693" i="1"/>
  <c r="AL626" i="1"/>
  <c r="AL654" i="1"/>
  <c r="AL663" i="1"/>
  <c r="AL607" i="1"/>
  <c r="AL698" i="1"/>
  <c r="AL630" i="1"/>
  <c r="AL628" i="1"/>
  <c r="AL683" i="1"/>
  <c r="AL672" i="1"/>
  <c r="AL676" i="1"/>
  <c r="AL682" i="1"/>
  <c r="AL603" i="1"/>
  <c r="AL651" i="1"/>
  <c r="AL668" i="1"/>
  <c r="AL647" i="1"/>
  <c r="AL648" i="1"/>
  <c r="AL617" i="1"/>
  <c r="AL673" i="1"/>
  <c r="AL694" i="1"/>
  <c r="AL686" i="1"/>
  <c r="AL653" i="1"/>
  <c r="AL674" i="1"/>
  <c r="AL629" i="1"/>
  <c r="AL678" i="1"/>
  <c r="AL615" i="1"/>
  <c r="AL631" i="1"/>
  <c r="AL666" i="1"/>
  <c r="AL641" i="1"/>
  <c r="AL635" i="1"/>
  <c r="AL680" i="1"/>
  <c r="AL661" i="1"/>
  <c r="AL685" i="1"/>
  <c r="AL608" i="1"/>
  <c r="AL623" i="1"/>
  <c r="AL655" i="1"/>
  <c r="AL639" i="1"/>
  <c r="AL667" i="1"/>
  <c r="AL609" i="1"/>
  <c r="AL620" i="1"/>
  <c r="AL625" i="1"/>
  <c r="AL695" i="1"/>
  <c r="AL610" i="1"/>
  <c r="AL640" i="1"/>
  <c r="AL656" i="1"/>
  <c r="AL670" i="1"/>
  <c r="AL691" i="1"/>
  <c r="AL646" i="1"/>
  <c r="AL669" i="1"/>
  <c r="AL632" i="1"/>
  <c r="AL619" i="1"/>
  <c r="AL699" i="1"/>
  <c r="AL612" i="1"/>
  <c r="AL657" i="1"/>
  <c r="AL696" i="1"/>
  <c r="AL690" i="1"/>
  <c r="AL658" i="1"/>
  <c r="AL662" i="1"/>
  <c r="AL692" i="1"/>
  <c r="AL643" i="1"/>
  <c r="AL649" i="1"/>
  <c r="AL605" i="1"/>
  <c r="AL637" i="1"/>
  <c r="AL689" i="1"/>
  <c r="AL638" i="1"/>
  <c r="AL634" i="1"/>
  <c r="AL659" i="1"/>
  <c r="AL650" i="1"/>
  <c r="AL622" i="1"/>
  <c r="AL677" i="1"/>
  <c r="AL616" i="1"/>
  <c r="AL633" i="1"/>
  <c r="AL618" i="1"/>
  <c r="AL621" i="1"/>
  <c r="AM7" i="1" a="1"/>
  <c r="AM7"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<sst xmlns="http://schemas.openxmlformats.org/spreadsheetml/2006/main" count="1369" uniqueCount="836">
  <si>
    <t>Date du jour</t>
  </si>
  <si>
    <t>Date Examen</t>
  </si>
  <si>
    <t>Jours avant Exam</t>
  </si>
  <si>
    <t>Compléter #</t>
  </si>
  <si>
    <t>Compléter %</t>
  </si>
  <si>
    <t># Restants</t>
  </si>
  <si>
    <t>Cours</t>
  </si>
  <si>
    <t>Cours par jour</t>
  </si>
  <si>
    <t>Jours restants</t>
  </si>
  <si>
    <t>Fin d'étude anticipée</t>
  </si>
  <si>
    <t>Leçons Total</t>
  </si>
  <si>
    <t>Rates and Returns</t>
  </si>
  <si>
    <t>The Time Value of Money in Finance</t>
  </si>
  <si>
    <t>Statistical Measures of Asset Returns</t>
  </si>
  <si>
    <t>Probability Trees and Conditional Expectations</t>
  </si>
  <si>
    <t>Portfolio Mathematics</t>
  </si>
  <si>
    <t>Simulation Methods</t>
  </si>
  <si>
    <t>Estimation and Inference</t>
  </si>
  <si>
    <t>Hypothesis Testing</t>
  </si>
  <si>
    <t>Parametric and Non-Parametric Tests of Independence</t>
  </si>
  <si>
    <t>Simple Linear Regression</t>
  </si>
  <si>
    <t>Introduction to Big Data Techniques</t>
  </si>
  <si>
    <t>ECONOMICS</t>
  </si>
  <si>
    <t>Exchange Rate Calculations</t>
  </si>
  <si>
    <t>Firms and Market Structures</t>
  </si>
  <si>
    <t>Understanding Business Cycles</t>
  </si>
  <si>
    <t>Fiscal Policy</t>
  </si>
  <si>
    <t>Monetary Policy</t>
  </si>
  <si>
    <t>Introduction to Geopolitics</t>
  </si>
  <si>
    <t>International Trade</t>
  </si>
  <si>
    <t>Capital Flows and the FX Market</t>
  </si>
  <si>
    <t>Révision Session #</t>
  </si>
  <si>
    <t>Jours pour l'apprentissage avec répétition</t>
  </si>
  <si>
    <t>input</t>
  </si>
  <si>
    <t>COURS A VOIR AUJOURD'HUI</t>
  </si>
  <si>
    <t>Portfolio Risk and Return: Part I</t>
  </si>
  <si>
    <t>Portfolio Risk and Return: Part II</t>
  </si>
  <si>
    <t>CORPORATE ISSUERS
MANAGEMENT</t>
  </si>
  <si>
    <t>Organizational Forms, Corporate Issuer Features, and Ownership</t>
  </si>
  <si>
    <t>Investors and Other Stakeholders</t>
  </si>
  <si>
    <t>Corporate Governance: Conflicts, Mechanisms, Risks, and Benefits</t>
  </si>
  <si>
    <t>Working Capital and Liquidity</t>
  </si>
  <si>
    <t>Capital Investments and Capital Allocation</t>
  </si>
  <si>
    <t>Capital Structure</t>
  </si>
  <si>
    <t>Business Models</t>
  </si>
  <si>
    <t>Introduction to Financial Statement Analysis</t>
  </si>
  <si>
    <t>Analyzing Income Statements</t>
  </si>
  <si>
    <t>Analyzing Balance Sheets</t>
  </si>
  <si>
    <t>Analyzing Statements of Cash Flows I</t>
  </si>
  <si>
    <t>Analyzing Statements of Cash Flows II</t>
  </si>
  <si>
    <t>Analysis of Inventories</t>
  </si>
  <si>
    <t>Analysis of Long-Term Assets</t>
  </si>
  <si>
    <t>Topics in Long-Term Liabilities and Equity</t>
  </si>
  <si>
    <t>FINANCIAL STATEMENT
 ANALYSIS 1</t>
  </si>
  <si>
    <t>FINANCIAL STATEMENT
 ANALYSIS 2</t>
  </si>
  <si>
    <t>Analysis of Income Taxes</t>
  </si>
  <si>
    <t>Financial Reporting Quality</t>
  </si>
  <si>
    <t>Financial Analysis Techniques</t>
  </si>
  <si>
    <t>Introduction to Financial Statement Modeling</t>
  </si>
  <si>
    <t>Market Organization and Structure</t>
  </si>
  <si>
    <t>EQUITY 
INVESTMENTS</t>
  </si>
  <si>
    <t>Security Market Indexes</t>
  </si>
  <si>
    <t>Market Efficiency</t>
  </si>
  <si>
    <t>Overview of Equity Securities</t>
  </si>
  <si>
    <t>Company Analysis: Past and Present</t>
  </si>
  <si>
    <t>Industry and Competitive Analysis</t>
  </si>
  <si>
    <t>Company Analysis: Forecasting</t>
  </si>
  <si>
    <t>Equity Valuation: Concepts and Basic Tools</t>
  </si>
  <si>
    <t>FIXED INCOME</t>
  </si>
  <si>
    <t>Mortgage-Backed Security (MBS) Instrument and Market Features</t>
  </si>
  <si>
    <t>Fixed-Income Instrument Features</t>
  </si>
  <si>
    <t>Fixed-Income Cash Flows and Types</t>
  </si>
  <si>
    <t>Fixed-Income Issuance and Trading</t>
  </si>
  <si>
    <t>Fixed-Income Markets for Corporate Issuers</t>
  </si>
  <si>
    <t>Fixed-Income Markets for Government Issuers</t>
  </si>
  <si>
    <t>Fixed-Income Bond Valuation: Prices and Yields</t>
  </si>
  <si>
    <t>Yield and Yield Spread Measures for Fixed-Rate Bonds</t>
  </si>
  <si>
    <t>Yield and Yield Spread Measures for Floating-Rate Instruments</t>
  </si>
  <si>
    <t>The Term Structure of Interest Rates: Spot, Par, and Forward Curves</t>
  </si>
  <si>
    <t>Interest Rate Risk and Return</t>
  </si>
  <si>
    <t>Yield-Based Bond Duration Measures and Properties</t>
  </si>
  <si>
    <t>Yield-Based Bond Convexity and Portfolio Properties</t>
  </si>
  <si>
    <t>Curve-Based and Empirical Fixed-Income Risk Measures</t>
  </si>
  <si>
    <t>Credit Risk</t>
  </si>
  <si>
    <t>Credit Analysis for Government Issuers</t>
  </si>
  <si>
    <t>Credit Analysis for Corporate Issuers</t>
  </si>
  <si>
    <t>Fixed-Income Securitization</t>
  </si>
  <si>
    <t>Asset-Backed Security (ABS) Instrument and Market Features</t>
  </si>
  <si>
    <t>DERIVATIVES</t>
  </si>
  <si>
    <t>Valuing a Derivative Using a One-Period Binomial Model</t>
  </si>
  <si>
    <t>Option Replication Using Put–Call Parity</t>
  </si>
  <si>
    <t>Pricing and Valuation of Options</t>
  </si>
  <si>
    <t>Pricing and Valuation of Interest Rates and Other Swaps</t>
  </si>
  <si>
    <t>Pricing and Valuation of Futures Contracts</t>
  </si>
  <si>
    <t>Pricing and Valuation of Forward Contracts and for an Underlying with Varying Maturities</t>
  </si>
  <si>
    <t>Arbitrage, Replication, and the Cost of Carry in Pricing Derivatives</t>
  </si>
  <si>
    <t>Derivative Benefits, Risks, and Issuer and Investor Uses</t>
  </si>
  <si>
    <t>Forward Commitment and Contingent Claim Features and Instruments</t>
  </si>
  <si>
    <t>Derivative Instrument and Derivative Market Features</t>
  </si>
  <si>
    <t>ALTERNATIVE
 INVESTMENTS</t>
  </si>
  <si>
    <t>Introduction to Digital Assets</t>
  </si>
  <si>
    <t>Hedge Funds</t>
  </si>
  <si>
    <t>Natural Resources</t>
  </si>
  <si>
    <t>Real Estate and Infrastructure</t>
  </si>
  <si>
    <t>Investments in Private Capital: Equity and Debt</t>
  </si>
  <si>
    <t>Alternative Investment Performance and Returns</t>
  </si>
  <si>
    <t>Alternative Investment Features, Methods, and Structures</t>
  </si>
  <si>
    <t>PORTFOLIO 
MANAGEMENT 2</t>
  </si>
  <si>
    <t>PORTFOLIO 
MANAGEMENT 1</t>
  </si>
  <si>
    <t>Introduction to Risk Management</t>
  </si>
  <si>
    <t>Portfolio Management: An Overview</t>
  </si>
  <si>
    <t>Basics of Portfolio Planning and Construction</t>
  </si>
  <si>
    <t>The Behavioral Biases of Individuals</t>
  </si>
  <si>
    <t>ETHICAL AND
 PROFESSIONAL
 STANDARDS</t>
  </si>
  <si>
    <t>Ethics Application</t>
  </si>
  <si>
    <t>Introduction to the Global Investment Performance Standards (GIPS)</t>
  </si>
  <si>
    <t>Guidance for Standards I–VII</t>
  </si>
  <si>
    <t>Ethics and Trust in the Investment Profession</t>
  </si>
  <si>
    <t>Code of Ethics and Standards of Professional Conduct</t>
  </si>
  <si>
    <t>Mastery</t>
  </si>
  <si>
    <t>Interpret interest rates as required rates of return, discount rates, or opportunity costs and explain an interest rate as the sum of a real risk-free rate and premiums that compensate investors for bearing distinct types of risk</t>
  </si>
  <si>
    <t>Calculate and interpret different approaches to return measurement over time and describe their appropriate uses</t>
  </si>
  <si>
    <t>F2'!B5</t>
  </si>
  <si>
    <t>Compare the money-weighted and time-weighted rates of return and evaluate the performance of portfolios based on these measures</t>
  </si>
  <si>
    <t>Calculate and interpret annualized return measures and continuously compounded returns, and describe their appropriate uses</t>
  </si>
  <si>
    <t>Calculate and interpret major return measures and describe their appropriate uses</t>
  </si>
  <si>
    <t>F1'!C11</t>
  </si>
  <si>
    <t xml:space="preserve">Equity instruments based on expected future cash flows </t>
  </si>
  <si>
    <t>Calculate and interpret the implied return of fixed-income
instruments and required return and implied growth of equity
instruments given the present value (PV) and cash flows</t>
  </si>
  <si>
    <t>Explain the cash flow additivity principle, its importance for the no-arbitrage condition, and its use in calculating implied forward interest rates, forward exchange rates, and option values</t>
  </si>
  <si>
    <t>Calculate, interpret, and evaluate measures of central tendency and location to address an investment problem</t>
  </si>
  <si>
    <t>Calculate, interpret, and evaluate measures of dispersion to address an investment problem</t>
  </si>
  <si>
    <t>Interpret and evaluate measures of skewness and kurtosis to address an investment problem</t>
  </si>
  <si>
    <t>Interpret correlation between two variables to address an investment problem</t>
  </si>
  <si>
    <t>Calculate expected values, variances, and standard deviations and demonstrate their application to investment problems</t>
  </si>
  <si>
    <t>Formulate an investment problem as a probability tree and explain the use of conditional expectations in investment application</t>
  </si>
  <si>
    <t>Calculate and interpret an updated probability in an investment setting using Bayes’ formula</t>
  </si>
  <si>
    <t>Define shortfall risk, calculate the safety-first ratio, and identify an optimal portfolio using Roy’s safety-first criterion</t>
  </si>
  <si>
    <t>Calculate and interpret the covariance and correlation of portfolio returns using a joint probability function for returns</t>
  </si>
  <si>
    <t>Calculate and interpret the expected value, variance, standard deviation, covariances, and correlations of portfolio returns</t>
  </si>
  <si>
    <t>Explain the relationship between normal and lognormal distributions and why the lognormal distribution is used to model asset prices when using continuously compounded asset returns</t>
  </si>
  <si>
    <t>Describe Monte Carlo simulation and explain how it can be used in investment applications</t>
  </si>
  <si>
    <t>Describe the use of bootstrap resampling in conducting a simulation based on observed data in investment applications</t>
  </si>
  <si>
    <t>Compare and contrast simple random, stratified random, cluster, convenience, and judgmental sampling and their implications for sampling error in an investment problem</t>
  </si>
  <si>
    <t>Explain the central limit theorem and its importance for the distribution and standard error of the sample mean</t>
  </si>
  <si>
    <t>Describe the use of resampling (bootstrap, jackknife) to estimate the sampling distribution of a statistic</t>
  </si>
  <si>
    <t>Explain hypothesis testing and its components, including statistical significance, Type I and Type II errors, and the power of a test.</t>
  </si>
  <si>
    <t>Construct hypothesis tests and determine their statistical significance, the associated Type I and Type II errors, and power of the test given a significance level</t>
  </si>
  <si>
    <t>Compare and contrast parametric and nonparametric tests, and describe situations where each is the more appropriate type of test</t>
  </si>
  <si>
    <t xml:space="preserve">Explain parametric and nonparametric tests of the hypothesis that the population correlation coefficient equals zero, and determine whether the hypothesis is rejected at a given level of significance </t>
  </si>
  <si>
    <t>Explain tests of independence based on contingency table data</t>
  </si>
  <si>
    <t>Describe a simple linear regression model, how the least squares criterion is used to estimate regression coefficients, and the interpretation of these coefficients</t>
  </si>
  <si>
    <t>Explain the assumptions underlying the simple linear regression model, and describe how residuals and residual plots indicate if these assumptions may have been violated</t>
  </si>
  <si>
    <t>Calculate and interpret measures of fit and formulate and evaluate tests of fit and of regression coefficients in a simple linear regression</t>
  </si>
  <si>
    <t>Describe the use of analysis of variance (ANOVA) in regression analysis, interpret ANOVA results, and calculate and interpret the standard error of estimate in a simple linear regression</t>
  </si>
  <si>
    <t>Calculate and interpret the predicted value for the dependent variable, and a prediction interval for it, given an estimated linear regression model and a value for the independent variable</t>
  </si>
  <si>
    <t>Describe different functional forms of simple linear regressions</t>
  </si>
  <si>
    <t>Describe aspects of “fintech” that are directly relevant for the gathering and analyzing of financial data</t>
  </si>
  <si>
    <t>Describe Big Data, artificial intelligence, and machine learning</t>
  </si>
  <si>
    <t>Describe applications of Big Data and Data Science to investment management</t>
  </si>
  <si>
    <t>QUANTITATIVE METHODS</t>
  </si>
  <si>
    <t>QUANTITATIVE METHODS, ECONOMICS</t>
  </si>
  <si>
    <t xml:space="preserve"> ECONOMICS</t>
  </si>
  <si>
    <t>Determine and interpret breakeven and shutdown points of production, as well as how economies and diseconomies of scale affect costs under perfect and imperfect competition</t>
  </si>
  <si>
    <t>Describe characteristics of perfect competition, monopolistic competition, oligopoly, and pure monopoly</t>
  </si>
  <si>
    <t>Explain supply and demand relationships under monopolistic competition, including the optimal price and output for firms as well as pricing strategy</t>
  </si>
  <si>
    <t>Explain supply and demand relationships under oligopoly, including the optimal price and output for firms as well as pricing strategy</t>
  </si>
  <si>
    <t>Identify the type of market structure within which a firm operates and describe the use and limitations of concentration measures</t>
  </si>
  <si>
    <t>Describe the business cycle and its phases</t>
  </si>
  <si>
    <t>Describe credit cycles</t>
  </si>
  <si>
    <t>Describe how resource use, consumer and business activity, housing sector activity, and external trade sector activity vary over the business cycle and describe their measurement using economic indicators</t>
  </si>
  <si>
    <t>Compare monetary and fiscal policy</t>
  </si>
  <si>
    <t>Describe roles and objectives of fiscal policy as well as arguments as to whether the size of a national debt relative to GDP matters</t>
  </si>
  <si>
    <t>Describe tools of fiscal policy, including their advantages and disadvantages</t>
  </si>
  <si>
    <t>Explain the implementation of fiscal policy and difficulties of implementation as well as whether a fiscal policy is expansionary or contractionary</t>
  </si>
  <si>
    <t>Describe the roles and objectives of central banks</t>
  </si>
  <si>
    <t>Describe tools used to implement monetary policy tools and the monetary transmission mechanism, and explain the relationships between monetary policy and economic growth, inflation, interest, and exchange rates</t>
  </si>
  <si>
    <t>Describe qualities of effective central banks; contrast their use of inflation, interest rate, and exchange rate targeting in expansionary or contractionary monetary policy; and describe the limitations of monetary policy</t>
  </si>
  <si>
    <t>Explain the interaction of monetary and fiscal policy</t>
  </si>
  <si>
    <t>Describe geopolitics from a cooperation versus competition perspective</t>
  </si>
  <si>
    <t>Describe geopolitics and its relationship with globalization</t>
  </si>
  <si>
    <t>Describe functions and objectives of the international organizations that facilitate trade, including the World Bank, the International Monetary Fund, and the World Trade Organization</t>
  </si>
  <si>
    <t>Describe geopolitical risk</t>
  </si>
  <si>
    <t>Describe tools of geopolitics and their impact on regions and economies</t>
  </si>
  <si>
    <t>Describe the impact of geopolitical risk on investments</t>
  </si>
  <si>
    <t>Describe the benefits and costs of international trade</t>
  </si>
  <si>
    <t>Compare types of trade restrictions, such as tariffs, quotas, and export subsidies, and their economic implications</t>
  </si>
  <si>
    <t>Explain motivations for and advantages of trading blocs, common markets, and economic unions</t>
  </si>
  <si>
    <t>Describe the foreign exchange market, including its functions and participants, distinguish between nominal and real exchange rates, and calculate and interpret the percentage change in a currency relative to another currency</t>
  </si>
  <si>
    <t>Describe exchange rate regimes and explain the effects of exchange rates on countries’ international trade and capital flows</t>
  </si>
  <si>
    <t>Describe common objectives of capital restrictions imposed by governments</t>
  </si>
  <si>
    <t>Calculate and interpret currency cross-rates</t>
  </si>
  <si>
    <t>Explain the arbitrage relationship between spot and forward exchange rates and interest rates, calculate a forward rate using points or in percentage terms, and interpret a forward discount or premium</t>
  </si>
  <si>
    <t>PORTFOLIO MANAGEMENT, CORPORATE ISSUERS, FINANCIAL STATEMENT ANALYSIS</t>
  </si>
  <si>
    <t>PORTFOLIO MANAGEMENT</t>
  </si>
  <si>
    <t>Describe characteristics of the major asset classes that investors consider in forming portfolios</t>
  </si>
  <si>
    <t>Explain risk aversion and its implications for portfolio selection</t>
  </si>
  <si>
    <t>Explain the selection of an optimal portfolio, given an investor’s utility (or risk aversion) and the capital allocation line</t>
  </si>
  <si>
    <t>Calculate and interpret the mean, variance, and covariance (or correlation) of asset returns based on historical data</t>
  </si>
  <si>
    <t>Calculate and interpret portfolio standard deviation</t>
  </si>
  <si>
    <t>Describe the effect on a portfolio’s risk of investing in assets that are less than perfectly correlated</t>
  </si>
  <si>
    <t>Describe and interpret the minimum-variance and efficient frontiers of risky assets and the global minimum-variance portfolio</t>
  </si>
  <si>
    <t>Describe the implications of combining a risk-free asset with a portfolio of risky assets</t>
  </si>
  <si>
    <t>Explain the capital allocation line (CAL) and the capital market line (CML)</t>
  </si>
  <si>
    <t>Explain systematic and nonsystematic risk, including why an investor should not expect to receive additional return for bearing nonsystematic risk</t>
  </si>
  <si>
    <t>Explain return generating models (including the market model) and their uses</t>
  </si>
  <si>
    <t>Calculate and interpret beta</t>
  </si>
  <si>
    <t>Explain the capital asset pricing model (CAPM), including its assumptions, and the security market line (SML)</t>
  </si>
  <si>
    <t>Calculate and interpret the expected return of an asset using the CAPM</t>
  </si>
  <si>
    <t>Describe and demonstrate applications of the CAPM and the SML</t>
  </si>
  <si>
    <t>Calculate and interpret the Sharpe ratio, Treynor ratio, M2, and Jensen’s alpha</t>
  </si>
  <si>
    <t>CORPORATE ISSUERS</t>
  </si>
  <si>
    <t>Compare the organizational forms of businesses</t>
  </si>
  <si>
    <t>Describe key features of corporate issuers</t>
  </si>
  <si>
    <t>Compare publicly and privately owned corporate issuers</t>
  </si>
  <si>
    <t>Compare the financial claims and motivations of lenders and shareholders</t>
  </si>
  <si>
    <t>Describe a company’s stakeholder groups and compare their interests</t>
  </si>
  <si>
    <t>Describe environmental, social, and governance factors of corporate issuers considered by investors</t>
  </si>
  <si>
    <t>Describe the principal-agent relationship and conflicts that may arise between stakeholder groups</t>
  </si>
  <si>
    <t>Describe corporate governance and mechanisms to manage stakeholder relationships and mitigate associated risks</t>
  </si>
  <si>
    <t>Describe potential risks of poor corporate governance and stakeholder management and benefits of effective corporate governance and stakeholder management</t>
  </si>
  <si>
    <t>Explain the cash conversion cycle and compare issuers’ cash conversion cycles</t>
  </si>
  <si>
    <t>Explain liquidity and compare issuers’ liquidity levels</t>
  </si>
  <si>
    <t>Describe issuers’ objectives and compare methods for managing working capital and liquidity</t>
  </si>
  <si>
    <t>Describe types of capital investments</t>
  </si>
  <si>
    <t>Describe the capital allocation process, calculate net present value (NPV), internal rate of return (IRR), and return on invested capital (ROIC), and contrast their use in capital allocation</t>
  </si>
  <si>
    <t>Describe principles of capital allocation and common capital allocation pitfalls</t>
  </si>
  <si>
    <t>Describe types of real options relevant to capital investments</t>
  </si>
  <si>
    <t>Calculate and interpret the weighted-average cost of capital for a company</t>
  </si>
  <si>
    <t>Explain factors affecting capital structure and the weighted-average cost of capital</t>
  </si>
  <si>
    <t>Explain the Modigliani–Miller propositions regarding capital structure</t>
  </si>
  <si>
    <t>Describe optimal and target capital structures</t>
  </si>
  <si>
    <t>Describe key features of business models</t>
  </si>
  <si>
    <t>Describe various types of business models</t>
  </si>
  <si>
    <t>FINANCIAL STATEMENT ANALYSIS</t>
  </si>
  <si>
    <t>Describe the steps in the financial statement analysis framework</t>
  </si>
  <si>
    <t>Describe the roles of financial statement analysis</t>
  </si>
  <si>
    <t>Describe the importance of regulatory filings, financial statement notes and supplementary information, management’s commentary, and audit reports</t>
  </si>
  <si>
    <t>Describe implications for financial analysis of alternative financial reporting systems and the importance of monitoring developments in financial reporting standards</t>
  </si>
  <si>
    <t>Describe information sources that analysts use in financial statement analysis besides annual and interim financial reports</t>
  </si>
  <si>
    <t>Describe general principles of revenue recognition, specific revenue recognition applications, and implications of revenue recognition choices for financial analysis</t>
  </si>
  <si>
    <t>Describe general principles of expense recognition, specific expense recognition applications, implications of expense recognition choices for financial analysis and contrast costs that are capitalized versus those that are expensed in the period in which they are incurred</t>
  </si>
  <si>
    <t>Describe the financial reporting treatment and analysis of non-recurring items (including discontinued operations, unusual or infrequent items) and changes in accounting policies</t>
  </si>
  <si>
    <t>Describe how earnings per share is calculated and calculate and interpret a company’s basic and diluted earnings per share for companies with simple and complex capital structures including those with antidilutive securities</t>
  </si>
  <si>
    <t>Evaluate a company’s financial performance using common-size income statements and financial ratios based on the income statement</t>
  </si>
  <si>
    <t>Explain the financial reporting and disclosures related to intangible assets</t>
  </si>
  <si>
    <t>Explain the financial reporting and disclosures related to goodwill</t>
  </si>
  <si>
    <t>Explain the financial reporting and disclosures related to financial instruments</t>
  </si>
  <si>
    <t>Explain the financial reporting and disclosures related to non-current liabilities</t>
  </si>
  <si>
    <t>Calculate and interpret common-size balance sheets and related financial ratios</t>
  </si>
  <si>
    <t>Describe how the cash flow statement is linked to the income statement and the balance sheet</t>
  </si>
  <si>
    <t>Describe the steps in the preparation of direct and indirect cash flow statements, including how cash flows can be computed using income statement and balance sheet data</t>
  </si>
  <si>
    <t>Demonstrate the conversion of cash flows from the indirect to direct method</t>
  </si>
  <si>
    <t>Contrast cash flow statements prepared under International Financial Reporting Standards (IFRS) and US generally accepted accounting principles (US GAAP)</t>
  </si>
  <si>
    <t>Analyze and interpret both reported and common-size cash flow statements</t>
  </si>
  <si>
    <t>Calculate and interpret free cash flow to the firm, free cash flow to equity, and performance and coverage cash flow ratios</t>
  </si>
  <si>
    <t>Describe the measurement of inventory at the lower of cost and net realisable value and its implications for financial statements and ratios</t>
  </si>
  <si>
    <t>Calculate and explain how inflation and deflation of inventory costs affect the financial statements and ratios of companies that use different inventory valuation methods</t>
  </si>
  <si>
    <t>Describe the presentation and disclosures relating to inventories and explain issues that analysts should consider when examining a company’s inventory disclosures and other sources of information</t>
  </si>
  <si>
    <t>Compare the financial reporting of the following types of intangible assets: purchased, internally developed, and acquired in a business combination</t>
  </si>
  <si>
    <t>Explain and evaluate how impairment and derecognition of property, plant, and equipment and intangible assets affect the financial statements and ratios</t>
  </si>
  <si>
    <t>Analyze and interpret financial statement disclosures regarding property, plant, and equipment and intangible assets</t>
  </si>
  <si>
    <t>Explain the financial reporting of leases from the perspectives of lessors and lessees</t>
  </si>
  <si>
    <t>Explain the financial reporting of defined contribution, defined benefit, and stock-based compensation plans</t>
  </si>
  <si>
    <t>Describe the financial statement presentation of and disclosures relating to long-term liabilities and share-based compensation</t>
  </si>
  <si>
    <t>FINANCIAL STATEMENT ANALYSIS, EQUITY INVESTMENTS</t>
  </si>
  <si>
    <t>Contrast accounting profit, taxable income, taxes payable, and income tax expense and temporary versus permanent differences between accounting profit and taxable income</t>
  </si>
  <si>
    <t>Explain how deferred tax liabilities and assets are created and the factors that determine how a company’s deferred tax liabilities and assets should be treated for the purposes of financial analysis</t>
  </si>
  <si>
    <t>Calculate, interpret, and contrast an issuer’s effective tax rate, statutory tax rate, and cash tax rate</t>
  </si>
  <si>
    <t>Analyze disclosures relating to deferred tax items and the effective tax rate reconciliation and explain how information included in these disclosures affects a company’s financial statements and financial ratios</t>
  </si>
  <si>
    <t>Compare financial reporting quality with the quality of reported results (including quality of earnings, cash flow, and balance sheet items)</t>
  </si>
  <si>
    <t>Describe a spectrum for assessing financial reporting quality</t>
  </si>
  <si>
    <t>Explain the difference between conservative and aggressive accounting</t>
  </si>
  <si>
    <t>Describe motivations that might cause management to issue financial reports that are not high quality and conditions that are conducive to issuing low-quality, or even fraudulent, financial reports</t>
  </si>
  <si>
    <t>Describe mechanisms that discipline financial reporting quality and the potential limitations of those mechanisms</t>
  </si>
  <si>
    <t>Describe presentation choices, including non-GAAP measures, that could be used to influence an analyst’s opinion</t>
  </si>
  <si>
    <t>Describe accounting methods (choices and estimates) that could be used to manage earnings, cash flow, and balance sheet items</t>
  </si>
  <si>
    <t>Describe accounting warning signs and methods for detecting manipulation of information in financial reports</t>
  </si>
  <si>
    <t>Describe tools and techniques used in financial analysis, including their uses and limitations</t>
  </si>
  <si>
    <t>Calculate and interpret activity, liquidity, solvency, and profitability ratios</t>
  </si>
  <si>
    <t>Describe relationships among ratios and evaluate a company using ratio analysis</t>
  </si>
  <si>
    <t>Demonstrate the application of DuPont analysis of return on equity and calculate and interpret effects of changes in its components</t>
  </si>
  <si>
    <t>Describe the uses of industry-specific ratios used in financial analysis</t>
  </si>
  <si>
    <t>Describe how ratio analysis and other techniques can be used to model and forecast earnings</t>
  </si>
  <si>
    <t>Demonstrate the development of a sales-based pro forma company model</t>
  </si>
  <si>
    <t>Explain how behavioral factors affect analyst forecasts and recommend remedial actions for analyst biases</t>
  </si>
  <si>
    <t>Explain how the competitive position of a company based on a Porter’s five forces analysis affects prices and costs</t>
  </si>
  <si>
    <t>Explain how to forecast industry and company sales and costs when they are subject to price inflation or deflation</t>
  </si>
  <si>
    <t>Explain considerations in the choice of an explicit forecast horizon and an analyst’s choices in developing projections beyond the short-term forecast horizon</t>
  </si>
  <si>
    <t>EQUITY INVESTMENTS</t>
  </si>
  <si>
    <t>Explain the main functions of the financial system</t>
  </si>
  <si>
    <t>Describe classifications of assets and markets</t>
  </si>
  <si>
    <t>Describe the major types of securities, currencies, contracts, commodities, and real assets that trade in organized markets, including their distinguishing characteristics and major subtypes</t>
  </si>
  <si>
    <t>Describe types of financial intermediaries and services that they provide</t>
  </si>
  <si>
    <t>Compare positions an investor can take in an asset</t>
  </si>
  <si>
    <t>Calculate and interpret the leverage ratio, the rate of return on a margin transaction, and the security price at which the investor would receive a margin call</t>
  </si>
  <si>
    <t>Compare execution, validity, and clearing instructions</t>
  </si>
  <si>
    <t>Compare market orders with limit orders</t>
  </si>
  <si>
    <t>Define primary and secondary markets and explain how secondary markets support primary markets</t>
  </si>
  <si>
    <t>Describe how securities, contracts, and currencies are traded in quote-driven, order-driven, and brokered markets</t>
  </si>
  <si>
    <t>Describe characteristics of a well-functioning financial system</t>
  </si>
  <si>
    <t>Describe objectives of market regulation</t>
  </si>
  <si>
    <t>Describe a security market index</t>
  </si>
  <si>
    <t>Calculate and interpret the value, price return, and total return of an index</t>
  </si>
  <si>
    <t>Describe the choices and issues in index construction and management</t>
  </si>
  <si>
    <t>Compare the different weighting methods used in index construction</t>
  </si>
  <si>
    <t>Calculate and analyze the value and return of an index given its weighting method</t>
  </si>
  <si>
    <t>Describe rebalancing and reconstitution of an index</t>
  </si>
  <si>
    <t>Describe uses of security market indexes</t>
  </si>
  <si>
    <t>Describe types of equity indexes</t>
  </si>
  <si>
    <t>Compare types of security market indexes</t>
  </si>
  <si>
    <t>Describe types of fixed-income indexes</t>
  </si>
  <si>
    <t>Describe indexes representing alternative investments</t>
  </si>
  <si>
    <t>Describe market efficiency and related concepts, including their importance to investment practitioners</t>
  </si>
  <si>
    <t>Contrast market value and intrinsic value</t>
  </si>
  <si>
    <t>Explain factors that affect a market’s efficiency</t>
  </si>
  <si>
    <t>Contrast weak-form, semi-strong-form, and strong-form market efficiency</t>
  </si>
  <si>
    <t>Explain the implications of each form of market efficiency for fundamental analysis, technical analysis, and the choice between active and passive portfolio management</t>
  </si>
  <si>
    <t>Describe market anomalies</t>
  </si>
  <si>
    <t>Describe behavioral finance and its potential relevance to understanding market anomalies</t>
  </si>
  <si>
    <t>Describe characteristics of types of equity securities</t>
  </si>
  <si>
    <t>Describe differences in voting rights and other ownership characteristics among different equity classes</t>
  </si>
  <si>
    <t>Compare and contrast public and private equity securities</t>
  </si>
  <si>
    <t>Describe methods for investing in non-domestic equity securities</t>
  </si>
  <si>
    <t>Compare the risk and return characteristics of different types of equity securities</t>
  </si>
  <si>
    <t>Explain the role of equity securities in the financing of a company’s assets</t>
  </si>
  <si>
    <t>Contrast the market value and book value of equity securities</t>
  </si>
  <si>
    <t>Compare a company’s cost of equity, its (accounting) return on equity, and investors’ required rates of return</t>
  </si>
  <si>
    <t>Describe the elements that should be covered in a thorough company research report</t>
  </si>
  <si>
    <t>Determine a company’s business model</t>
  </si>
  <si>
    <t>Evaluate a company’s revenue and revenue drivers, including pricing power</t>
  </si>
  <si>
    <t>Evaluate a company’s operating profitability and working capital using key measures</t>
  </si>
  <si>
    <t>Evaluate a company’s capital investments and capital structure</t>
  </si>
  <si>
    <t>Describe the purposes of, and steps involved in, industry and competitive analysis</t>
  </si>
  <si>
    <t>Describe industry classification methods and compare methods by which companies can be grouped</t>
  </si>
  <si>
    <t>Determine an industry’s size, growth characteristics, profitability, and market share trends</t>
  </si>
  <si>
    <t>Analyze an industry’s structure and external influences using Porter’s Five Forces and PESTLE frameworks</t>
  </si>
  <si>
    <t>Evaluate the competitive strategy and position of a company</t>
  </si>
  <si>
    <t>Explain principles and approaches to forecasting a company’s financial results and position</t>
  </si>
  <si>
    <t>Explain approaches to forecasting a company’s revenues</t>
  </si>
  <si>
    <t>Explain approaches to forecasting a company’s operating expenses and working capital</t>
  </si>
  <si>
    <t>Explain approaches to forecasting a company’s capital investments and capital structure</t>
  </si>
  <si>
    <t>Describe the use of scenario analysis in forecasting</t>
  </si>
  <si>
    <t>Evaluate whether a security, given its current market price and a value estimate, is overvalued, fairly valued, or undervalued by the market</t>
  </si>
  <si>
    <t>Describe major categories of equity valuation models</t>
  </si>
  <si>
    <t>Describe regular cash dividends, extra dividends, stock dividends, stock splits, reverse stock splits, and share repurchases</t>
  </si>
  <si>
    <t>Describe dividend payment chronology</t>
  </si>
  <si>
    <t>Explain the rationale for using present value models to value equity and describe the dividend discount and free-cash-flow-to-equity models</t>
  </si>
  <si>
    <t>Explain advantages and disadvantages of each category of valuation model</t>
  </si>
  <si>
    <t>Calculate the intrinsic value of a non-callable, non-convertible preferred stock</t>
  </si>
  <si>
    <t>Calculate and interpret the intrinsic value of an equity security based on the Gordon (constant) growth dividend discount model or a two-stage dividend discount model, as appropriate</t>
  </si>
  <si>
    <t>Identify characteristics of companies for which the constant growth or a multistage dividend discount model is appropriate</t>
  </si>
  <si>
    <t>Explain the rationale for using price multiples to value equity, how the price to earnings multiple relates to fundamentals, and the use of multiples based on comparables</t>
  </si>
  <si>
    <t>Calculate and interpret the following multiples: price to earnings, price to an estimate of operating cash flow, price to sales, and price to book value</t>
  </si>
  <si>
    <t>Describe enterprise value multiples and their use in estimating equity value</t>
  </si>
  <si>
    <t>Describe asset-based valuation models and their use in estimating equity value</t>
  </si>
  <si>
    <t>Describe the features of a fixed-income security</t>
  </si>
  <si>
    <t>Describe the contents of a bond indenture and contrast affirmative and negative covenants</t>
  </si>
  <si>
    <t>Describe common cash flow structures of fixed-income instruments and contrast cash flow contingency provisions that benefit issuers and investors</t>
  </si>
  <si>
    <t>Describe how legal, regulatory, and tax considerations affect the issuance and trading of fixed-income securities</t>
  </si>
  <si>
    <t>Describe fixed-income market segments and their issuer and investor participants</t>
  </si>
  <si>
    <t>Compare primary and secondary fixed-income markets to equity markets</t>
  </si>
  <si>
    <t>Compare short-term funding alternatives available to corporations and financial institutions</t>
  </si>
  <si>
    <t>Describe repurchase agreements (repos), their uses, and their benefits and risks</t>
  </si>
  <si>
    <t>Contrast the long-term funding of investment-grade versus high-yield corporate issuers</t>
  </si>
  <si>
    <t>Contrast the issuance and trading of government and corporate fixed-income instruments</t>
  </si>
  <si>
    <t>Describe funding choices by sovereign and non-sovereign governments, quasi-government entities, and supranational agencies</t>
  </si>
  <si>
    <t>Calculate a bond’s price given a yield-to-maturity on or between coupon dates</t>
  </si>
  <si>
    <t>Identify the relationships among a bond’s price, coupon rate, maturity, and yield-to-maturity</t>
  </si>
  <si>
    <t>Describe matrix pricing</t>
  </si>
  <si>
    <t>Calculate annual yield on a bond for varying compounding periods in a year</t>
  </si>
  <si>
    <t>Compare, calculate, and interpret yield and yield spread measures for fixed-rate bonds</t>
  </si>
  <si>
    <t>Calculate and interpret yield spread measures for floating-rate instruments</t>
  </si>
  <si>
    <t>Calculate and interpret yield measures for money market instruments</t>
  </si>
  <si>
    <t>Define spot rates and the spot curve, and calculate the price of a bond using spot rates</t>
  </si>
  <si>
    <t>Define par and forward rates, and calculate par rates, forward rates from spot rates, spot rates from forward rates, and the price of a bond using forward rates</t>
  </si>
  <si>
    <t>Compare the spot curve, par curve, and forward curve</t>
  </si>
  <si>
    <t>Calculate and interpret the sources of return from investing in a fixed-rate bond</t>
  </si>
  <si>
    <t>Describe the relationships among a bond’s holding period return, its Macaulay duration, and the investment horizon</t>
  </si>
  <si>
    <t>Define, calculate, and interpret Macaulay duratio</t>
  </si>
  <si>
    <t>Define, calculate, and interpret modified duration, money duration, and the price value of a basis point (PVBP)</t>
  </si>
  <si>
    <t>Explain how a bond’s maturity, coupon, and yield level affect its interest rate risk</t>
  </si>
  <si>
    <t>Calculate and interpret convexity and describe the convexity adjustment</t>
  </si>
  <si>
    <t>Calculate the percentage price change of a bond for a specified change in yield, given the bond’s duration and convexity</t>
  </si>
  <si>
    <t>Calculate portfolio duration and convexity and explain the limitations of these measures</t>
  </si>
  <si>
    <t>Explain why effective duration and effective convexity are the most appropriate measures of interest rate risk for bonds with embedded options</t>
  </si>
  <si>
    <t>Calculate the percentage price change of a bond for a specified change in benchmark yield, given the bond’s effective duration and convexity</t>
  </si>
  <si>
    <t>Define key rate duration and describe its use to measure price sensitivity of fixed-income instruments to benchmark yield curve changes</t>
  </si>
  <si>
    <t>Describe the difference between empirical duration and analytical duration</t>
  </si>
  <si>
    <t>Describe credit risk and its components, probability of default and loss given default</t>
  </si>
  <si>
    <t>Describe the uses of ratings from credit rating agencies and their limitations</t>
  </si>
  <si>
    <t>Describe macroeconomic, market, and issuer-specific factors that influence the level and volatility of yield spreads</t>
  </si>
  <si>
    <t>Explain special considerations when evaluating the credit of sovereign and non-sovereign government debt issuers and issues</t>
  </si>
  <si>
    <t>Describe the qualitative and quantitative factors used to evaluate a corporate borrower’s creditworthiness</t>
  </si>
  <si>
    <t>Calculate and interpret financial ratios used in credit analysis</t>
  </si>
  <si>
    <t>Describe the seniority rankings of debt, secured versus unsecured debt and the priority of claims in bankruptcy, and their impact on credit ratings</t>
  </si>
  <si>
    <t>Explain benefits of securitization for issuers, investors, economies, and financial markets</t>
  </si>
  <si>
    <t>Describe securitization, including the parties and the roles they play</t>
  </si>
  <si>
    <t>Describe characteristics and risks of covered bonds and how they differ from other asset-backed securities</t>
  </si>
  <si>
    <t>Describe typical credit enhancement structures used in securitizations</t>
  </si>
  <si>
    <t>Describe types and characteristics of non-mortgage asset-backed securities, including the cash flows and risks of each type</t>
  </si>
  <si>
    <t>Describe collateralized debt obligations, including their cash flows and risks</t>
  </si>
  <si>
    <t>Define prepayment risk and describe time tranching structures in securitizations and their purpose</t>
  </si>
  <si>
    <t>Describe fundamental features of residential mortgage loans that are securitized</t>
  </si>
  <si>
    <t>Describe types and characteristics of residential mortgage-backed securities, including mortgage pass-through securities and collateralized mortgage obligations, and explain the cash flows and risks for each type</t>
  </si>
  <si>
    <t>Describe characteristics and risks of commercial mortgage-backed securities</t>
  </si>
  <si>
    <t>DERIVATIVES, ALTERNATIVE INVESTMENTS</t>
  </si>
  <si>
    <t>Define a derivative and describe basic features of a derivative instrument</t>
  </si>
  <si>
    <t>Describe the basic features of derivative markets, and contrast over-the-counter and exchange-traded derivative markets</t>
  </si>
  <si>
    <t>Define forward contracts, futures contracts, swaps, options (calls and puts), and credit derivatives and compare their basic characteristics</t>
  </si>
  <si>
    <t>Determine the value at expiration and profit from a long or a short position in a call or put option</t>
  </si>
  <si>
    <t>Contrast forward commitments with contingent claims</t>
  </si>
  <si>
    <t>Describe benefits and risks of derivative instruments</t>
  </si>
  <si>
    <t>Compare the use of derivatives among issuers and investors</t>
  </si>
  <si>
    <t>Explain how the concepts of arbitrage and replication are used in pricing derivatives</t>
  </si>
  <si>
    <t>Explain the difference between the spot and expected future price of an underlying and the cost of carry associated with holding the underlying asset</t>
  </si>
  <si>
    <t xml:space="preserve"> </t>
  </si>
  <si>
    <t>Explain how the value and price of a forward contract are determined at initiation, during the life of the contract, and at expiration</t>
  </si>
  <si>
    <t>Explain how forward rates are determined for interest rate forward contracts and describe the uses of these forward rates</t>
  </si>
  <si>
    <t>Compare the value and price of forward and futures contracts</t>
  </si>
  <si>
    <t>Explain why forward and futures prices differ</t>
  </si>
  <si>
    <t>Describe how swap contracts are similar to but different from a series of forward contracts</t>
  </si>
  <si>
    <t>Contrast the value and price of swaps</t>
  </si>
  <si>
    <t>Explain the exercise value, moneyness, and time value of an option</t>
  </si>
  <si>
    <t>Contrast the use of arbitrage and replication concepts in pricing forward commitments and contingent claims</t>
  </si>
  <si>
    <t>Identify the factors that determine the value of an option and describe how each factor affects the value of an option</t>
  </si>
  <si>
    <t>Explain put–call parity for European options</t>
  </si>
  <si>
    <t>Explain put–call forward parity for European options</t>
  </si>
  <si>
    <t>Explain how to value a derivative using a one-period binomial model</t>
  </si>
  <si>
    <t>Describe the concept of risk neutrality in derivatives pricing</t>
  </si>
  <si>
    <t>ALTERNATIVE INVESTMENTS</t>
  </si>
  <si>
    <t>Describe features and categories of alternative investments</t>
  </si>
  <si>
    <t>Compare direct investment, co-investment, and fund investment methods for alternative investments</t>
  </si>
  <si>
    <t>Describe investment ownership and compensation structures commonly used in alternative investments</t>
  </si>
  <si>
    <t>Describe the performance appraisal of alternative investments</t>
  </si>
  <si>
    <t>Calculate and interpret alternative investment returns both before and after fees</t>
  </si>
  <si>
    <t>Explain features of private equity and its investment characteristics</t>
  </si>
  <si>
    <t>Explain features of private debt and its investment characteristics</t>
  </si>
  <si>
    <t>Describe the diversification benefits that private capital can provide</t>
  </si>
  <si>
    <t>Explain features and characteristics of real estate</t>
  </si>
  <si>
    <t>Explain the investment characteristics of real estate investments</t>
  </si>
  <si>
    <t>Explain features and characteristics of infrastructure</t>
  </si>
  <si>
    <t>Explain the investment characteristics of infrastructure investments</t>
  </si>
  <si>
    <t>Explain features of raw land, timberland, and farmland and their investment characteristics</t>
  </si>
  <si>
    <t>Describe features of commodities and their investment characteristics</t>
  </si>
  <si>
    <t>Analyze sources of risk, return, and diversification among natural resource investments</t>
  </si>
  <si>
    <t>Explain investment features of hedge funds and contrast them with other asset classes</t>
  </si>
  <si>
    <t>Describe investment forms and vehicles used in hedge fund investments</t>
  </si>
  <si>
    <t>Analyze sources of risk, return, and diversification among hedge fund investments</t>
  </si>
  <si>
    <t>Describe financial applications of distributed ledger technology</t>
  </si>
  <si>
    <t>Explain investment features of digital assets and contrast them with other asset classes</t>
  </si>
  <si>
    <t>Describe investment forms and vehicles used in digital asset investments</t>
  </si>
  <si>
    <t>Analyze sources of risk, return, and diversification among digital asset investments</t>
  </si>
  <si>
    <t>PORTFOLIO MANAGEMENT, ETHICAL AND PROFESSIONAL STANDARDS</t>
  </si>
  <si>
    <t>Describe the portfolio approach to investing</t>
  </si>
  <si>
    <t>Describe the steps in the portfolio management process</t>
  </si>
  <si>
    <t>Describe types of investors and distinctive characteristics and needs of each</t>
  </si>
  <si>
    <t>Describe defined contribution and defined benefit pension plans</t>
  </si>
  <si>
    <t>Describe aspects of the asset management industry</t>
  </si>
  <si>
    <t>Describe mutual funds and compare them with other pooled investment products</t>
  </si>
  <si>
    <t>Describe the reasons for a written investment policy statement (IPS)</t>
  </si>
  <si>
    <t>Describe the major components of an IPS</t>
  </si>
  <si>
    <t>Describe risk and return objectives and how they may be developed for a client</t>
  </si>
  <si>
    <t>Explain the difference between the willingness and the ability (capacity) to take risk in analyzing an investor’s financial risk tolerance</t>
  </si>
  <si>
    <t>Describe the investment constraints of liquidity, time horizon, tax concerns, legal and regulatory factors, and unique circumstances and their implications for the choice of portfolio assets</t>
  </si>
  <si>
    <t>Explain the specification of asset classes in relation to asset allocation</t>
  </si>
  <si>
    <t>Describe the principles of portfolio construction and the role of asset allocation in relation to the IPS</t>
  </si>
  <si>
    <t>Describe how environmental, social, and governance (ESG) considerations may be integrated into portfolio planning and construction</t>
  </si>
  <si>
    <t>Compare and contrast cognitive errors and emotional biases</t>
  </si>
  <si>
    <t>Describe how behavioral biases of investors can lead to market characteristics that may not be explained by traditional finance</t>
  </si>
  <si>
    <t>Discuss commonly recognized behavioral biases and their
Implications for financial decision making</t>
  </si>
  <si>
    <t>Define risk management</t>
  </si>
  <si>
    <t>Describe features of a risk management framework</t>
  </si>
  <si>
    <t>Define risk governance and describe elements of effective risk governance</t>
  </si>
  <si>
    <t>Explain how risk tolerance affects risk management</t>
  </si>
  <si>
    <t>Describe risk budgeting and its role in risk governance</t>
  </si>
  <si>
    <t>Identify financial and non-financial sources of risk and describe how they may interact</t>
  </si>
  <si>
    <t>Describe methods for measuring and modifying risk exposures and factors to consider in choosing among the methods</t>
  </si>
  <si>
    <t>ETHICAL AND PROFESSIONAL STANDARDS</t>
  </si>
  <si>
    <t>Explain ethics</t>
  </si>
  <si>
    <t>Describe the role of a code of ethics in defining a profession</t>
  </si>
  <si>
    <t>Describe professions and how they establish trust</t>
  </si>
  <si>
    <t>Describe the need for high ethical standards in investment management</t>
  </si>
  <si>
    <t>Explain professionalism in investment management</t>
  </si>
  <si>
    <t>Identify challenges to ethical behavior</t>
  </si>
  <si>
    <t>Compare and contrast ethical standards with legal standards</t>
  </si>
  <si>
    <t>Describe a framework for ethical decision making</t>
  </si>
  <si>
    <t>Describe the structure of the CFA Institute Professional Conduct Program and the process for the enforcement of the Code and Standards</t>
  </si>
  <si>
    <t>Identify the six components of the Code of Ethics and the seven Standards of Professional Conduct</t>
  </si>
  <si>
    <t>Explain the ethical responsibilities required by the Code and Standards, including the sub-sections of each Standard</t>
  </si>
  <si>
    <t>Demonstrate the application of the Code of Ethics and Standards of Professional Conduct to situations involving issues of professional integrity</t>
  </si>
  <si>
    <t>Recommend practices and procedures designed to prevent violations of the Code of Ethics and Standards of Professional Conduct</t>
  </si>
  <si>
    <t>Identify conduct that conforms to the Code and Standards and conduct that violates the Code and Standards</t>
  </si>
  <si>
    <t xml:space="preserve">Explain why the GIPS standards were created, who can claim compliance, and who benefits from compliance </t>
  </si>
  <si>
    <t>Describe the key concepts of the GIPS Standards for Firms</t>
  </si>
  <si>
    <t>Explain the purpose of composites in performance reporting</t>
  </si>
  <si>
    <t>Describe the fundamentals of compliance, including the recommendations of the GIPS standards with respect to the definition of the firm and the firm’s definition of discretion</t>
  </si>
  <si>
    <t>Describe the concept of independent verification</t>
  </si>
  <si>
    <t>Evaluate practices, policies, and conduct relative to the CFA Institute Code of Ethics and Standards of Professional Conduct</t>
  </si>
  <si>
    <t>Explain how the practices, policies, and conduct do or do not violate the CFA Institute Code of Ethics and Standards of Professional Conduct</t>
  </si>
  <si>
    <t>VI</t>
  </si>
  <si>
    <t>V</t>
  </si>
  <si>
    <t>IV</t>
  </si>
  <si>
    <t>III</t>
  </si>
  <si>
    <t>VI . I</t>
  </si>
  <si>
    <t>V . II</t>
  </si>
  <si>
    <t>V . I</t>
  </si>
  <si>
    <t>III . I</t>
  </si>
  <si>
    <t>III . II</t>
  </si>
  <si>
    <t>VI . II</t>
  </si>
  <si>
    <t>II . II</t>
  </si>
  <si>
    <t>II . I</t>
  </si>
  <si>
    <t xml:space="preserve">II </t>
  </si>
  <si>
    <t>II . III</t>
  </si>
  <si>
    <t>I . I</t>
  </si>
  <si>
    <t xml:space="preserve">I </t>
  </si>
  <si>
    <t>I . II</t>
  </si>
  <si>
    <t>F2'!A5</t>
  </si>
  <si>
    <t>F2'!A55</t>
  </si>
  <si>
    <t>F2'!A96</t>
  </si>
  <si>
    <t>F2'!A115</t>
  </si>
  <si>
    <t>F2'!A145</t>
  </si>
  <si>
    <t>F2'!A186</t>
  </si>
  <si>
    <t>F2'!A214</t>
  </si>
  <si>
    <t xml:space="preserve">IV </t>
  </si>
  <si>
    <t>F2'!A290</t>
  </si>
  <si>
    <t>F2'!A364</t>
  </si>
  <si>
    <t>F2'!A397</t>
  </si>
  <si>
    <t>F2'!A429</t>
  </si>
  <si>
    <t>F2'!A458</t>
  </si>
  <si>
    <t>Note personelle de 1 à 10</t>
  </si>
  <si>
    <t xml:space="preserve">1 . 1 </t>
  </si>
  <si>
    <t>Interest rates and Time Value of Money</t>
  </si>
  <si>
    <t xml:space="preserve">2 . 1 </t>
  </si>
  <si>
    <t>1 . 2</t>
  </si>
  <si>
    <t>2 . 2</t>
  </si>
  <si>
    <t>3 . 2</t>
  </si>
  <si>
    <t>4 . 2</t>
  </si>
  <si>
    <t>1 . 3</t>
  </si>
  <si>
    <t>1 . 4</t>
  </si>
  <si>
    <t>1 . 5</t>
  </si>
  <si>
    <t>Rates of Return</t>
  </si>
  <si>
    <t>Money_Weighted and Time-Weighted Return</t>
  </si>
  <si>
    <t>Annualized Return</t>
  </si>
  <si>
    <t>Other Major Return Measures and Their Applications</t>
  </si>
  <si>
    <t>2 . 3</t>
  </si>
  <si>
    <t>Time Value of Money in Fixed Income and Equity</t>
  </si>
  <si>
    <t>Implied Return and Growth</t>
  </si>
  <si>
    <t>Cash Flow Additivity</t>
  </si>
  <si>
    <t xml:space="preserve">3 . 1 </t>
  </si>
  <si>
    <t>3 . 3</t>
  </si>
  <si>
    <t>3 . 4</t>
  </si>
  <si>
    <t>Measures of Central Tendency and Location</t>
  </si>
  <si>
    <t>Measures of Dispersion</t>
  </si>
  <si>
    <t>Measures of Shape of a Distribution</t>
  </si>
  <si>
    <t>Correlation between Two Variables</t>
  </si>
  <si>
    <t>4 . 1</t>
  </si>
  <si>
    <t>4 . 3</t>
  </si>
  <si>
    <t>Expected Value and Variance</t>
  </si>
  <si>
    <t>Bayes' Formula and Updating Probability Estimates</t>
  </si>
  <si>
    <t>5 . 1</t>
  </si>
  <si>
    <t>5 . 2</t>
  </si>
  <si>
    <t>5 . 3</t>
  </si>
  <si>
    <t>Portfolio Expected Return and Variance of Return</t>
  </si>
  <si>
    <t>Forecasting Correlation of Return : Covariance Given a Joint Probability</t>
  </si>
  <si>
    <t>Portfolio Risk Measures : Applications of the Normal Distribution</t>
  </si>
  <si>
    <t>6 . 1</t>
  </si>
  <si>
    <t>Lognormal Distribution and Continuous Compounding</t>
  </si>
  <si>
    <t>7 . 1</t>
  </si>
  <si>
    <t>7 . 2</t>
  </si>
  <si>
    <t>7 . 3</t>
  </si>
  <si>
    <t>Sampling Methods</t>
  </si>
  <si>
    <t>Central Limit Theorem and Inference</t>
  </si>
  <si>
    <t>Bootstrapping and Empirical Sampling Distributions</t>
  </si>
  <si>
    <t>8 . 1</t>
  </si>
  <si>
    <t>8 . 2</t>
  </si>
  <si>
    <t>8 . 3</t>
  </si>
  <si>
    <t>Hypothesis Tests for Finance</t>
  </si>
  <si>
    <t>Tests of Return and Risk in Finance</t>
  </si>
  <si>
    <t>Parametric versus Nonparametric Tests</t>
  </si>
  <si>
    <t>9 . 1</t>
  </si>
  <si>
    <t>9 . 2</t>
  </si>
  <si>
    <t>Tests Concerning Correlation</t>
  </si>
  <si>
    <t>Tests of Independence Using Contingency Table Data</t>
  </si>
  <si>
    <t>10 . 1</t>
  </si>
  <si>
    <t>10 . 2</t>
  </si>
  <si>
    <t>10 . 3</t>
  </si>
  <si>
    <t>10 . 4</t>
  </si>
  <si>
    <t>10 . 5</t>
  </si>
  <si>
    <t>Estimation of the Simple Linear Regression Model</t>
  </si>
  <si>
    <t>Assumptions of the Simple Linear Regression Model</t>
  </si>
  <si>
    <t>Hypothesis Tests in the Simple Linear Regression Model</t>
  </si>
  <si>
    <t>Prediction in the Simple Linear Regression Model</t>
  </si>
  <si>
    <t>Funtional Forms for Simple Linear Regression</t>
  </si>
  <si>
    <t>11 . 1</t>
  </si>
  <si>
    <t>11 . 2</t>
  </si>
  <si>
    <t>11 . 3</t>
  </si>
  <si>
    <t>How is Fintech used in Quantitative Investment Analysis ?</t>
  </si>
  <si>
    <t>Advanced Analytical Tools : Artificial Intelligence and Machine Learning</t>
  </si>
  <si>
    <t>Tackling Big Data with Data Science</t>
  </si>
  <si>
    <t>Profit Maximization : Production Breakeven, Shutdown and Economies of Scale</t>
  </si>
  <si>
    <t>Introduction to Market Structures</t>
  </si>
  <si>
    <t>Monopolistic Competition</t>
  </si>
  <si>
    <t>Oligopoly</t>
  </si>
  <si>
    <t>Determining Market Structure</t>
  </si>
  <si>
    <t>Overview of the Buisness Cycle</t>
  </si>
  <si>
    <t>Credit Cycles</t>
  </si>
  <si>
    <t>Economic Indicators over the Buisness Cycle</t>
  </si>
  <si>
    <t>4 . 4</t>
  </si>
  <si>
    <t>Introduction to Monetary and Fiscal Policy</t>
  </si>
  <si>
    <t>Roles and Objectives of Fiscal Policy</t>
  </si>
  <si>
    <t>Fiscal Policy Tools</t>
  </si>
  <si>
    <t>Fiscal Policy Implementation</t>
  </si>
  <si>
    <t>Role of Central Banks</t>
  </si>
  <si>
    <t>Monetary Policy Tools and Monetary Transmission</t>
  </si>
  <si>
    <t>Monetary Policy Objectives</t>
  </si>
  <si>
    <t>Interaction of Monetary and Fiscal Policy</t>
  </si>
  <si>
    <t>5 . 4</t>
  </si>
  <si>
    <t>5 . 5</t>
  </si>
  <si>
    <t>5 . 6</t>
  </si>
  <si>
    <t>National Governments and Political Cooperation</t>
  </si>
  <si>
    <t>Forces of Globalization</t>
  </si>
  <si>
    <t>International Trade Organizations</t>
  </si>
  <si>
    <t>Assessing Geopolitical Actors and Risk</t>
  </si>
  <si>
    <t>The Tools of Geopolitics</t>
  </si>
  <si>
    <t>Geopolitical Risk and the Investment Process</t>
  </si>
  <si>
    <t>6 . 2</t>
  </si>
  <si>
    <t>6 . 3</t>
  </si>
  <si>
    <t>Benefits and Costs of Trade</t>
  </si>
  <si>
    <t>Trade Restrictions and Agreements - Tariffs, Quotas, and Export Subsidies</t>
  </si>
  <si>
    <t>Trading Blocs and Regional Integration</t>
  </si>
  <si>
    <t>The Foreign Exchange Market and Exchange Rates</t>
  </si>
  <si>
    <t>Exchange Rate Regimes : Ideals and Historical Perspective</t>
  </si>
  <si>
    <t>Capital Restrictions</t>
  </si>
  <si>
    <t>Cross-Rate Calculations</t>
  </si>
  <si>
    <t>Forward Rate Calculations</t>
  </si>
  <si>
    <t>1 . 11</t>
  </si>
  <si>
    <t>1 . 6</t>
  </si>
  <si>
    <t>1 . 7</t>
  </si>
  <si>
    <t>1 . 8</t>
  </si>
  <si>
    <t>1 . 9</t>
  </si>
  <si>
    <t>1 . 10</t>
  </si>
  <si>
    <t>Historical Return and Risk</t>
  </si>
  <si>
    <t>Other Investment Characteristics</t>
  </si>
  <si>
    <t>Risk Aversion and Portfolio Selection</t>
  </si>
  <si>
    <t>Utility Theory and Indifference Curves</t>
  </si>
  <si>
    <t>Application of Utility Theory to Portfolio Selection</t>
  </si>
  <si>
    <t>Portfolio Risk &amp; Portfolio of Two Risky Assets</t>
  </si>
  <si>
    <t>Portfolio of Many Risky Assets</t>
  </si>
  <si>
    <t>The Power of Diversification</t>
  </si>
  <si>
    <t>Efficient Frontier : Investment Opportunity Set &amp; Minimum Variance</t>
  </si>
  <si>
    <t>Efficient Frontier : A Risk-Free Asset and Many Risky Assets</t>
  </si>
  <si>
    <t>Efficient Frontier : Optimal Investor Porfolio</t>
  </si>
  <si>
    <t>2 . 4</t>
  </si>
  <si>
    <t>2 . 5</t>
  </si>
  <si>
    <t>2 . 6</t>
  </si>
  <si>
    <t>2 . 7</t>
  </si>
  <si>
    <t>2 . 8</t>
  </si>
  <si>
    <t>2 . 9</t>
  </si>
  <si>
    <t>2 . 10</t>
  </si>
  <si>
    <t>2 . 11</t>
  </si>
  <si>
    <t>Capital Market Theory : Risk-Free and Risky Assets</t>
  </si>
  <si>
    <t>Capital Market Theory : The Capital Market Line</t>
  </si>
  <si>
    <t>Capital Market Theory : CML - Leveraged Portfolios</t>
  </si>
  <si>
    <t>Systematic and Nonsystematic Risk</t>
  </si>
  <si>
    <t>Return Generating Models</t>
  </si>
  <si>
    <t>Calculation and Interpretation of Beta</t>
  </si>
  <si>
    <t>Capital Asset Pricing Model : Assumptions and the Security Market Line</t>
  </si>
  <si>
    <t>Capital Asset Pricing Model : Applications</t>
  </si>
  <si>
    <t>Beyond CAPM : Limitations and Extensions of CAPM</t>
  </si>
  <si>
    <t>Portfolio Performance Appraisal Measures</t>
  </si>
  <si>
    <t>Applications of the CAPM in Portfolio Construction</t>
  </si>
  <si>
    <t>Organizational Forms of Businesses</t>
  </si>
  <si>
    <t>Key Features of Corporate Issuers</t>
  </si>
  <si>
    <t>Publicly vs Privately Owned Corporate Issuers</t>
  </si>
  <si>
    <t>Financial Claims of Lenders and Shareholders</t>
  </si>
  <si>
    <t>Corporate Stakeholders and Governance</t>
  </si>
  <si>
    <t>Corporate ESG Considerations</t>
  </si>
  <si>
    <t>Stakeholder Conflicts and Management</t>
  </si>
  <si>
    <t>Corporate Governance Mechanisms</t>
  </si>
  <si>
    <t>Corporate Governance Risks and Benefits</t>
  </si>
  <si>
    <t>Cash Conversion Cycle</t>
  </si>
  <si>
    <t>Liquidity</t>
  </si>
  <si>
    <t>Managing Working Capital and Liquidity</t>
  </si>
  <si>
    <t>Capital Investments</t>
  </si>
  <si>
    <t>Capital Allocation</t>
  </si>
  <si>
    <t>Capital Allocation Principles and Pitfalls</t>
  </si>
  <si>
    <t>Real Options</t>
  </si>
  <si>
    <t>6 . 4</t>
  </si>
  <si>
    <t>The Cost of Capital</t>
  </si>
  <si>
    <t>Factors Affecting Capital Structure</t>
  </si>
  <si>
    <t>Modigliani-Miller Capital Structure Propositions</t>
  </si>
  <si>
    <t>Optimal Capital Structure</t>
  </si>
  <si>
    <t>Defining the Business Model</t>
  </si>
  <si>
    <t>Business Model Types</t>
  </si>
  <si>
    <t>Financial Statement Analysis Framework</t>
  </si>
  <si>
    <t>Scope of Financial Statement Analysis</t>
  </si>
  <si>
    <t>Regulated Sources of Information</t>
  </si>
  <si>
    <t>Comparison of IFRS with Alternative Financial Reporting Systems</t>
  </si>
  <si>
    <t>Other Sources of Information</t>
  </si>
  <si>
    <t>Revenue Recognition</t>
  </si>
  <si>
    <t>Expense Recognition</t>
  </si>
  <si>
    <t>Non-Recurring Items</t>
  </si>
  <si>
    <t>Earnings per Share</t>
  </si>
  <si>
    <t>Income Statement Ratios and Common-size Analysis</t>
  </si>
  <si>
    <t>3 . 5</t>
  </si>
  <si>
    <t>4 . 7</t>
  </si>
  <si>
    <t>4 . 5</t>
  </si>
  <si>
    <t>4 . 6</t>
  </si>
  <si>
    <t>7 . 4</t>
  </si>
  <si>
    <t>2 . 12</t>
  </si>
  <si>
    <t>3 . 6</t>
  </si>
  <si>
    <t>3 . 7</t>
  </si>
  <si>
    <t>3 . 8</t>
  </si>
  <si>
    <t>3 . 9</t>
  </si>
  <si>
    <t>3 . 10</t>
  </si>
  <si>
    <t>3 . 11</t>
  </si>
  <si>
    <t>3 . 12</t>
  </si>
  <si>
    <t>3 . 13</t>
  </si>
  <si>
    <t>3 . 14</t>
  </si>
  <si>
    <t>3 . 15</t>
  </si>
  <si>
    <t>1 . 12</t>
  </si>
  <si>
    <t>1 . 13</t>
  </si>
  <si>
    <t>1 . 14</t>
  </si>
  <si>
    <t>1 . 15</t>
  </si>
  <si>
    <t>1 .16</t>
  </si>
  <si>
    <t>6 . 5</t>
  </si>
  <si>
    <t>7 . 5</t>
  </si>
  <si>
    <t>8 . 11</t>
  </si>
  <si>
    <t>8 . 4</t>
  </si>
  <si>
    <t>8 . 5</t>
  </si>
  <si>
    <t>8 . 6</t>
  </si>
  <si>
    <t>8 . 7</t>
  </si>
  <si>
    <t>8 . 8</t>
  </si>
  <si>
    <t>8 . 9</t>
  </si>
  <si>
    <t>8 . 10</t>
  </si>
  <si>
    <t>9  . 1</t>
  </si>
  <si>
    <t>9 . 3</t>
  </si>
  <si>
    <t>12 . 1</t>
  </si>
  <si>
    <t>12 . 2</t>
  </si>
  <si>
    <t>12 . 3</t>
  </si>
  <si>
    <t>13 . 1</t>
  </si>
  <si>
    <t>13 . 2</t>
  </si>
  <si>
    <t>13 . 3</t>
  </si>
  <si>
    <t>13 . 4</t>
  </si>
  <si>
    <t>14 . 1</t>
  </si>
  <si>
    <t>14 . 2</t>
  </si>
  <si>
    <t>14 . 3</t>
  </si>
  <si>
    <t>15 . 1</t>
  </si>
  <si>
    <t>15 . 2</t>
  </si>
  <si>
    <t>16 . 1</t>
  </si>
  <si>
    <t>16 . 2</t>
  </si>
  <si>
    <t>16 . 3</t>
  </si>
  <si>
    <t>17 . 1</t>
  </si>
  <si>
    <t>17 . 2</t>
  </si>
  <si>
    <t>18 . 1</t>
  </si>
  <si>
    <t>18 . 2</t>
  </si>
  <si>
    <t>19 . 1</t>
  </si>
  <si>
    <t>18 . 3</t>
  </si>
  <si>
    <t>18 . 4</t>
  </si>
  <si>
    <t>19 . 2</t>
  </si>
  <si>
    <t>19 . 3</t>
  </si>
  <si>
    <t>19 . 4</t>
  </si>
  <si>
    <t>6 . 6</t>
  </si>
  <si>
    <t>9 . 4</t>
  </si>
  <si>
    <t>9 . 5</t>
  </si>
  <si>
    <t>4 . 9</t>
  </si>
  <si>
    <t>4 . 10</t>
  </si>
  <si>
    <t>4 . 8</t>
  </si>
  <si>
    <t>5 . 7</t>
  </si>
  <si>
    <t>3 . 16</t>
  </si>
  <si>
    <t>3 . 17</t>
  </si>
  <si>
    <t>3 . 18</t>
  </si>
  <si>
    <t>3 . 19</t>
  </si>
  <si>
    <t>3 . 20</t>
  </si>
  <si>
    <t>3 . 21</t>
  </si>
  <si>
    <t>3 . 22</t>
  </si>
  <si>
    <t>3 . 23</t>
  </si>
  <si>
    <t>3 . 24</t>
  </si>
  <si>
    <t>3 . 25</t>
  </si>
  <si>
    <t>3 . 26</t>
  </si>
  <si>
    <t>3 . 27</t>
  </si>
  <si>
    <t>3 . 28</t>
  </si>
  <si>
    <t>3 . 29</t>
  </si>
  <si>
    <t>3 . 30</t>
  </si>
  <si>
    <t>3 . 31</t>
  </si>
  <si>
    <t>3 . 32</t>
  </si>
  <si>
    <t>3 . 33</t>
  </si>
  <si>
    <t>3 . 34</t>
  </si>
  <si>
    <t>3 . 35</t>
  </si>
  <si>
    <t>3 . 36</t>
  </si>
  <si>
    <t>3 . 37</t>
  </si>
  <si>
    <t>3 . 38</t>
  </si>
  <si>
    <t>3 . 39</t>
  </si>
  <si>
    <t>3 . 40</t>
  </si>
  <si>
    <t>3 . 41</t>
  </si>
  <si>
    <t>3 . 42</t>
  </si>
  <si>
    <t>3 . 43</t>
  </si>
  <si>
    <t>3 . 44</t>
  </si>
  <si>
    <t>3 . 45</t>
  </si>
  <si>
    <t>3 . 46</t>
  </si>
  <si>
    <t>3 . 47</t>
  </si>
  <si>
    <t>3 . 48</t>
  </si>
  <si>
    <t>3 . 49</t>
  </si>
  <si>
    <t>3 . 50</t>
  </si>
  <si>
    <t>3 . 51</t>
  </si>
  <si>
    <t>3 . 52</t>
  </si>
  <si>
    <t>3 . 53</t>
  </si>
  <si>
    <t>3 . 54</t>
  </si>
  <si>
    <t>3 . 55</t>
  </si>
  <si>
    <t>3 . 56</t>
  </si>
  <si>
    <t>3 . 57</t>
  </si>
  <si>
    <t>3 . 58</t>
  </si>
  <si>
    <t>3 . 59</t>
  </si>
  <si>
    <t>3 . 60</t>
  </si>
  <si>
    <t>3 . 61</t>
  </si>
  <si>
    <t>3 . 62</t>
  </si>
  <si>
    <t>3 . 63</t>
  </si>
  <si>
    <t>3 . 64</t>
  </si>
  <si>
    <t>F2'!B12</t>
  </si>
  <si>
    <t>F2'!B15</t>
  </si>
  <si>
    <t>F2'!B17</t>
  </si>
  <si>
    <t>F1'!B19</t>
  </si>
  <si>
    <t>F2'!B22</t>
  </si>
  <si>
    <t>F1'!B24</t>
  </si>
  <si>
    <t>F2'!B26</t>
  </si>
  <si>
    <t>F1'!B28</t>
  </si>
  <si>
    <t>F2'!B30</t>
  </si>
  <si>
    <t>F1'!B32</t>
  </si>
  <si>
    <t>Total</t>
  </si>
  <si>
    <t>Quant met</t>
  </si>
  <si>
    <t>Eco</t>
  </si>
  <si>
    <t>portfo 1</t>
  </si>
  <si>
    <t>corpo</t>
  </si>
  <si>
    <t>fina</t>
  </si>
  <si>
    <t>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</si>
</sst>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
  </numFmts>
  <fonts count="12"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theme="4"/>
      <name val="Calibri"/>
      <family val="2"/>
      <scheme val="minor"/>
    </font>
    <font>
      <u/>
      <sz val="11"/>
      <color theme="10"/>
      <name val="Calibri"/>
      <family val="2"/>
      <scheme val="minor"/>
    </font>
    <font>
      <b/>
      <sz val="11"/>
      <name val="Calibri"/>
      <family val="2"/>
      <scheme val="minor"/>
    </font>
    <font>
      <sz val="11"/>
      <name val="Calibri"/>
      <family val="2"/>
      <scheme val="minor"/>
    </font>
    <font>
      <b/>
      <u/>
      <sz val="11"/>
      <name val="Calibri"/>
      <family val="2"/>
      <scheme val="minor"/>
    </font>
    <font>
      <u/>
      <sz val="11"/>
      <color theme="1"/>
      <name val="Calibri"/>
      <family val="2"/>
      <scheme val="minor"/>
    </font>
    <font>
      <sz val="8"/>
      <name val="Calibri"/>
      <family val="2"/>
      <scheme val="minor"/>
    </font>
    <font>
      <b/>
      <u/>
      <sz val="11"/>
      <color theme="0"/>
      <name val="Calibri"/>
      <family val="2"/>
      <scheme val="minor"/>
    </font>
  </fonts>
  <fills count="24">
    <fill>
      <patternFill patternType="none"/>
    </fill>
    <fill>
      <patternFill patternType="gray125"/>
    </fill>
    <fill>
      <patternFill patternType="solid">
        <fgColor theme="0"/>
        <bgColor indexed="64"/>
      </patternFill>
    </fill>
    <fill>
      <patternFill patternType="solid">
        <fgColor theme="7" tint="0.59999389629810485"/>
        <bgColor indexed="64"/>
      </patternFill>
    </fill>
    <fill>
      <patternFill patternType="solid">
        <fgColor theme="1" tint="0.249977111117893"/>
        <bgColor indexed="64"/>
      </patternFill>
    </fill>
    <fill>
      <patternFill patternType="solid">
        <fgColor theme="7" tint="0.39997558519241921"/>
        <bgColor indexed="64"/>
      </patternFill>
    </fill>
    <fill>
      <patternFill patternType="solid">
        <fgColor theme="4" tint="-0.499984740745262"/>
        <bgColor indexed="64"/>
      </patternFill>
    </fill>
    <fill>
      <patternFill patternType="solid">
        <fgColor theme="1" tint="4.9989318521683403E-2"/>
        <bgColor indexed="64"/>
      </patternFill>
    </fill>
    <fill>
      <patternFill patternType="solid">
        <fgColor rgb="FF90F0B5"/>
        <bgColor indexed="64"/>
      </patternFill>
    </fill>
    <fill>
      <patternFill patternType="solid">
        <fgColor rgb="FF57D59F"/>
        <bgColor indexed="64"/>
      </patternFill>
    </fill>
    <fill>
      <patternFill patternType="solid">
        <fgColor theme="9" tint="0.59999389629810485"/>
        <bgColor indexed="64"/>
      </patternFill>
    </fill>
    <fill>
      <patternFill patternType="solid">
        <fgColor rgb="FFFFFFFF"/>
        <bgColor indexed="64"/>
      </patternFill>
    </fill>
    <fill>
      <patternFill patternType="solid">
        <fgColor theme="4" tint="0.39997558519241921"/>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rgb="FFFF0000"/>
        <bgColor indexed="64"/>
      </patternFill>
    </fill>
    <fill>
      <patternFill patternType="solid">
        <fgColor rgb="FF00C000"/>
        <bgColor indexed="64"/>
      </patternFill>
    </fill>
    <fill>
      <patternFill patternType="solid">
        <fgColor rgb="FF80FF00"/>
        <bgColor indexed="64"/>
      </patternFill>
    </fill>
    <fill>
      <patternFill patternType="solid">
        <fgColor rgb="FF40FF00"/>
        <bgColor indexed="64"/>
      </patternFill>
    </fill>
    <fill>
      <patternFill patternType="solid">
        <fgColor rgb="FF00FF00"/>
        <bgColor indexed="64"/>
      </patternFill>
    </fill>
    <fill>
      <patternFill patternType="solid">
        <fgColor rgb="FFFFC000"/>
        <bgColor indexed="64"/>
      </patternFill>
    </fill>
    <fill>
      <patternFill patternType="solid">
        <fgColor rgb="FFFFFF00"/>
        <bgColor indexed="64"/>
      </patternFill>
    </fill>
    <fill>
      <patternFill patternType="solid">
        <fgColor rgb="FFFF8000"/>
        <bgColor indexed="64"/>
      </patternFill>
    </fill>
    <fill>
      <patternFill patternType="solid">
        <fgColor rgb="FFFF4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s>
  <cellStyleXfs count="2">
    <xf numFmtId="0" fontId="0" fillId="0" borderId="0"/>
    <xf numFmtId="0" fontId="5" fillId="0" borderId="0" applyNumberFormat="0" applyFill="0" applyBorder="0" applyAlignment="0" applyProtection="0"/>
  </cellStyleXfs>
  <cellXfs count="106">
    <xf numFmtId="0" fontId="0" fillId="0" borderId="0" xfId="0"/>
    <xf numFmtId="0" fontId="0" fillId="2" borderId="0" xfId="0" applyFill="1"/>
    <xf numFmtId="0" fontId="0" fillId="2" borderId="0" xfId="0" applyFill="1" applyAlignment="1">
      <alignment horizontal="center"/>
    </xf>
    <xf numFmtId="0" fontId="0" fillId="2" borderId="1" xfId="0" applyFill="1" applyBorder="1"/>
    <xf numFmtId="0" fontId="2" fillId="2" borderId="5" xfId="0" applyFont="1" applyFill="1" applyBorder="1"/>
    <xf numFmtId="0" fontId="2" fillId="2" borderId="6" xfId="0" applyFont="1" applyFill="1" applyBorder="1"/>
    <xf numFmtId="0" fontId="2" fillId="2" borderId="7" xfId="0" applyFont="1" applyFill="1" applyBorder="1"/>
    <xf numFmtId="14" fontId="4" fillId="3" borderId="11" xfId="0" applyNumberFormat="1" applyFont="1" applyFill="1" applyBorder="1" applyAlignment="1">
      <alignment horizontal="center" vertical="center"/>
    </xf>
    <xf numFmtId="0" fontId="0" fillId="2" borderId="12" xfId="0" applyFill="1" applyBorder="1" applyAlignment="1">
      <alignment horizontal="center"/>
    </xf>
    <xf numFmtId="0" fontId="0" fillId="2" borderId="3" xfId="0" applyFill="1" applyBorder="1"/>
    <xf numFmtId="0" fontId="0" fillId="2" borderId="8" xfId="0" applyFill="1" applyBorder="1"/>
    <xf numFmtId="0" fontId="0" fillId="2" borderId="9" xfId="0" applyFill="1" applyBorder="1"/>
    <xf numFmtId="0" fontId="0" fillId="2" borderId="10" xfId="0" applyFill="1" applyBorder="1"/>
    <xf numFmtId="0" fontId="0" fillId="2" borderId="12" xfId="0" applyFill="1" applyBorder="1"/>
    <xf numFmtId="0" fontId="0" fillId="2" borderId="2" xfId="0" applyFill="1" applyBorder="1"/>
    <xf numFmtId="0" fontId="0" fillId="0" borderId="2" xfId="0" applyBorder="1"/>
    <xf numFmtId="0" fontId="0" fillId="2" borderId="13" xfId="0" applyFill="1" applyBorder="1"/>
    <xf numFmtId="0" fontId="2" fillId="2" borderId="4" xfId="0" applyFont="1" applyFill="1" applyBorder="1" applyAlignment="1">
      <alignment horizontal="left" indent="3"/>
    </xf>
    <xf numFmtId="0" fontId="2" fillId="2" borderId="4" xfId="0" applyFont="1" applyFill="1" applyBorder="1" applyAlignment="1">
      <alignment horizontal="left" indent="10"/>
    </xf>
    <xf numFmtId="0" fontId="0" fillId="4" borderId="0" xfId="0" applyFill="1"/>
    <xf numFmtId="0" fontId="1" fillId="4" borderId="0" xfId="0" applyFont="1" applyFill="1"/>
    <xf numFmtId="0" fontId="0" fillId="2" borderId="0" xfId="0" applyFill="1" applyAlignment="1">
      <alignment wrapText="1"/>
    </xf>
    <xf numFmtId="0" fontId="0" fillId="5" borderId="0" xfId="0" applyFill="1"/>
    <xf numFmtId="0" fontId="3" fillId="4" borderId="0" xfId="0" applyFont="1" applyFill="1" applyAlignment="1">
      <alignment horizontal="center"/>
    </xf>
    <xf numFmtId="0" fontId="3" fillId="2" borderId="0" xfId="0" applyFont="1" applyFill="1" applyAlignment="1">
      <alignment horizontal="center"/>
    </xf>
    <xf numFmtId="0" fontId="3" fillId="4" borderId="0" xfId="0" applyFont="1" applyFill="1" applyAlignment="1">
      <alignment horizontal="left" indent="1"/>
    </xf>
    <xf numFmtId="0" fontId="1" fillId="4" borderId="0" xfId="0" applyFont="1" applyFill="1" applyAlignment="1">
      <alignment horizontal="left" indent="1"/>
    </xf>
    <xf numFmtId="0" fontId="3" fillId="6" borderId="0" xfId="0" applyFont="1" applyFill="1" applyAlignment="1">
      <alignment horizontal="center"/>
    </xf>
    <xf numFmtId="0" fontId="0" fillId="6" borderId="0" xfId="0" applyFill="1"/>
    <xf numFmtId="0" fontId="0" fillId="6" borderId="0" xfId="0" applyFill="1" applyAlignment="1">
      <alignment horizontal="left" indent="1"/>
    </xf>
    <xf numFmtId="0" fontId="1" fillId="6" borderId="0" xfId="0" applyFont="1" applyFill="1" applyAlignment="1">
      <alignment horizontal="left" indent="5"/>
    </xf>
    <xf numFmtId="0" fontId="3" fillId="7" borderId="0" xfId="0" applyFont="1" applyFill="1" applyAlignment="1">
      <alignment horizontal="left" indent="1"/>
    </xf>
    <xf numFmtId="0" fontId="1" fillId="7" borderId="0" xfId="0" applyFont="1" applyFill="1" applyAlignment="1">
      <alignment horizontal="left" indent="1"/>
    </xf>
    <xf numFmtId="0" fontId="3" fillId="7" borderId="0" xfId="0" applyFont="1" applyFill="1" applyAlignment="1">
      <alignment horizontal="center"/>
    </xf>
    <xf numFmtId="0" fontId="1" fillId="7" borderId="0" xfId="0" applyFont="1" applyFill="1" applyAlignment="1">
      <alignment horizontal="left" indent="8"/>
    </xf>
    <xf numFmtId="0" fontId="1" fillId="9" borderId="4" xfId="0" applyFont="1" applyFill="1" applyBorder="1" applyAlignment="1">
      <alignment horizontal="center"/>
    </xf>
    <xf numFmtId="0" fontId="0" fillId="9" borderId="1" xfId="0" applyFill="1" applyBorder="1"/>
    <xf numFmtId="0" fontId="0" fillId="8" borderId="8" xfId="0" applyFill="1" applyBorder="1"/>
    <xf numFmtId="0" fontId="0" fillId="8" borderId="9" xfId="0" applyFill="1" applyBorder="1"/>
    <xf numFmtId="0" fontId="2" fillId="2" borderId="12" xfId="0" applyFont="1" applyFill="1" applyBorder="1" applyAlignment="1">
      <alignment horizontal="center"/>
    </xf>
    <xf numFmtId="0" fontId="0" fillId="2" borderId="6" xfId="0" applyFill="1" applyBorder="1"/>
    <xf numFmtId="0" fontId="6" fillId="10" borderId="1" xfId="0" applyFont="1" applyFill="1" applyBorder="1" applyAlignment="1">
      <alignment horizontal="center"/>
    </xf>
    <xf numFmtId="0" fontId="7" fillId="10" borderId="10" xfId="0" applyFont="1" applyFill="1" applyBorder="1"/>
    <xf numFmtId="0" fontId="7" fillId="10" borderId="11" xfId="0" applyFont="1" applyFill="1" applyBorder="1"/>
    <xf numFmtId="0" fontId="2" fillId="11" borderId="0" xfId="0" applyFont="1" applyFill="1" applyAlignment="1">
      <alignment horizontal="center"/>
    </xf>
    <xf numFmtId="0" fontId="0" fillId="11" borderId="0" xfId="0" applyFill="1" applyAlignment="1">
      <alignment horizontal="center"/>
    </xf>
    <xf numFmtId="0" fontId="0" fillId="11" borderId="0" xfId="0" applyFill="1"/>
    <xf numFmtId="0" fontId="0" fillId="0" borderId="1" xfId="0" applyBorder="1" applyAlignment="1">
      <alignment vertical="center" wrapText="1"/>
    </xf>
    <xf numFmtId="0" fontId="0" fillId="2" borderId="12" xfId="0" applyFill="1" applyBorder="1" applyAlignment="1">
      <alignment vertical="center" wrapText="1"/>
    </xf>
    <xf numFmtId="0" fontId="0" fillId="10" borderId="2" xfId="0" applyFill="1" applyBorder="1" applyAlignment="1">
      <alignment horizontal="left"/>
    </xf>
    <xf numFmtId="0" fontId="0" fillId="10" borderId="2" xfId="0" applyFill="1" applyBorder="1"/>
    <xf numFmtId="0" fontId="0" fillId="10" borderId="4" xfId="0" applyFill="1" applyBorder="1" applyAlignment="1">
      <alignment horizontal="left"/>
    </xf>
    <xf numFmtId="0" fontId="8" fillId="10" borderId="13" xfId="1" quotePrefix="1" applyFont="1" applyFill="1" applyBorder="1" applyAlignment="1">
      <alignment horizontal="center"/>
    </xf>
    <xf numFmtId="0" fontId="0" fillId="0" borderId="10" xfId="0" applyBorder="1" applyAlignment="1">
      <alignment vertical="center" wrapText="1"/>
    </xf>
    <xf numFmtId="0" fontId="0" fillId="4" borderId="2" xfId="0" applyFill="1" applyBorder="1"/>
    <xf numFmtId="0" fontId="0" fillId="4" borderId="13" xfId="0" applyFill="1" applyBorder="1"/>
    <xf numFmtId="0" fontId="7" fillId="3" borderId="2" xfId="0" applyFont="1" applyFill="1" applyBorder="1"/>
    <xf numFmtId="0" fontId="7" fillId="3" borderId="13" xfId="0" applyFont="1" applyFill="1" applyBorder="1"/>
    <xf numFmtId="0" fontId="1" fillId="4" borderId="4" xfId="0" applyFont="1" applyFill="1" applyBorder="1"/>
    <xf numFmtId="0" fontId="6" fillId="3" borderId="4" xfId="0" applyFont="1" applyFill="1" applyBorder="1"/>
    <xf numFmtId="0" fontId="0" fillId="0" borderId="2" xfId="0" applyBorder="1" applyAlignment="1">
      <alignment vertical="center" wrapText="1"/>
    </xf>
    <xf numFmtId="0" fontId="8" fillId="12" borderId="3" xfId="1" quotePrefix="1" applyFont="1" applyFill="1" applyBorder="1" applyAlignment="1">
      <alignment horizontal="center" vertical="center"/>
    </xf>
    <xf numFmtId="0" fontId="0" fillId="11" borderId="9" xfId="0" applyFill="1" applyBorder="1"/>
    <xf numFmtId="0" fontId="2" fillId="2" borderId="0" xfId="0" applyFont="1" applyFill="1" applyAlignment="1">
      <alignment horizontal="center" vertical="center"/>
    </xf>
    <xf numFmtId="0" fontId="9" fillId="2" borderId="0" xfId="0" applyFont="1" applyFill="1"/>
    <xf numFmtId="0" fontId="6" fillId="13" borderId="1" xfId="0" applyFont="1" applyFill="1" applyBorder="1" applyAlignment="1">
      <alignment horizontal="center" vertical="center"/>
    </xf>
    <xf numFmtId="0" fontId="8" fillId="14" borderId="1" xfId="1" quotePrefix="1" applyFont="1" applyFill="1" applyBorder="1" applyAlignment="1">
      <alignment horizontal="center" vertical="center"/>
    </xf>
    <xf numFmtId="164" fontId="0" fillId="3" borderId="6" xfId="0" applyNumberFormat="1" applyFill="1" applyBorder="1"/>
    <xf numFmtId="164" fontId="0" fillId="2" borderId="11" xfId="0" applyNumberFormat="1" applyFill="1" applyBorder="1"/>
    <xf numFmtId="0" fontId="7" fillId="2" borderId="0" xfId="0" applyFont="1" applyFill="1"/>
    <xf numFmtId="0" fontId="2" fillId="9" borderId="1" xfId="0" applyFont="1" applyFill="1" applyBorder="1" applyAlignment="1">
      <alignment horizontal="center" vertical="center"/>
    </xf>
    <xf numFmtId="0" fontId="0" fillId="2" borderId="10" xfId="0" applyFill="1" applyBorder="1" applyAlignment="1">
      <alignment horizontal="center"/>
    </xf>
    <xf numFmtId="0" fontId="0" fillId="2" borderId="11" xfId="0" applyFill="1" applyBorder="1" applyAlignment="1">
      <alignment horizontal="center"/>
    </xf>
    <xf numFmtId="0" fontId="4" fillId="3" borderId="11" xfId="0" applyFont="1" applyFill="1" applyBorder="1" applyAlignment="1">
      <alignment horizontal="center"/>
    </xf>
    <xf numFmtId="14" fontId="7" fillId="2" borderId="10" xfId="0" applyNumberFormat="1" applyFont="1" applyFill="1" applyBorder="1" applyAlignment="1">
      <alignment horizontal="center" vertical="center"/>
    </xf>
    <xf numFmtId="0" fontId="7" fillId="2" borderId="1" xfId="0" applyFont="1" applyFill="1" applyBorder="1" applyAlignment="1">
      <alignment horizontal="center"/>
    </xf>
    <xf numFmtId="0" fontId="2" fillId="15" borderId="2" xfId="0" applyFont="1" applyFill="1" applyBorder="1" applyAlignment="1">
      <alignment horizontal="center"/>
    </xf>
    <xf numFmtId="0" fontId="2" fillId="16" borderId="2" xfId="0" applyFont="1" applyFill="1" applyBorder="1" applyAlignment="1">
      <alignment horizontal="center"/>
    </xf>
    <xf numFmtId="0" fontId="2" fillId="4" borderId="2" xfId="0" applyFont="1" applyFill="1" applyBorder="1" applyAlignment="1">
      <alignment horizontal="left"/>
    </xf>
    <xf numFmtId="0" fontId="3" fillId="2" borderId="0" xfId="0" applyFont="1" applyFill="1"/>
    <xf numFmtId="0" fontId="1" fillId="4" borderId="2" xfId="0" applyFont="1" applyFill="1" applyBorder="1" applyAlignment="1">
      <alignment horizontal="center"/>
    </xf>
    <xf numFmtId="14" fontId="0" fillId="2" borderId="1" xfId="0" applyNumberFormat="1" applyFill="1" applyBorder="1"/>
    <xf numFmtId="0" fontId="7" fillId="0" borderId="0" xfId="0" applyFont="1"/>
    <xf numFmtId="0" fontId="2" fillId="8" borderId="9" xfId="0" applyFont="1" applyFill="1" applyBorder="1" applyAlignment="1">
      <alignment horizontal="center" vertical="center"/>
    </xf>
    <xf numFmtId="164" fontId="0" fillId="2" borderId="0" xfId="0" applyNumberFormat="1" applyFill="1"/>
    <xf numFmtId="0" fontId="0" fillId="2" borderId="15" xfId="0" applyFill="1" applyBorder="1"/>
    <xf numFmtId="0" fontId="0" fillId="2" borderId="14" xfId="0" applyFill="1" applyBorder="1"/>
    <xf numFmtId="0" fontId="7" fillId="10" borderId="12" xfId="0" applyFont="1" applyFill="1" applyBorder="1"/>
    <xf numFmtId="164" fontId="0" fillId="3" borderId="7" xfId="0" applyNumberFormat="1" applyFill="1" applyBorder="1"/>
    <xf numFmtId="0" fontId="5" fillId="12" borderId="3" xfId="1" quotePrefix="1" applyFill="1" applyBorder="1" applyAlignment="1">
      <alignment horizontal="center" vertical="center"/>
    </xf>
    <xf numFmtId="0" fontId="8" fillId="10" borderId="11" xfId="1" quotePrefix="1" applyFont="1" applyFill="1" applyBorder="1" applyAlignment="1">
      <alignment horizontal="center" vertical="center"/>
    </xf>
    <xf numFmtId="0" fontId="6" fillId="10" borderId="11" xfId="0" applyFont="1" applyFill="1" applyBorder="1" applyAlignment="1">
      <alignment horizontal="center" vertical="center"/>
    </xf>
    <xf numFmtId="0" fontId="7" fillId="12" borderId="3" xfId="1" quotePrefix="1" applyFont="1" applyFill="1" applyBorder="1" applyAlignment="1">
      <alignment horizontal="center" vertical="center"/>
    </xf>
    <xf numFmtId="0" fontId="4" fillId="5" borderId="0" xfId="0" applyFont="1" applyFill="1" applyAlignment="1">
      <alignment horizontal="center"/>
    </xf>
    <xf numFmtId="0" fontId="2" fillId="17" borderId="0" xfId="0" applyFont="1" applyFill="1" applyAlignment="1">
      <alignment horizontal="center"/>
    </xf>
    <xf numFmtId="0" fontId="2" fillId="18" borderId="0" xfId="0" applyFont="1" applyFill="1" applyAlignment="1">
      <alignment horizontal="center"/>
    </xf>
    <xf numFmtId="0" fontId="2" fillId="19" borderId="0" xfId="0" applyFont="1" applyFill="1" applyAlignment="1">
      <alignment horizontal="center"/>
    </xf>
    <xf numFmtId="0" fontId="2" fillId="16" borderId="0" xfId="0" applyFont="1" applyFill="1" applyAlignment="1">
      <alignment horizontal="center"/>
    </xf>
    <xf numFmtId="0" fontId="2" fillId="20" borderId="0" xfId="0" applyFont="1" applyFill="1" applyAlignment="1">
      <alignment horizontal="center"/>
    </xf>
    <xf numFmtId="0" fontId="2" fillId="21" borderId="0" xfId="0" applyFont="1" applyFill="1" applyAlignment="1">
      <alignment horizontal="center"/>
    </xf>
    <xf numFmtId="0" fontId="2" fillId="15" borderId="0" xfId="0" applyFont="1" applyFill="1" applyAlignment="1">
      <alignment horizontal="center"/>
    </xf>
    <xf numFmtId="0" fontId="2" fillId="22" borderId="0" xfId="0" applyFont="1" applyFill="1" applyAlignment="1">
      <alignment horizontal="center"/>
    </xf>
    <xf numFmtId="0" fontId="2" fillId="23" borderId="0" xfId="0" applyFont="1" applyFill="1" applyAlignment="1">
      <alignment horizontal="center"/>
    </xf>
    <xf numFmtId="0" fontId="3" fillId="0" borderId="0" xfId="0" applyFont="1"/>
    <xf numFmtId="0" fontId="3" fillId="2" borderId="6" xfId="0" applyFont="1" applyFill="1" applyBorder="1"/>
    <xf numFmtId="0" fontId="11" fillId="2" borderId="6" xfId="1" quotePrefix="1" applyFont="1" applyFill="1" applyBorder="1" applyAlignment="1">
      <alignment horizontal="center"/>
    </xf>
  </cellXfs>
  <cellStyles count="2">
    <cellStyle name="Lien hypertexte" xfId="1" builtinId="8"/>
    <cellStyle name="Normal" xfId="0" builtinId="0"/>
  </cellStyles>
  <dxfs count="0"/>
  <tableStyles count="0" defaultTableStyle="TableStyleMedium2" defaultPivotStyle="PivotStyleLight16"/>
  <colors>
    <mruColors>
      <color rgb="FF57D59F"/>
      <color rgb="FF90F0B5"/>
      <color rgb="FF58DE4E"/>
      <color rgb="FFADDB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checked="Checked" fmlaLink="$G$7" lockText="1" noThreeD="1"/>
</file>

<file path=xl/ctrlProps/ctrlProp2.xml><?xml version="1.0" encoding="utf-8"?>
<formControlPr xmlns="http://schemas.microsoft.com/office/spreadsheetml/2009/9/main" objectType="CheckBox" checked="Checked" fmlaLink="$G$8" lockText="1" noThreeD="1"/>
</file>

<file path=xl/ctrlProps/ctrlProp3.xml><?xml version="1.0" encoding="utf-8"?>
<formControlPr xmlns="http://schemas.microsoft.com/office/spreadsheetml/2009/9/main" objectType="CheckBox" checked="Checked" fmlaLink="$G$9" lockText="1" noThreeD="1"/>
</file>

<file path=xl/ctrlProps/ctrlProp4.xml><?xml version="1.0" encoding="utf-8"?>
<formControlPr xmlns="http://schemas.microsoft.com/office/spreadsheetml/2009/9/main" objectType="CheckBox" checked="Checked" fmlaLink="$G$10" lockText="1" noThreeD="1"/>
</file>

<file path=xl/ctrlProps/ctrlProp5.xml><?xml version="1.0" encoding="utf-8"?>
<formControlPr xmlns="http://schemas.microsoft.com/office/spreadsheetml/2009/9/main" objectType="CheckBox" checked="Checked" fmlaLink="$G$11" lockText="1" noThreeD="1"/>
</file>

<file path=xl/ctrlProps/ctrlProp6.xml><?xml version="1.0" encoding="utf-8"?>
<formControlPr xmlns="http://schemas.microsoft.com/office/spreadsheetml/2009/9/main" objectType="CheckBox" checked="Checked" fmlaLink="$G$13" lockText="1" noThreeD="1"/>
</file>

<file path=xl/ctrlProps/ctrlProp7.xml><?xml version="1.0" encoding="utf-8"?>
<formControlPr xmlns="http://schemas.microsoft.com/office/spreadsheetml/2009/9/main" objectType="CheckBox" checked="Checked" fmlaLink="$G$14" lockText="1" noThreeD="1"/>
</file>

<file path=xl/ctrlProps/ctrlProp8.xml><?xml version="1.0" encoding="utf-8"?>
<formControlPr xmlns="http://schemas.microsoft.com/office/spreadsheetml/2009/9/main" objectType="CheckBox" checked="Checked" fmlaLink="$G$15"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fmlaLink="$G$17" lockText="1" noThreeD="1"/>
</file>

<file path=xl/ctrlProps/ctrlProp11.xml><?xml version="1.0" encoding="utf-8"?>
<formControlPr xmlns="http://schemas.microsoft.com/office/spreadsheetml/2009/9/main" objectType="CheckBox" checked="Checked" fmlaLink="$G$18" lockText="1" noThreeD="1"/>
</file>

<file path=xl/ctrlProps/ctrlProp12.xml><?xml version="1.0" encoding="utf-8"?>
<formControlPr xmlns="http://schemas.microsoft.com/office/spreadsheetml/2009/9/main" objectType="CheckBox" checked="Checked" fmlaLink="$G$19" lockText="1" noThreeD="1"/>
</file>

<file path=xl/ctrlProps/ctrlProp13.xml><?xml version="1.0" encoding="utf-8"?>
<formControlPr xmlns="http://schemas.microsoft.com/office/spreadsheetml/2009/9/main" objectType="CheckBox" checked="Checked" fmlaLink="$G$20"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fmlaLink="$G$22" lockText="1" noThreeD="1"/>
</file>

<file path=xl/ctrlProps/ctrlProp16.xml><?xml version="1.0" encoding="utf-8"?>
<formControlPr xmlns="http://schemas.microsoft.com/office/spreadsheetml/2009/9/main" objectType="CheckBox" checked="Checked" fmlaLink="$G$23" lockText="1" noThreeD="1"/>
</file>

<file path=xl/ctrlProps/ctrlProp17.xml><?xml version="1.0" encoding="utf-8"?>
<formControlPr xmlns="http://schemas.microsoft.com/office/spreadsheetml/2009/9/main" objectType="CheckBox" checked="Checked" fmlaLink="$G$24"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fmlaLink="$G$26" lockText="1" noThreeD="1"/>
</file>

<file path=xl/ctrlProps/ctrlProp20.xml><?xml version="1.0" encoding="utf-8"?>
<formControlPr xmlns="http://schemas.microsoft.com/office/spreadsheetml/2009/9/main" objectType="CheckBox" checked="Checked" fmlaLink="$G$27" lockText="1" noThreeD="1"/>
</file>

<file path=xl/ctrlProps/ctrlProp21.xml><?xml version="1.0" encoding="utf-8"?>
<formControlPr xmlns="http://schemas.microsoft.com/office/spreadsheetml/2009/9/main" objectType="CheckBox" checked="Checked" fmlaLink="$G$28"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checked="Checked" fmlaLink="$G$30" lockText="1" noThreeD="1"/>
</file>

<file path=xl/ctrlProps/ctrlProp24.xml><?xml version="1.0" encoding="utf-8"?>
<formControlPr xmlns="http://schemas.microsoft.com/office/spreadsheetml/2009/9/main" objectType="CheckBox" checked="Checked" fmlaLink="$G$31" lockText="1" noThreeD="1"/>
</file>

<file path=xl/ctrlProps/ctrlProp25.xml><?xml version="1.0" encoding="utf-8"?>
<formControlPr xmlns="http://schemas.microsoft.com/office/spreadsheetml/2009/9/main" objectType="CheckBox" checked="Checked" fmlaLink="$G$32"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fmlaLink="$G$34" lockText="1" noThreeD="1"/>
</file>

<file path=xl/ctrlProps/ctrlProp28.xml><?xml version="1.0" encoding="utf-8"?>
<formControlPr xmlns="http://schemas.microsoft.com/office/spreadsheetml/2009/9/main" objectType="CheckBox" fmlaLink="$G$35" lockText="1" noThreeD="1"/>
</file>

<file path=xl/ctrlProps/ctrlProp29.xml><?xml version="1.0" encoding="utf-8"?>
<formControlPr xmlns="http://schemas.microsoft.com/office/spreadsheetml/2009/9/main" objectType="CheckBox" fmlaLink="$G$36"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fmlaLink="$G$38" lockText="1" noThreeD="1"/>
</file>

<file path=xl/ctrlProps/ctrlProp32.xml><?xml version="1.0" encoding="utf-8"?>
<formControlPr xmlns="http://schemas.microsoft.com/office/spreadsheetml/2009/9/main" objectType="CheckBox" fmlaLink="$G$39" lockText="1" noThreeD="1"/>
</file>

<file path=xl/ctrlProps/ctrlProp33.xml><?xml version="1.0" encoding="utf-8"?>
<formControlPr xmlns="http://schemas.microsoft.com/office/spreadsheetml/2009/9/main" objectType="CheckBox" fmlaLink="$G$40"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fmlaLink="$G$42" lockText="1" noThreeD="1"/>
</file>

<file path=xl/ctrlProps/ctrlProp36.xml><?xml version="1.0" encoding="utf-8"?>
<formControlPr xmlns="http://schemas.microsoft.com/office/spreadsheetml/2009/9/main" objectType="CheckBox" fmlaLink="$G$43"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fmlaLink="$G$45" lockText="1" noThreeD="1"/>
</file>

<file path=xl/ctrlProps/ctrlProp39.xml><?xml version="1.0" encoding="utf-8"?>
<formControlPr xmlns="http://schemas.microsoft.com/office/spreadsheetml/2009/9/main" objectType="CheckBox" fmlaLink="$G$46"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fmlaLink="$G$47" lockText="1" noThreeD="1"/>
</file>

<file path=xl/ctrlProps/ctrlProp42.xml><?xml version="1.0" encoding="utf-8"?>
<formControlPr xmlns="http://schemas.microsoft.com/office/spreadsheetml/2009/9/main" objectType="CheckBox" fmlaLink="$G$48"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fmlaLink="$G$49" lockText="1" noThreeD="1"/>
</file>

<file path=xl/ctrlProps/ctrlProp45.xml><?xml version="1.0" encoding="utf-8"?>
<formControlPr xmlns="http://schemas.microsoft.com/office/spreadsheetml/2009/9/main" objectType="CheckBox" fmlaLink="$G$50"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fmlaLink="$G$52" lockText="1" noThreeD="1"/>
</file>

<file path=xl/ctrlProps/ctrlProp48.xml><?xml version="1.0" encoding="utf-8"?>
<formControlPr xmlns="http://schemas.microsoft.com/office/spreadsheetml/2009/9/main" objectType="CheckBox" fmlaLink="$G$53" lockText="1" noThreeD="1"/>
</file>

<file path=xl/ctrlProps/ctrlProp49.xml><?xml version="1.0" encoding="utf-8"?>
<formControlPr xmlns="http://schemas.microsoft.com/office/spreadsheetml/2009/9/main" objectType="CheckBox" fmlaLink="$G$54"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fmlaLink="$G$57" lockText="1" noThreeD="1"/>
</file>

<file path=xl/ctrlProps/ctrlProp52.xml><?xml version="1.0" encoding="utf-8"?>
<formControlPr xmlns="http://schemas.microsoft.com/office/spreadsheetml/2009/9/main" objectType="CheckBox" fmlaLink="$G$58" lockText="1" noThreeD="1"/>
</file>

<file path=xl/ctrlProps/ctrlProp53.xml><?xml version="1.0" encoding="utf-8"?>
<formControlPr xmlns="http://schemas.microsoft.com/office/spreadsheetml/2009/9/main" objectType="CheckBox" fmlaLink="$G$59"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fmlaLink="$G$60" lockText="1" noThreeD="1"/>
</file>

<file path=xl/ctrlProps/ctrlProp56.xml><?xml version="1.0" encoding="utf-8"?>
<formControlPr xmlns="http://schemas.microsoft.com/office/spreadsheetml/2009/9/main" objectType="CheckBox" fmlaLink="$G$61"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fmlaLink="$G$63" lockText="1" noThreeD="1"/>
</file>

<file path=xl/ctrlProps/ctrlProp59.xml><?xml version="1.0" encoding="utf-8"?>
<formControlPr xmlns="http://schemas.microsoft.com/office/spreadsheetml/2009/9/main" objectType="CheckBox" fmlaLink="$G$64" lockText="1" noThreeD="1"/>
</file>

<file path=xl/ctrlProps/ctrlProp60.xml><?xml version="1.0" encoding="utf-8"?>
<formControlPr xmlns="http://schemas.microsoft.com/office/spreadsheetml/2009/9/main" objectType="CheckBox" fmlaLink="$G$65"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fmlaLink="$G$67" lockText="1" noThreeD="1"/>
</file>

<file path=xl/ctrlProps/ctrlProp63.xml><?xml version="1.0" encoding="utf-8"?>
<formControlPr xmlns="http://schemas.microsoft.com/office/spreadsheetml/2009/9/main" objectType="CheckBox" fmlaLink="$G$68" lockText="1" noThreeD="1"/>
</file>

<file path=xl/ctrlProps/ctrlProp64.xml><?xml version="1.0" encoding="utf-8"?>
<formControlPr xmlns="http://schemas.microsoft.com/office/spreadsheetml/2009/9/main" objectType="CheckBox" fmlaLink="$G$69" lockText="1" noThreeD="1"/>
</file>

<file path=xl/ctrlProps/ctrlProp65.xml><?xml version="1.0" encoding="utf-8"?>
<formControlPr xmlns="http://schemas.microsoft.com/office/spreadsheetml/2009/9/main" objectType="CheckBox" fmlaLink="$G$70"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fmlaLink="$G$72" lockText="1" noThreeD="1"/>
</file>

<file path=xl/ctrlProps/ctrlProp68.xml><?xml version="1.0" encoding="utf-8"?>
<formControlPr xmlns="http://schemas.microsoft.com/office/spreadsheetml/2009/9/main" objectType="CheckBox" fmlaLink="$G$73" lockText="1" noThreeD="1"/>
</file>

<file path=xl/ctrlProps/ctrlProp69.xml><?xml version="1.0" encoding="utf-8"?>
<formControlPr xmlns="http://schemas.microsoft.com/office/spreadsheetml/2009/9/main" objectType="CheckBox" fmlaLink="$G$74" lockText="1" noThreeD="1"/>
</file>

<file path=xl/ctrlProps/ctrlProp70.xml><?xml version="1.0" encoding="utf-8"?>
<formControlPr xmlns="http://schemas.microsoft.com/office/spreadsheetml/2009/9/main" objectType="CheckBox" fmlaLink="$G$75"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fmlaLink="$G$77" lockText="1" noThreeD="1"/>
</file>

<file path=xl/ctrlProps/ctrlProp73.xml><?xml version="1.0" encoding="utf-8"?>
<formControlPr xmlns="http://schemas.microsoft.com/office/spreadsheetml/2009/9/main" objectType="CheckBox" fmlaLink="$G$78" lockText="1" noThreeD="1"/>
</file>

<file path=xl/ctrlProps/ctrlProp74.xml><?xml version="1.0" encoding="utf-8"?>
<formControlPr xmlns="http://schemas.microsoft.com/office/spreadsheetml/2009/9/main" objectType="CheckBox" fmlaLink="$G$79" lockText="1" noThreeD="1"/>
</file>

<file path=xl/ctrlProps/ctrlProp75.xml><?xml version="1.0" encoding="utf-8"?>
<formControlPr xmlns="http://schemas.microsoft.com/office/spreadsheetml/2009/9/main" objectType="CheckBox" fmlaLink="$G$80" lockText="1" noThreeD="1"/>
</file>

<file path=xl/ctrlProps/ctrlProp76.xml><?xml version="1.0" encoding="utf-8"?>
<formControlPr xmlns="http://schemas.microsoft.com/office/spreadsheetml/2009/9/main" objectType="CheckBox" fmlaLink="$G$81" lockText="1" noThreeD="1"/>
</file>

<file path=xl/ctrlProps/ctrlProp77.xml><?xml version="1.0" encoding="utf-8"?>
<formControlPr xmlns="http://schemas.microsoft.com/office/spreadsheetml/2009/9/main" objectType="CheckBox" fmlaLink="$G$82"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fmlaLink="$G$84" lockText="1" noThreeD="1"/>
</file>

<file path=xl/ctrlProps/ctrlProp80.xml><?xml version="1.0" encoding="utf-8"?>
<formControlPr xmlns="http://schemas.microsoft.com/office/spreadsheetml/2009/9/main" objectType="CheckBox" fmlaLink="$G$85" lockText="1" noThreeD="1"/>
</file>

<file path=xl/ctrlProps/ctrlProp81.xml><?xml version="1.0" encoding="utf-8"?>
<formControlPr xmlns="http://schemas.microsoft.com/office/spreadsheetml/2009/9/main" objectType="CheckBox" fmlaLink="$G$86"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fmlaLink="$G$88" lockText="1" noThreeD="1"/>
</file>

<file path=xl/ctrlProps/ctrlProp84.xml><?xml version="1.0" encoding="utf-8"?>
<formControlPr xmlns="http://schemas.microsoft.com/office/spreadsheetml/2009/9/main" objectType="CheckBox" fmlaLink="$G$89" lockText="1" noThreeD="1"/>
</file>

<file path=xl/ctrlProps/ctrlProp85.xml><?xml version="1.0" encoding="utf-8"?>
<formControlPr xmlns="http://schemas.microsoft.com/office/spreadsheetml/2009/9/main" objectType="CheckBox" fmlaLink="$G$90"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fmlaLink="$G$92" lockText="1" noThreeD="1"/>
</file>

<file path=xl/ctrlProps/ctrlProp88.xml><?xml version="1.0" encoding="utf-8"?>
<formControlPr xmlns="http://schemas.microsoft.com/office/spreadsheetml/2009/9/main" objectType="CheckBox" fmlaLink="$G$93"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fmlaLink="$G$98" lockText="1" noThreeD="1"/>
</file>

<file path=xl/ctrlProps/ctrlProp91.xml><?xml version="1.0" encoding="utf-8"?>
<formControlPr xmlns="http://schemas.microsoft.com/office/spreadsheetml/2009/9/main" objectType="CheckBox" fmlaLink="$G$99"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fmlaLink="$G$100" lockText="1" noThreeD="1"/>
</file>

<file path=xl/ctrlProps/ctrlProp94.xml><?xml version="1.0" encoding="utf-8"?>
<formControlPr xmlns="http://schemas.microsoft.com/office/spreadsheetml/2009/9/main" objectType="CheckBox" fmlaLink="$G$101"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fmlaLink="$G$102" lockText="1" noThreeD="1"/>
</file>

<file path=xl/ctrlProps/ctrlProp97.xml><?xml version="1.0" encoding="utf-8"?>
<formControlPr xmlns="http://schemas.microsoft.com/office/spreadsheetml/2009/9/main" objectType="CheckBox" fmlaLink="$G$103" lockText="1" noThreeD="1"/>
</file>

<file path=xl/ctrlProps/ctrlProp98.xml><?xml version="1.0" encoding="utf-8"?>
<formControlPr xmlns="http://schemas.microsoft.com/office/spreadsheetml/2009/9/main" objectType="CheckBox" fmlaLink="$G$104"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fmlaLink="$G$106" lockText="1" noThreeD="1"/>
</file>

<file path=xl/ctrlProps/ctrlProp101.xml><?xml version="1.0" encoding="utf-8"?>
<formControlPr xmlns="http://schemas.microsoft.com/office/spreadsheetml/2009/9/main" objectType="CheckBox" fmlaLink="$G$107"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fmlaLink="$G$108" lockText="1" noThreeD="1"/>
</file>

<file path=xl/ctrlProps/ctrlProp104.xml><?xml version="1.0" encoding="utf-8"?>
<formControlPr xmlns="http://schemas.microsoft.com/office/spreadsheetml/2009/9/main" objectType="CheckBox" fmlaLink="$G$109"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fmlaLink="$G$110" lockText="1" noThreeD="1"/>
</file>

<file path=xl/ctrlProps/ctrlProp107.xml><?xml version="1.0" encoding="utf-8"?>
<formControlPr xmlns="http://schemas.microsoft.com/office/spreadsheetml/2009/9/main" objectType="CheckBox" fmlaLink="$G$111" lockText="1" noThreeD="1"/>
</file>

<file path=xl/ctrlProps/ctrlProp108.xml><?xml version="1.0" encoding="utf-8"?>
<formControlPr xmlns="http://schemas.microsoft.com/office/spreadsheetml/2009/9/main" objectType="CheckBox" fmlaLink="$G$112" lockText="1" noThreeD="1"/>
</file>

<file path=xl/ctrlProps/ctrlProp109.xml><?xml version="1.0" encoding="utf-8"?>
<formControlPr xmlns="http://schemas.microsoft.com/office/spreadsheetml/2009/9/main" objectType="CheckBox" fmlaLink="$G$113" lockText="1" noThreeD="1"/>
</file>

<file path=xl/ctrlProps/ctrlProp110.xml><?xml version="1.0" encoding="utf-8"?>
<formControlPr xmlns="http://schemas.microsoft.com/office/spreadsheetml/2009/9/main" objectType="CheckBox" fmlaLink="$G$114"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fmlaLink="$G$117" lockText="1" noThreeD="1"/>
</file>

<file path=xl/ctrlProps/ctrlProp113.xml><?xml version="1.0" encoding="utf-8"?>
<formControlPr xmlns="http://schemas.microsoft.com/office/spreadsheetml/2009/9/main" objectType="CheckBox" fmlaLink="$G$118"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fmlaLink="$G$119"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fmlaLink="$G$121" lockText="1" noThreeD="1"/>
</file>

<file path=xl/ctrlProps/ctrlProp118.xml><?xml version="1.0" encoding="utf-8"?>
<formControlPr xmlns="http://schemas.microsoft.com/office/spreadsheetml/2009/9/main" objectType="CheckBox" fmlaLink="$G$122"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fmlaLink="$G$123"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fmlaLink="$G$125" lockText="1" noThreeD="1"/>
</file>

<file path=xl/ctrlProps/ctrlProp123.xml><?xml version="1.0" encoding="utf-8"?>
<formControlPr xmlns="http://schemas.microsoft.com/office/spreadsheetml/2009/9/main" objectType="CheckBox" fmlaLink="$G$126"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fmlaLink="$G$127"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fmlaLink="$G$129" lockText="1" noThreeD="1"/>
</file>

<file path=xl/ctrlProps/ctrlProp128.xml><?xml version="1.0" encoding="utf-8"?>
<formControlPr xmlns="http://schemas.microsoft.com/office/spreadsheetml/2009/9/main" objectType="CheckBox" fmlaLink="$G$130"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fmlaLink="$G$131"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fmlaLink="$G$133" lockText="1" noThreeD="1"/>
</file>

<file path=xl/ctrlProps/ctrlProp133.xml><?xml version="1.0" encoding="utf-8"?>
<formControlPr xmlns="http://schemas.microsoft.com/office/spreadsheetml/2009/9/main" objectType="CheckBox" fmlaLink="$G$134"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fmlaLink="$G$135"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fmlaLink="$G$136"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fmlaLink="$G$138" lockText="1" noThreeD="1"/>
</file>

<file path=xl/ctrlProps/ctrlProp140.xml><?xml version="1.0" encoding="utf-8"?>
<formControlPr xmlns="http://schemas.microsoft.com/office/spreadsheetml/2009/9/main" objectType="CheckBox" fmlaLink="$G$139"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fmlaLink="$G$140"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fmlaLink="$G$141"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fmlaLink="$G$143" lockText="1" noThreeD="1"/>
</file>

<file path=xl/ctrlProps/ctrlProp147.xml><?xml version="1.0" encoding="utf-8"?>
<formControlPr xmlns="http://schemas.microsoft.com/office/spreadsheetml/2009/9/main" objectType="CheckBox" fmlaLink="$G$144"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fmlaLink="$G$147" lockText="1" noThreeD="1"/>
</file>

<file path=xl/ctrlProps/ctrlProp150.xml><?xml version="1.0" encoding="utf-8"?>
<formControlPr xmlns="http://schemas.microsoft.com/office/spreadsheetml/2009/9/main" objectType="CheckBox" fmlaLink="$G$148"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fmlaLink="$G$149" lockText="1" noThreeD="1"/>
</file>

<file path=xl/ctrlProps/ctrlProp153.xml><?xml version="1.0" encoding="utf-8"?>
<formControlPr xmlns="http://schemas.microsoft.com/office/spreadsheetml/2009/9/main" objectType="CheckBox" fmlaLink="$G$150"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fmlaLink="$G$151"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fmlaLink="$G$153" lockText="1" noThreeD="1"/>
</file>

<file path=xl/ctrlProps/ctrlProp158.xml><?xml version="1.0" encoding="utf-8"?>
<formControlPr xmlns="http://schemas.microsoft.com/office/spreadsheetml/2009/9/main" objectType="CheckBox" fmlaLink="$G$154"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fmlaLink="$G$155" lockText="1" noThreeD="1"/>
</file>

<file path=xl/ctrlProps/ctrlProp161.xml><?xml version="1.0" encoding="utf-8"?>
<formControlPr xmlns="http://schemas.microsoft.com/office/spreadsheetml/2009/9/main" objectType="CheckBox" fmlaLink="$G$156"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fmlaLink="$G$157"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fmlaLink="$G$159" lockText="1" noThreeD="1"/>
</file>

<file path=xl/ctrlProps/ctrlProp166.xml><?xml version="1.0" encoding="utf-8"?>
<formControlPr xmlns="http://schemas.microsoft.com/office/spreadsheetml/2009/9/main" objectType="CheckBox" fmlaLink="$G$160"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fmlaLink="$G$161" lockText="1" noThreeD="1"/>
</file>

<file path=xl/ctrlProps/ctrlProp169.xml><?xml version="1.0" encoding="utf-8"?>
<formControlPr xmlns="http://schemas.microsoft.com/office/spreadsheetml/2009/9/main" objectType="CheckBox" fmlaLink="$G$162"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fmlaLink="$G$163"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fmlaLink="$G$165" lockText="1" noThreeD="1"/>
</file>

<file path=xl/ctrlProps/ctrlProp174.xml><?xml version="1.0" encoding="utf-8"?>
<formControlPr xmlns="http://schemas.microsoft.com/office/spreadsheetml/2009/9/main" objectType="CheckBox" fmlaLink="$G$166"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fmlaLink="$G$167" lockText="1" noThreeD="1"/>
</file>

<file path=xl/ctrlProps/ctrlProp177.xml><?xml version="1.0" encoding="utf-8"?>
<formControlPr xmlns="http://schemas.microsoft.com/office/spreadsheetml/2009/9/main" objectType="CheckBox" fmlaLink="$G$168"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fmlaLink="$G$170" lockText="1" noThreeD="1"/>
</file>

<file path=xl/ctrlProps/ctrlProp180.xml><?xml version="1.0" encoding="utf-8"?>
<formControlPr xmlns="http://schemas.microsoft.com/office/spreadsheetml/2009/9/main" objectType="CheckBox" fmlaLink="$G$171"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fmlaLink="$G$173" lockText="1" noThreeD="1"/>
</file>

<file path=xl/ctrlProps/ctrlProp183.xml><?xml version="1.0" encoding="utf-8"?>
<formControlPr xmlns="http://schemas.microsoft.com/office/spreadsheetml/2009/9/main" objectType="CheckBox" fmlaLink="$G$174"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fmlaLink="$G$175"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fmlaLink="$G$177" lockText="1" noThreeD="1"/>
</file>

<file path=xl/ctrlProps/ctrlProp188.xml><?xml version="1.0" encoding="utf-8"?>
<formControlPr xmlns="http://schemas.microsoft.com/office/spreadsheetml/2009/9/main" objectType="CheckBox" fmlaLink="$G$178"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fmlaLink="$G$179"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fmlaLink="$G$181" lockText="1" noThreeD="1"/>
</file>

<file path=xl/ctrlProps/ctrlProp193.xml><?xml version="1.0" encoding="utf-8"?>
<formControlPr xmlns="http://schemas.microsoft.com/office/spreadsheetml/2009/9/main" objectType="CheckBox" fmlaLink="$G$182"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fmlaLink="$G$183"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fmlaLink="$G$188" lockText="1" noThreeD="1"/>
</file>

<file path=xl/ctrlProps/ctrlProp198.xml><?xml version="1.0" encoding="utf-8"?>
<formControlPr xmlns="http://schemas.microsoft.com/office/spreadsheetml/2009/9/main" objectType="CheckBox" fmlaLink="$G$189"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fmlaLink="$G$190" lockText="1" noThreeD="1"/>
</file>

<file path=xl/ctrlProps/ctrlProp201.xml><?xml version="1.0" encoding="utf-8"?>
<formControlPr xmlns="http://schemas.microsoft.com/office/spreadsheetml/2009/9/main" objectType="CheckBox" fmlaLink="$G$191"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fmlaLink="$G$193" lockText="1" noThreeD="1"/>
</file>

<file path=xl/ctrlProps/ctrlProp204.xml><?xml version="1.0" encoding="utf-8"?>
<formControlPr xmlns="http://schemas.microsoft.com/office/spreadsheetml/2009/9/main" objectType="CheckBox" fmlaLink="$G$194"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fmlaLink="$G$195" lockText="1" noThreeD="1"/>
</file>

<file path=xl/ctrlProps/ctrlProp207.xml><?xml version="1.0" encoding="utf-8"?>
<formControlPr xmlns="http://schemas.microsoft.com/office/spreadsheetml/2009/9/main" objectType="CheckBox" fmlaLink="$G$196"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fmlaLink="$G$197" lockText="1" noThreeD="1"/>
</file>

<file path=xl/ctrlProps/ctrlProp210.xml><?xml version="1.0" encoding="utf-8"?>
<formControlPr xmlns="http://schemas.microsoft.com/office/spreadsheetml/2009/9/main" objectType="CheckBox" fmlaLink="$G$198"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fmlaLink="$G$199" lockText="1" noThreeD="1"/>
</file>

<file path=xl/ctrlProps/ctrlProp213.xml><?xml version="1.0" encoding="utf-8"?>
<formControlPr xmlns="http://schemas.microsoft.com/office/spreadsheetml/2009/9/main" objectType="CheckBox" fmlaLink="$G$200"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fmlaLink="$G$202" lockText="1" noThreeD="1"/>
</file>

<file path=xl/ctrlProps/ctrlProp216.xml><?xml version="1.0" encoding="utf-8"?>
<formControlPr xmlns="http://schemas.microsoft.com/office/spreadsheetml/2009/9/main" objectType="CheckBox" fmlaLink="$G$203"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fmlaLink="$G$204" lockText="1" noThreeD="1"/>
</file>

<file path=xl/ctrlProps/ctrlProp219.xml><?xml version="1.0" encoding="utf-8"?>
<formControlPr xmlns="http://schemas.microsoft.com/office/spreadsheetml/2009/9/main" objectType="CheckBox" fmlaLink="$G$205" lockText="1" noThreeD="1"/>
</file>

<file path=xl/ctrlProps/ctrlProp220.xml><?xml version="1.0" encoding="utf-8"?>
<formControlPr xmlns="http://schemas.microsoft.com/office/spreadsheetml/2009/9/main" objectType="CheckBox" lockText="1" noThreeD="1"/>
</file>

<file path=xl/ctrlProps/ctrlProp221.xml><?xml version="1.0" encoding="utf-8"?>
<formControlPr xmlns="http://schemas.microsoft.com/office/spreadsheetml/2009/9/main" objectType="CheckBox" fmlaLink="$G$206" lockText="1" noThreeD="1"/>
</file>

<file path=xl/ctrlProps/ctrlProp222.xml><?xml version="1.0" encoding="utf-8"?>
<formControlPr xmlns="http://schemas.microsoft.com/office/spreadsheetml/2009/9/main" objectType="CheckBox" fmlaLink="$G$207"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fmlaLink="$G$209" lockText="1" noThreeD="1"/>
</file>

<file path=xl/ctrlProps/ctrlProp225.xml><?xml version="1.0" encoding="utf-8"?>
<formControlPr xmlns="http://schemas.microsoft.com/office/spreadsheetml/2009/9/main" objectType="CheckBox" fmlaLink="$G$210"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fmlaLink="$G$211" lockText="1" noThreeD="1"/>
</file>

<file path=xl/ctrlProps/ctrlProp228.xml><?xml version="1.0" encoding="utf-8"?>
<formControlPr xmlns="http://schemas.microsoft.com/office/spreadsheetml/2009/9/main" objectType="CheckBox" fmlaLink="$G$212"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fmlaLink="$G$213"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fmlaLink="$G$216" lockText="1" noThreeD="1"/>
</file>

<file path=xl/ctrlProps/ctrlProp233.xml><?xml version="1.0" encoding="utf-8"?>
<formControlPr xmlns="http://schemas.microsoft.com/office/spreadsheetml/2009/9/main" objectType="CheckBox" fmlaLink="$G$217"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fmlaLink="$G$218" lockText="1" noThreeD="1"/>
</file>

<file path=xl/ctrlProps/ctrlProp236.xml><?xml version="1.0" encoding="utf-8"?>
<formControlPr xmlns="http://schemas.microsoft.com/office/spreadsheetml/2009/9/main" objectType="CheckBox" fmlaLink="$G$219"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fmlaLink="$G$220" lockText="1" noThreeD="1"/>
</file>

<file path=xl/ctrlProps/ctrlProp239.xml><?xml version="1.0" encoding="utf-8"?>
<formControlPr xmlns="http://schemas.microsoft.com/office/spreadsheetml/2009/9/main" objectType="CheckBox" fmlaLink="$G$221"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fmlaLink="$G$222" lockText="1" noThreeD="1"/>
</file>

<file path=xl/ctrlProps/ctrlProp242.xml><?xml version="1.0" encoding="utf-8"?>
<formControlPr xmlns="http://schemas.microsoft.com/office/spreadsheetml/2009/9/main" objectType="CheckBox" fmlaLink="$G$223"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fmlaLink="$G$224" lockText="1" noThreeD="1"/>
</file>

<file path=xl/ctrlProps/ctrlProp245.xml><?xml version="1.0" encoding="utf-8"?>
<formControlPr xmlns="http://schemas.microsoft.com/office/spreadsheetml/2009/9/main" objectType="CheckBox" fmlaLink="$G$225"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fmlaLink="$G$226" lockText="1" noThreeD="1"/>
</file>

<file path=xl/ctrlProps/ctrlProp248.xml><?xml version="1.0" encoding="utf-8"?>
<formControlPr xmlns="http://schemas.microsoft.com/office/spreadsheetml/2009/9/main" objectType="CheckBox" fmlaLink="$G$227" lockText="1" noThreeD="1"/>
</file>

<file path=xl/ctrlProps/ctrlProp249.xml><?xml version="1.0" encoding="utf-8"?>
<formControlPr xmlns="http://schemas.microsoft.com/office/spreadsheetml/2009/9/main" objectType="CheckBox" lockText="1" noThreeD="1"/>
</file>

<file path=xl/ctrlProps/ctrlProp250.xml><?xml version="1.0" encoding="utf-8"?>
<formControlPr xmlns="http://schemas.microsoft.com/office/spreadsheetml/2009/9/main" objectType="CheckBox" fmlaLink="$G$229" lockText="1" noThreeD="1"/>
</file>

<file path=xl/ctrlProps/ctrlProp251.xml><?xml version="1.0" encoding="utf-8"?>
<formControlPr xmlns="http://schemas.microsoft.com/office/spreadsheetml/2009/9/main" objectType="CheckBox" fmlaLink="$G$230"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fmlaLink="$G$231" lockText="1" noThreeD="1"/>
</file>

<file path=xl/ctrlProps/ctrlProp254.xml><?xml version="1.0" encoding="utf-8"?>
<formControlPr xmlns="http://schemas.microsoft.com/office/spreadsheetml/2009/9/main" objectType="CheckBox" fmlaLink="$G$232"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fmlaLink="$G$233" lockText="1" noThreeD="1"/>
</file>

<file path=xl/ctrlProps/ctrlProp257.xml><?xml version="1.0" encoding="utf-8"?>
<formControlPr xmlns="http://schemas.microsoft.com/office/spreadsheetml/2009/9/main" objectType="CheckBox" fmlaLink="$G$234"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fmlaLink="$G$235" lockText="1" noThreeD="1"/>
</file>

<file path=xl/ctrlProps/ctrlProp260.xml><?xml version="1.0" encoding="utf-8"?>
<formControlPr xmlns="http://schemas.microsoft.com/office/spreadsheetml/2009/9/main" objectType="CheckBox" fmlaLink="$G$236"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fmlaLink="$G$237" lockText="1" noThreeD="1"/>
</file>

<file path=xl/ctrlProps/ctrlProp263.xml><?xml version="1.0" encoding="utf-8"?>
<formControlPr xmlns="http://schemas.microsoft.com/office/spreadsheetml/2009/9/main" objectType="CheckBox" fmlaLink="$G$238" lockText="1" noThreeD="1"/>
</file>

<file path=xl/ctrlProps/ctrlProp264.xml><?xml version="1.0" encoding="utf-8"?>
<formControlPr xmlns="http://schemas.microsoft.com/office/spreadsheetml/2009/9/main" objectType="CheckBox" lockText="1" noThreeD="1"/>
</file>

<file path=xl/ctrlProps/ctrlProp265.xml><?xml version="1.0" encoding="utf-8"?>
<formControlPr xmlns="http://schemas.microsoft.com/office/spreadsheetml/2009/9/main" objectType="CheckBox" fmlaLink="$G$239"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fmlaLink="$G$241" lockText="1" noThreeD="1"/>
</file>

<file path=xl/ctrlProps/ctrlProp268.xml><?xml version="1.0" encoding="utf-8"?>
<formControlPr xmlns="http://schemas.microsoft.com/office/spreadsheetml/2009/9/main" objectType="CheckBox" fmlaLink="$G$242" lockText="1" noThreeD="1"/>
</file>

<file path=xl/ctrlProps/ctrlProp269.xml><?xml version="1.0" encoding="utf-8"?>
<formControlPr xmlns="http://schemas.microsoft.com/office/spreadsheetml/2009/9/main" objectType="CheckBox" lockText="1" noThreeD="1"/>
</file>

<file path=xl/ctrlProps/ctrlProp270.xml><?xml version="1.0" encoding="utf-8"?>
<formControlPr xmlns="http://schemas.microsoft.com/office/spreadsheetml/2009/9/main" objectType="CheckBox" fmlaLink="$G$243" lockText="1" noThreeD="1"/>
</file>

<file path=xl/ctrlProps/ctrlProp271.xml><?xml version="1.0" encoding="utf-8"?>
<formControlPr xmlns="http://schemas.microsoft.com/office/spreadsheetml/2009/9/main" objectType="CheckBox" fmlaLink="$G$244"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fmlaLink="$G$245" lockText="1" noThreeD="1"/>
</file>

<file path=xl/ctrlProps/ctrlProp274.xml><?xml version="1.0" encoding="utf-8"?>
<formControlPr xmlns="http://schemas.microsoft.com/office/spreadsheetml/2009/9/main" objectType="CheckBox" fmlaLink="$G$246"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fmlaLink="$G$247" lockText="1" noThreeD="1"/>
</file>

<file path=xl/ctrlProps/ctrlProp277.xml><?xml version="1.0" encoding="utf-8"?>
<formControlPr xmlns="http://schemas.microsoft.com/office/spreadsheetml/2009/9/main" objectType="CheckBox" lockText="1" noThreeD="1"/>
</file>

<file path=xl/ctrlProps/ctrlProp278.xml><?xml version="1.0" encoding="utf-8"?>
<formControlPr xmlns="http://schemas.microsoft.com/office/spreadsheetml/2009/9/main" objectType="CheckBox" fmlaLink="$G$249" lockText="1" noThreeD="1"/>
</file>

<file path=xl/ctrlProps/ctrlProp279.xml><?xml version="1.0" encoding="utf-8"?>
<formControlPr xmlns="http://schemas.microsoft.com/office/spreadsheetml/2009/9/main" objectType="CheckBox" fmlaLink="$G$250" lockText="1" noThreeD="1"/>
</file>

<file path=xl/ctrlProps/ctrlProp280.xml><?xml version="1.0" encoding="utf-8"?>
<formControlPr xmlns="http://schemas.microsoft.com/office/spreadsheetml/2009/9/main" objectType="CheckBox" lockText="1" noThreeD="1"/>
</file>

<file path=xl/ctrlProps/ctrlProp281.xml><?xml version="1.0" encoding="utf-8"?>
<formControlPr xmlns="http://schemas.microsoft.com/office/spreadsheetml/2009/9/main" objectType="CheckBox" fmlaLink="$G$251" lockText="1" noThreeD="1"/>
</file>

<file path=xl/ctrlProps/ctrlProp282.xml><?xml version="1.0" encoding="utf-8"?>
<formControlPr xmlns="http://schemas.microsoft.com/office/spreadsheetml/2009/9/main" objectType="CheckBox" fmlaLink="$G$252" lockText="1" noThreeD="1"/>
</file>

<file path=xl/ctrlProps/ctrlProp283.xml><?xml version="1.0" encoding="utf-8"?>
<formControlPr xmlns="http://schemas.microsoft.com/office/spreadsheetml/2009/9/main" objectType="CheckBox" lockText="1" noThreeD="1"/>
</file>

<file path=xl/ctrlProps/ctrlProp284.xml><?xml version="1.0" encoding="utf-8"?>
<formControlPr xmlns="http://schemas.microsoft.com/office/spreadsheetml/2009/9/main" objectType="CheckBox" fmlaLink="$G$253" lockText="1" noThreeD="1"/>
</file>

<file path=xl/ctrlProps/ctrlProp285.xml><?xml version="1.0" encoding="utf-8"?>
<formControlPr xmlns="http://schemas.microsoft.com/office/spreadsheetml/2009/9/main" objectType="CheckBox" fmlaLink="$G$254"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fmlaLink="$G$255" lockText="1" noThreeD="1"/>
</file>

<file path=xl/ctrlProps/ctrlProp288.xml><?xml version="1.0" encoding="utf-8"?>
<formControlPr xmlns="http://schemas.microsoft.com/office/spreadsheetml/2009/9/main" objectType="CheckBox" fmlaLink="$G$256" lockText="1" noThreeD="1"/>
</file>

<file path=xl/ctrlProps/ctrlProp289.xml><?xml version="1.0" encoding="utf-8"?>
<formControlPr xmlns="http://schemas.microsoft.com/office/spreadsheetml/2009/9/main" objectType="CheckBox" lockText="1" noThreeD="1"/>
</file>

<file path=xl/ctrlProps/ctrlProp290.xml><?xml version="1.0" encoding="utf-8"?>
<formControlPr xmlns="http://schemas.microsoft.com/office/spreadsheetml/2009/9/main" objectType="CheckBox" fmlaLink="$G$258" lockText="1" noThreeD="1"/>
</file>

<file path=xl/ctrlProps/ctrlProp291.xml><?xml version="1.0" encoding="utf-8"?>
<formControlPr xmlns="http://schemas.microsoft.com/office/spreadsheetml/2009/9/main" objectType="CheckBox" fmlaLink="$G$259" lockText="1" noThreeD="1"/>
</file>

<file path=xl/ctrlProps/ctrlProp292.xml><?xml version="1.0" encoding="utf-8"?>
<formControlPr xmlns="http://schemas.microsoft.com/office/spreadsheetml/2009/9/main" objectType="CheckBox" lockText="1" noThreeD="1"/>
</file>

<file path=xl/ctrlProps/ctrlProp293.xml><?xml version="1.0" encoding="utf-8"?>
<formControlPr xmlns="http://schemas.microsoft.com/office/spreadsheetml/2009/9/main" objectType="CheckBox" fmlaLink="$G$260" lockText="1" noThreeD="1"/>
</file>

<file path=xl/ctrlProps/ctrlProp294.xml><?xml version="1.0" encoding="utf-8"?>
<formControlPr xmlns="http://schemas.microsoft.com/office/spreadsheetml/2009/9/main" objectType="CheckBox" fmlaLink="$G$261"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fmlaLink="$G$262"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fmlaLink="$G$264" lockText="1" noThreeD="1"/>
</file>

<file path=xl/ctrlProps/ctrlProp299.xml><?xml version="1.0" encoding="utf-8"?>
<formControlPr xmlns="http://schemas.microsoft.com/office/spreadsheetml/2009/9/main" objectType="CheckBox" fmlaLink="$G$265" lockText="1" noThreeD="1"/>
</file>

<file path=xl/ctrlProps/ctrlProp300.xml><?xml version="1.0" encoding="utf-8"?>
<formControlPr xmlns="http://schemas.microsoft.com/office/spreadsheetml/2009/9/main" objectType="CheckBox" lockText="1" noThreeD="1"/>
</file>

<file path=xl/ctrlProps/ctrlProp301.xml><?xml version="1.0" encoding="utf-8"?>
<formControlPr xmlns="http://schemas.microsoft.com/office/spreadsheetml/2009/9/main" objectType="CheckBox" fmlaLink="$G$266" lockText="1" noThreeD="1"/>
</file>

<file path=xl/ctrlProps/ctrlProp302.xml><?xml version="1.0" encoding="utf-8"?>
<formControlPr xmlns="http://schemas.microsoft.com/office/spreadsheetml/2009/9/main" objectType="CheckBox" fmlaLink="$G$267"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fmlaLink="$G$268" lockText="1" noThreeD="1"/>
</file>

<file path=xl/ctrlProps/ctrlProp305.xml><?xml version="1.0" encoding="utf-8"?>
<formControlPr xmlns="http://schemas.microsoft.com/office/spreadsheetml/2009/9/main" objectType="CheckBox" lockText="1" noThreeD="1"/>
</file>

<file path=xl/ctrlProps/ctrlProp306.xml><?xml version="1.0" encoding="utf-8"?>
<formControlPr xmlns="http://schemas.microsoft.com/office/spreadsheetml/2009/9/main" objectType="CheckBox" fmlaLink="$G$270" lockText="1" noThreeD="1"/>
</file>

<file path=xl/ctrlProps/ctrlProp307.xml><?xml version="1.0" encoding="utf-8"?>
<formControlPr xmlns="http://schemas.microsoft.com/office/spreadsheetml/2009/9/main" objectType="CheckBox" fmlaLink="$G$271"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fmlaLink="$G$272" lockText="1" noThreeD="1"/>
</file>

<file path=xl/ctrlProps/ctrlProp310.xml><?xml version="1.0" encoding="utf-8"?>
<formControlPr xmlns="http://schemas.microsoft.com/office/spreadsheetml/2009/9/main" objectType="CheckBox" fmlaLink="$G$273" lockText="1" noThreeD="1"/>
</file>

<file path=xl/ctrlProps/ctrlProp311.xml><?xml version="1.0" encoding="utf-8"?>
<formControlPr xmlns="http://schemas.microsoft.com/office/spreadsheetml/2009/9/main" objectType="CheckBox" lockText="1" noThreeD="1"/>
</file>

<file path=xl/ctrlProps/ctrlProp312.xml><?xml version="1.0" encoding="utf-8"?>
<formControlPr xmlns="http://schemas.microsoft.com/office/spreadsheetml/2009/9/main" objectType="CheckBox" fmlaLink="$G$274" lockText="1" noThreeD="1"/>
</file>

<file path=xl/ctrlProps/ctrlProp313.xml><?xml version="1.0" encoding="utf-8"?>
<formControlPr xmlns="http://schemas.microsoft.com/office/spreadsheetml/2009/9/main" objectType="CheckBox" lockText="1" noThreeD="1"/>
</file>

<file path=xl/ctrlProps/ctrlProp314.xml><?xml version="1.0" encoding="utf-8"?>
<formControlPr xmlns="http://schemas.microsoft.com/office/spreadsheetml/2009/9/main" objectType="CheckBox" fmlaLink="$G$276" lockText="1" noThreeD="1"/>
</file>

<file path=xl/ctrlProps/ctrlProp315.xml><?xml version="1.0" encoding="utf-8"?>
<formControlPr xmlns="http://schemas.microsoft.com/office/spreadsheetml/2009/9/main" objectType="CheckBox" fmlaLink="$G$277" lockText="1" noThreeD="1"/>
</file>

<file path=xl/ctrlProps/ctrlProp316.xml><?xml version="1.0" encoding="utf-8"?>
<formControlPr xmlns="http://schemas.microsoft.com/office/spreadsheetml/2009/9/main" objectType="CheckBox" lockText="1" noThreeD="1"/>
</file>

<file path=xl/ctrlProps/ctrlProp317.xml><?xml version="1.0" encoding="utf-8"?>
<formControlPr xmlns="http://schemas.microsoft.com/office/spreadsheetml/2009/9/main" objectType="CheckBox" fmlaLink="$G$278" lockText="1" noThreeD="1"/>
</file>

<file path=xl/ctrlProps/ctrlProp318.xml><?xml version="1.0" encoding="utf-8"?>
<formControlPr xmlns="http://schemas.microsoft.com/office/spreadsheetml/2009/9/main" objectType="CheckBox" fmlaLink="$G$279"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fmlaLink="$G$280" lockText="1" noThreeD="1"/>
</file>

<file path=xl/ctrlProps/ctrlProp321.xml><?xml version="1.0" encoding="utf-8"?>
<formControlPr xmlns="http://schemas.microsoft.com/office/spreadsheetml/2009/9/main" objectType="CheckBox" lockText="1" noThreeD="1"/>
</file>

<file path=xl/ctrlProps/ctrlProp322.xml><?xml version="1.0" encoding="utf-8"?>
<formControlPr xmlns="http://schemas.microsoft.com/office/spreadsheetml/2009/9/main" objectType="CheckBox" fmlaLink="$G$281" lockText="1" noThreeD="1"/>
</file>

<file path=xl/ctrlProps/ctrlProp323.xml><?xml version="1.0" encoding="utf-8"?>
<formControlPr xmlns="http://schemas.microsoft.com/office/spreadsheetml/2009/9/main" objectType="CheckBox" fmlaLink="$G$282" lockText="1"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CheckBox" fmlaLink="$G$283" lockText="1" noThreeD="1"/>
</file>

<file path=xl/ctrlProps/ctrlProp326.xml><?xml version="1.0" encoding="utf-8"?>
<formControlPr xmlns="http://schemas.microsoft.com/office/spreadsheetml/2009/9/main" objectType="CheckBox" fmlaLink="$G$284" lockText="1" noThreeD="1"/>
</file>

<file path=xl/ctrlProps/ctrlProp327.xml><?xml version="1.0" encoding="utf-8"?>
<formControlPr xmlns="http://schemas.microsoft.com/office/spreadsheetml/2009/9/main" objectType="CheckBox" lockText="1" noThreeD="1"/>
</file>

<file path=xl/ctrlProps/ctrlProp328.xml><?xml version="1.0" encoding="utf-8"?>
<formControlPr xmlns="http://schemas.microsoft.com/office/spreadsheetml/2009/9/main" objectType="CheckBox" fmlaLink="$G$285" lockText="1" noThreeD="1"/>
</file>

<file path=xl/ctrlProps/ctrlProp329.xml><?xml version="1.0" encoding="utf-8"?>
<formControlPr xmlns="http://schemas.microsoft.com/office/spreadsheetml/2009/9/main" objectType="CheckBox" lockText="1" noThreeD="1"/>
</file>

<file path=xl/ctrlProps/ctrlProp330.xml><?xml version="1.0" encoding="utf-8"?>
<formControlPr xmlns="http://schemas.microsoft.com/office/spreadsheetml/2009/9/main" objectType="CheckBox" fmlaLink="$G$286" lockText="1" noThreeD="1"/>
</file>

<file path=xl/ctrlProps/ctrlProp331.xml><?xml version="1.0" encoding="utf-8"?>
<formControlPr xmlns="http://schemas.microsoft.com/office/spreadsheetml/2009/9/main" objectType="CheckBox" lockText="1" noThreeD="1"/>
</file>

<file path=xl/ctrlProps/ctrlProp332.xml><?xml version="1.0" encoding="utf-8"?>
<formControlPr xmlns="http://schemas.microsoft.com/office/spreadsheetml/2009/9/main" objectType="CheckBox" fmlaLink="$G$287" lockText="1" noThreeD="1"/>
</file>

<file path=xl/ctrlProps/ctrlProp333.xml><?xml version="1.0" encoding="utf-8"?>
<formControlPr xmlns="http://schemas.microsoft.com/office/spreadsheetml/2009/9/main" objectType="CheckBox" lockText="1" noThreeD="1"/>
</file>

<file path=xl/ctrlProps/ctrlProp334.xml><?xml version="1.0" encoding="utf-8"?>
<formControlPr xmlns="http://schemas.microsoft.com/office/spreadsheetml/2009/9/main" objectType="CheckBox" fmlaLink="$G$288" lockText="1" noThreeD="1"/>
</file>

<file path=xl/ctrlProps/ctrlProp335.xml><?xml version="1.0" encoding="utf-8"?>
<formControlPr xmlns="http://schemas.microsoft.com/office/spreadsheetml/2009/9/main" objectType="CheckBox" lockText="1" noThreeD="1"/>
</file>

<file path=xl/ctrlProps/ctrlProp336.xml><?xml version="1.0" encoding="utf-8"?>
<formControlPr xmlns="http://schemas.microsoft.com/office/spreadsheetml/2009/9/main" objectType="CheckBox" fmlaLink="$G$293" lockText="1" noThreeD="1"/>
</file>

<file path=xl/ctrlProps/ctrlProp337.xml><?xml version="1.0" encoding="utf-8"?>
<formControlPr xmlns="http://schemas.microsoft.com/office/spreadsheetml/2009/9/main" objectType="CheckBox" lockText="1" noThreeD="1"/>
</file>

<file path=xl/ctrlProps/ctrlProp338.xml><?xml version="1.0" encoding="utf-8"?>
<formControlPr xmlns="http://schemas.microsoft.com/office/spreadsheetml/2009/9/main" objectType="CheckBox" fmlaLink="$G$294" lockText="1" noThreeD="1"/>
</file>

<file path=xl/ctrlProps/ctrlProp339.xml><?xml version="1.0" encoding="utf-8"?>
<formControlPr xmlns="http://schemas.microsoft.com/office/spreadsheetml/2009/9/main" objectType="CheckBox" lockText="1" noThreeD="1"/>
</file>

<file path=xl/ctrlProps/ctrlProp340.xml><?xml version="1.0" encoding="utf-8"?>
<formControlPr xmlns="http://schemas.microsoft.com/office/spreadsheetml/2009/9/main" objectType="CheckBox" fmlaLink="$G$296" lockText="1" noThreeD="1"/>
</file>

<file path=xl/ctrlProps/ctrlProp341.xml><?xml version="1.0" encoding="utf-8"?>
<formControlPr xmlns="http://schemas.microsoft.com/office/spreadsheetml/2009/9/main" objectType="CheckBox" lockText="1" noThreeD="1"/>
</file>

<file path=xl/ctrlProps/ctrlProp342.xml><?xml version="1.0" encoding="utf-8"?>
<formControlPr xmlns="http://schemas.microsoft.com/office/spreadsheetml/2009/9/main" objectType="CheckBox" fmlaLink="$G$297" lockText="1" noThreeD="1"/>
</file>

<file path=xl/ctrlProps/ctrlProp343.xml><?xml version="1.0" encoding="utf-8"?>
<formControlPr xmlns="http://schemas.microsoft.com/office/spreadsheetml/2009/9/main" objectType="CheckBox" lockText="1" noThreeD="1"/>
</file>

<file path=xl/ctrlProps/ctrlProp344.xml><?xml version="1.0" encoding="utf-8"?>
<formControlPr xmlns="http://schemas.microsoft.com/office/spreadsheetml/2009/9/main" objectType="CheckBox" fmlaLink="$G$299" lockText="1" noThreeD="1"/>
</file>

<file path=xl/ctrlProps/ctrlProp345.xml><?xml version="1.0" encoding="utf-8"?>
<formControlPr xmlns="http://schemas.microsoft.com/office/spreadsheetml/2009/9/main" objectType="CheckBox" lockText="1" noThreeD="1"/>
</file>

<file path=xl/ctrlProps/ctrlProp346.xml><?xml version="1.0" encoding="utf-8"?>
<formControlPr xmlns="http://schemas.microsoft.com/office/spreadsheetml/2009/9/main" objectType="CheckBox" fmlaLink="$G$300" lockText="1" noThreeD="1"/>
</file>

<file path=xl/ctrlProps/ctrlProp347.xml><?xml version="1.0" encoding="utf-8"?>
<formControlPr xmlns="http://schemas.microsoft.com/office/spreadsheetml/2009/9/main" objectType="CheckBox" lockText="1" noThreeD="1"/>
</file>

<file path=xl/ctrlProps/ctrlProp348.xml><?xml version="1.0" encoding="utf-8"?>
<formControlPr xmlns="http://schemas.microsoft.com/office/spreadsheetml/2009/9/main" objectType="CheckBox" fmlaLink="$G$301" lockText="1" noThreeD="1"/>
</file>

<file path=xl/ctrlProps/ctrlProp349.xml><?xml version="1.0" encoding="utf-8"?>
<formControlPr xmlns="http://schemas.microsoft.com/office/spreadsheetml/2009/9/main" objectType="CheckBox" lockText="1" noThreeD="1"/>
</file>

<file path=xl/ctrlProps/ctrlProp350.xml><?xml version="1.0" encoding="utf-8"?>
<formControlPr xmlns="http://schemas.microsoft.com/office/spreadsheetml/2009/9/main" objectType="CheckBox" fmlaLink="$G$303" lockText="1" noThreeD="1"/>
</file>

<file path=xl/ctrlProps/ctrlProp351.xml><?xml version="1.0" encoding="utf-8"?>
<formControlPr xmlns="http://schemas.microsoft.com/office/spreadsheetml/2009/9/main" objectType="CheckBox" lockText="1" noThreeD="1"/>
</file>

<file path=xl/ctrlProps/ctrlProp352.xml><?xml version="1.0" encoding="utf-8"?>
<formControlPr xmlns="http://schemas.microsoft.com/office/spreadsheetml/2009/9/main" objectType="CheckBox" fmlaLink="$G$304" lockText="1" noThreeD="1"/>
</file>

<file path=xl/ctrlProps/ctrlProp353.xml><?xml version="1.0" encoding="utf-8"?>
<formControlPr xmlns="http://schemas.microsoft.com/office/spreadsheetml/2009/9/main" objectType="CheckBox" lockText="1" noThreeD="1"/>
</file>

<file path=xl/ctrlProps/ctrlProp354.xml><?xml version="1.0" encoding="utf-8"?>
<formControlPr xmlns="http://schemas.microsoft.com/office/spreadsheetml/2009/9/main" objectType="CheckBox" fmlaLink="$G$305" lockText="1" noThreeD="1"/>
</file>

<file path=xl/ctrlProps/ctrlProp355.xml><?xml version="1.0" encoding="utf-8"?>
<formControlPr xmlns="http://schemas.microsoft.com/office/spreadsheetml/2009/9/main" objectType="CheckBox" lockText="1" noThreeD="1"/>
</file>

<file path=xl/ctrlProps/ctrlProp356.xml><?xml version="1.0" encoding="utf-8"?>
<formControlPr xmlns="http://schemas.microsoft.com/office/spreadsheetml/2009/9/main" objectType="CheckBox" fmlaLink="$G$307" lockText="1" noThreeD="1"/>
</file>

<file path=xl/ctrlProps/ctrlProp357.xml><?xml version="1.0" encoding="utf-8"?>
<formControlPr xmlns="http://schemas.microsoft.com/office/spreadsheetml/2009/9/main" objectType="CheckBox" lockText="1" noThreeD="1"/>
</file>

<file path=xl/ctrlProps/ctrlProp358.xml><?xml version="1.0" encoding="utf-8"?>
<formControlPr xmlns="http://schemas.microsoft.com/office/spreadsheetml/2009/9/main" objectType="CheckBox" fmlaLink="$G$308" lockText="1" noThreeD="1"/>
</file>

<file path=xl/ctrlProps/ctrlProp359.xml><?xml version="1.0" encoding="utf-8"?>
<formControlPr xmlns="http://schemas.microsoft.com/office/spreadsheetml/2009/9/main" objectType="CheckBox" lockText="1" noThreeD="1"/>
</file>

<file path=xl/ctrlProps/ctrlProp360.xml><?xml version="1.0" encoding="utf-8"?>
<formControlPr xmlns="http://schemas.microsoft.com/office/spreadsheetml/2009/9/main" objectType="CheckBox" fmlaLink="$G$310" lockText="1" noThreeD="1"/>
</file>

<file path=xl/ctrlProps/ctrlProp361.xml><?xml version="1.0" encoding="utf-8"?>
<formControlPr xmlns="http://schemas.microsoft.com/office/spreadsheetml/2009/9/main" objectType="CheckBox" lockText="1" noThreeD="1"/>
</file>

<file path=xl/ctrlProps/ctrlProp362.xml><?xml version="1.0" encoding="utf-8"?>
<formControlPr xmlns="http://schemas.microsoft.com/office/spreadsheetml/2009/9/main" objectType="CheckBox" fmlaLink="$G$311" lockText="1" noThreeD="1"/>
</file>

<file path=xl/ctrlProps/ctrlProp363.xml><?xml version="1.0" encoding="utf-8"?>
<formControlPr xmlns="http://schemas.microsoft.com/office/spreadsheetml/2009/9/main" objectType="CheckBox" lockText="1" noThreeD="1"/>
</file>

<file path=xl/ctrlProps/ctrlProp364.xml><?xml version="1.0" encoding="utf-8"?>
<formControlPr xmlns="http://schemas.microsoft.com/office/spreadsheetml/2009/9/main" objectType="CheckBox" fmlaLink="$G$312" lockText="1" noThreeD="1"/>
</file>

<file path=xl/ctrlProps/ctrlProp365.xml><?xml version="1.0" encoding="utf-8"?>
<formControlPr xmlns="http://schemas.microsoft.com/office/spreadsheetml/2009/9/main" objectType="CheckBox" lockText="1" noThreeD="1"/>
</file>

<file path=xl/ctrlProps/ctrlProp366.xml><?xml version="1.0" encoding="utf-8"?>
<formControlPr xmlns="http://schemas.microsoft.com/office/spreadsheetml/2009/9/main" objectType="CheckBox" fmlaLink="$G$314" lockText="1" noThreeD="1"/>
</file>

<file path=xl/ctrlProps/ctrlProp367.xml><?xml version="1.0" encoding="utf-8"?>
<formControlPr xmlns="http://schemas.microsoft.com/office/spreadsheetml/2009/9/main" objectType="CheckBox" lockText="1" noThreeD="1"/>
</file>

<file path=xl/ctrlProps/ctrlProp368.xml><?xml version="1.0" encoding="utf-8"?>
<formControlPr xmlns="http://schemas.microsoft.com/office/spreadsheetml/2009/9/main" objectType="CheckBox" fmlaLink="$G$315" lockText="1" noThreeD="1"/>
</file>

<file path=xl/ctrlProps/ctrlProp369.xml><?xml version="1.0" encoding="utf-8"?>
<formControlPr xmlns="http://schemas.microsoft.com/office/spreadsheetml/2009/9/main" objectType="CheckBox" lockText="1" noThreeD="1"/>
</file>

<file path=xl/ctrlProps/ctrlProp370.xml><?xml version="1.0" encoding="utf-8"?>
<formControlPr xmlns="http://schemas.microsoft.com/office/spreadsheetml/2009/9/main" objectType="CheckBox" fmlaLink="$G$317" lockText="1" noThreeD="1"/>
</file>

<file path=xl/ctrlProps/ctrlProp371.xml><?xml version="1.0" encoding="utf-8"?>
<formControlPr xmlns="http://schemas.microsoft.com/office/spreadsheetml/2009/9/main" objectType="CheckBox" lockText="1" noThreeD="1"/>
</file>

<file path=xl/ctrlProps/ctrlProp372.xml><?xml version="1.0" encoding="utf-8"?>
<formControlPr xmlns="http://schemas.microsoft.com/office/spreadsheetml/2009/9/main" objectType="CheckBox" fmlaLink="$G$318" lockText="1" noThreeD="1"/>
</file>

<file path=xl/ctrlProps/ctrlProp373.xml><?xml version="1.0" encoding="utf-8"?>
<formControlPr xmlns="http://schemas.microsoft.com/office/spreadsheetml/2009/9/main" objectType="CheckBox" lockText="1" noThreeD="1"/>
</file>

<file path=xl/ctrlProps/ctrlProp374.xml><?xml version="1.0" encoding="utf-8"?>
<formControlPr xmlns="http://schemas.microsoft.com/office/spreadsheetml/2009/9/main" objectType="CheckBox" fmlaLink="$G$320" lockText="1" noThreeD="1"/>
</file>

<file path=xl/ctrlProps/ctrlProp375.xml><?xml version="1.0" encoding="utf-8"?>
<formControlPr xmlns="http://schemas.microsoft.com/office/spreadsheetml/2009/9/main" objectType="CheckBox" lockText="1" noThreeD="1"/>
</file>

<file path=xl/ctrlProps/ctrlProp376.xml><?xml version="1.0" encoding="utf-8"?>
<formControlPr xmlns="http://schemas.microsoft.com/office/spreadsheetml/2009/9/main" objectType="CheckBox" fmlaLink="$G$321" lockText="1" noThreeD="1"/>
</file>

<file path=xl/ctrlProps/ctrlProp377.xml><?xml version="1.0" encoding="utf-8"?>
<formControlPr xmlns="http://schemas.microsoft.com/office/spreadsheetml/2009/9/main" objectType="CheckBox" lockText="1" noThreeD="1"/>
</file>

<file path=xl/ctrlProps/ctrlProp378.xml><?xml version="1.0" encoding="utf-8"?>
<formControlPr xmlns="http://schemas.microsoft.com/office/spreadsheetml/2009/9/main" objectType="CheckBox" fmlaLink="$G$322" lockText="1" noThreeD="1"/>
</file>

<file path=xl/ctrlProps/ctrlProp379.xml><?xml version="1.0" encoding="utf-8"?>
<formControlPr xmlns="http://schemas.microsoft.com/office/spreadsheetml/2009/9/main" objectType="CheckBox" lockText="1" noThreeD="1"/>
</file>

<file path=xl/ctrlProps/ctrlProp380.xml><?xml version="1.0" encoding="utf-8"?>
<formControlPr xmlns="http://schemas.microsoft.com/office/spreadsheetml/2009/9/main" objectType="CheckBox" fmlaLink="$G$324" lockText="1" noThreeD="1"/>
</file>

<file path=xl/ctrlProps/ctrlProp381.xml><?xml version="1.0" encoding="utf-8"?>
<formControlPr xmlns="http://schemas.microsoft.com/office/spreadsheetml/2009/9/main" objectType="CheckBox" lockText="1" noThreeD="1"/>
</file>

<file path=xl/ctrlProps/ctrlProp382.xml><?xml version="1.0" encoding="utf-8"?>
<formControlPr xmlns="http://schemas.microsoft.com/office/spreadsheetml/2009/9/main" objectType="CheckBox" fmlaLink="$G$325" lockText="1" noThreeD="1"/>
</file>

<file path=xl/ctrlProps/ctrlProp383.xml><?xml version="1.0" encoding="utf-8"?>
<formControlPr xmlns="http://schemas.microsoft.com/office/spreadsheetml/2009/9/main" objectType="CheckBox" lockText="1" noThreeD="1"/>
</file>

<file path=xl/ctrlProps/ctrlProp384.xml><?xml version="1.0" encoding="utf-8"?>
<formControlPr xmlns="http://schemas.microsoft.com/office/spreadsheetml/2009/9/main" objectType="CheckBox" fmlaLink="$G$326" lockText="1" noThreeD="1"/>
</file>

<file path=xl/ctrlProps/ctrlProp385.xml><?xml version="1.0" encoding="utf-8"?>
<formControlPr xmlns="http://schemas.microsoft.com/office/spreadsheetml/2009/9/main" objectType="CheckBox" lockText="1" noThreeD="1"/>
</file>

<file path=xl/ctrlProps/ctrlProp386.xml><?xml version="1.0" encoding="utf-8"?>
<formControlPr xmlns="http://schemas.microsoft.com/office/spreadsheetml/2009/9/main" objectType="CheckBox" fmlaLink="$G$328" lockText="1" noThreeD="1"/>
</file>

<file path=xl/ctrlProps/ctrlProp387.xml><?xml version="1.0" encoding="utf-8"?>
<formControlPr xmlns="http://schemas.microsoft.com/office/spreadsheetml/2009/9/main" objectType="CheckBox" lockText="1" noThreeD="1"/>
</file>

<file path=xl/ctrlProps/ctrlProp388.xml><?xml version="1.0" encoding="utf-8"?>
<formControlPr xmlns="http://schemas.microsoft.com/office/spreadsheetml/2009/9/main" objectType="CheckBox" fmlaLink="$G$329" lockText="1" noThreeD="1"/>
</file>

<file path=xl/ctrlProps/ctrlProp389.xml><?xml version="1.0" encoding="utf-8"?>
<formControlPr xmlns="http://schemas.microsoft.com/office/spreadsheetml/2009/9/main" objectType="CheckBox" lockText="1" noThreeD="1"/>
</file>

<file path=xl/ctrlProps/ctrlProp390.xml><?xml version="1.0" encoding="utf-8"?>
<formControlPr xmlns="http://schemas.microsoft.com/office/spreadsheetml/2009/9/main" objectType="CheckBox" fmlaLink="$G$331" lockText="1" noThreeD="1"/>
</file>

<file path=xl/ctrlProps/ctrlProp391.xml><?xml version="1.0" encoding="utf-8"?>
<formControlPr xmlns="http://schemas.microsoft.com/office/spreadsheetml/2009/9/main" objectType="CheckBox" lockText="1" noThreeD="1"/>
</file>

<file path=xl/ctrlProps/ctrlProp392.xml><?xml version="1.0" encoding="utf-8"?>
<formControlPr xmlns="http://schemas.microsoft.com/office/spreadsheetml/2009/9/main" objectType="CheckBox" fmlaLink="$G$332" lockText="1" noThreeD="1"/>
</file>

<file path=xl/ctrlProps/ctrlProp393.xml><?xml version="1.0" encoding="utf-8"?>
<formControlPr xmlns="http://schemas.microsoft.com/office/spreadsheetml/2009/9/main" objectType="CheckBox" lockText="1" noThreeD="1"/>
</file>

<file path=xl/ctrlProps/ctrlProp394.xml><?xml version="1.0" encoding="utf-8"?>
<formControlPr xmlns="http://schemas.microsoft.com/office/spreadsheetml/2009/9/main" objectType="CheckBox" fmlaLink="$G$333" lockText="1" noThreeD="1"/>
</file>

<file path=xl/ctrlProps/ctrlProp395.xml><?xml version="1.0" encoding="utf-8"?>
<formControlPr xmlns="http://schemas.microsoft.com/office/spreadsheetml/2009/9/main" objectType="CheckBox" lockText="1" noThreeD="1"/>
</file>

<file path=xl/ctrlProps/ctrlProp396.xml><?xml version="1.0" encoding="utf-8"?>
<formControlPr xmlns="http://schemas.microsoft.com/office/spreadsheetml/2009/9/main" objectType="CheckBox" fmlaLink="$G$335" lockText="1" noThreeD="1"/>
</file>

<file path=xl/ctrlProps/ctrlProp397.xml><?xml version="1.0" encoding="utf-8"?>
<formControlPr xmlns="http://schemas.microsoft.com/office/spreadsheetml/2009/9/main" objectType="CheckBox" lockText="1" noThreeD="1"/>
</file>

<file path=xl/ctrlProps/ctrlProp398.xml><?xml version="1.0" encoding="utf-8"?>
<formControlPr xmlns="http://schemas.microsoft.com/office/spreadsheetml/2009/9/main" objectType="CheckBox" fmlaLink="$G$336" lockText="1" noThreeD="1"/>
</file>

<file path=xl/ctrlProps/ctrlProp399.xml><?xml version="1.0" encoding="utf-8"?>
<formControlPr xmlns="http://schemas.microsoft.com/office/spreadsheetml/2009/9/main" objectType="CheckBox" lockText="1" noThreeD="1"/>
</file>

<file path=xl/ctrlProps/ctrlProp400.xml><?xml version="1.0" encoding="utf-8"?>
<formControlPr xmlns="http://schemas.microsoft.com/office/spreadsheetml/2009/9/main" objectType="CheckBox" fmlaLink="$G$337" lockText="1" noThreeD="1"/>
</file>

<file path=xl/ctrlProps/ctrlProp401.xml><?xml version="1.0" encoding="utf-8"?>
<formControlPr xmlns="http://schemas.microsoft.com/office/spreadsheetml/2009/9/main" objectType="CheckBox" lockText="1" noThreeD="1"/>
</file>

<file path=xl/ctrlProps/ctrlProp402.xml><?xml version="1.0" encoding="utf-8"?>
<formControlPr xmlns="http://schemas.microsoft.com/office/spreadsheetml/2009/9/main" objectType="CheckBox" fmlaLink="$G$338" lockText="1" noThreeD="1"/>
</file>

<file path=xl/ctrlProps/ctrlProp403.xml><?xml version="1.0" encoding="utf-8"?>
<formControlPr xmlns="http://schemas.microsoft.com/office/spreadsheetml/2009/9/main" objectType="CheckBox" lockText="1" noThreeD="1"/>
</file>

<file path=xl/ctrlProps/ctrlProp404.xml><?xml version="1.0" encoding="utf-8"?>
<formControlPr xmlns="http://schemas.microsoft.com/office/spreadsheetml/2009/9/main" objectType="CheckBox" fmlaLink="$G$340" lockText="1" noThreeD="1"/>
</file>

<file path=xl/ctrlProps/ctrlProp405.xml><?xml version="1.0" encoding="utf-8"?>
<formControlPr xmlns="http://schemas.microsoft.com/office/spreadsheetml/2009/9/main" objectType="CheckBox" lockText="1" noThreeD="1"/>
</file>

<file path=xl/ctrlProps/ctrlProp406.xml><?xml version="1.0" encoding="utf-8"?>
<formControlPr xmlns="http://schemas.microsoft.com/office/spreadsheetml/2009/9/main" objectType="CheckBox" fmlaLink="$G$341" lockText="1" noThreeD="1"/>
</file>

<file path=xl/ctrlProps/ctrlProp407.xml><?xml version="1.0" encoding="utf-8"?>
<formControlPr xmlns="http://schemas.microsoft.com/office/spreadsheetml/2009/9/main" objectType="CheckBox" lockText="1" noThreeD="1"/>
</file>

<file path=xl/ctrlProps/ctrlProp408.xml><?xml version="1.0" encoding="utf-8"?>
<formControlPr xmlns="http://schemas.microsoft.com/office/spreadsheetml/2009/9/main" objectType="CheckBox" fmlaLink="$G$342" lockText="1" noThreeD="1"/>
</file>

<file path=xl/ctrlProps/ctrlProp409.xml><?xml version="1.0" encoding="utf-8"?>
<formControlPr xmlns="http://schemas.microsoft.com/office/spreadsheetml/2009/9/main" objectType="CheckBox" lockText="1" noThreeD="1"/>
</file>

<file path=xl/ctrlProps/ctrlProp410.xml><?xml version="1.0" encoding="utf-8"?>
<formControlPr xmlns="http://schemas.microsoft.com/office/spreadsheetml/2009/9/main" objectType="CheckBox" fmlaLink="$G$344" lockText="1" noThreeD="1"/>
</file>

<file path=xl/ctrlProps/ctrlProp411.xml><?xml version="1.0" encoding="utf-8"?>
<formControlPr xmlns="http://schemas.microsoft.com/office/spreadsheetml/2009/9/main" objectType="CheckBox" lockText="1" noThreeD="1"/>
</file>

<file path=xl/ctrlProps/ctrlProp412.xml><?xml version="1.0" encoding="utf-8"?>
<formControlPr xmlns="http://schemas.microsoft.com/office/spreadsheetml/2009/9/main" objectType="CheckBox" fmlaLink="$G$346" lockText="1" noThreeD="1"/>
</file>

<file path=xl/ctrlProps/ctrlProp413.xml><?xml version="1.0" encoding="utf-8"?>
<formControlPr xmlns="http://schemas.microsoft.com/office/spreadsheetml/2009/9/main" objectType="CheckBox" lockText="1" noThreeD="1"/>
</file>

<file path=xl/ctrlProps/ctrlProp414.xml><?xml version="1.0" encoding="utf-8"?>
<formControlPr xmlns="http://schemas.microsoft.com/office/spreadsheetml/2009/9/main" objectType="CheckBox" fmlaLink="$G$347" lockText="1" noThreeD="1"/>
</file>

<file path=xl/ctrlProps/ctrlProp415.xml><?xml version="1.0" encoding="utf-8"?>
<formControlPr xmlns="http://schemas.microsoft.com/office/spreadsheetml/2009/9/main" objectType="CheckBox" lockText="1" noThreeD="1"/>
</file>

<file path=xl/ctrlProps/ctrlProp416.xml><?xml version="1.0" encoding="utf-8"?>
<formControlPr xmlns="http://schemas.microsoft.com/office/spreadsheetml/2009/9/main" objectType="CheckBox" fmlaLink="$G$348" lockText="1" noThreeD="1"/>
</file>

<file path=xl/ctrlProps/ctrlProp417.xml><?xml version="1.0" encoding="utf-8"?>
<formControlPr xmlns="http://schemas.microsoft.com/office/spreadsheetml/2009/9/main" objectType="CheckBox" lockText="1" noThreeD="1"/>
</file>

<file path=xl/ctrlProps/ctrlProp418.xml><?xml version="1.0" encoding="utf-8"?>
<formControlPr xmlns="http://schemas.microsoft.com/office/spreadsheetml/2009/9/main" objectType="CheckBox" fmlaLink="$G$350" lockText="1" noThreeD="1"/>
</file>

<file path=xl/ctrlProps/ctrlProp419.xml><?xml version="1.0" encoding="utf-8"?>
<formControlPr xmlns="http://schemas.microsoft.com/office/spreadsheetml/2009/9/main" objectType="CheckBox" lockText="1" noThreeD="1"/>
</file>

<file path=xl/ctrlProps/ctrlProp420.xml><?xml version="1.0" encoding="utf-8"?>
<formControlPr xmlns="http://schemas.microsoft.com/office/spreadsheetml/2009/9/main" objectType="CheckBox" fmlaLink="$G$351" lockText="1" noThreeD="1"/>
</file>

<file path=xl/ctrlProps/ctrlProp421.xml><?xml version="1.0" encoding="utf-8"?>
<formControlPr xmlns="http://schemas.microsoft.com/office/spreadsheetml/2009/9/main" objectType="CheckBox" lockText="1" noThreeD="1"/>
</file>

<file path=xl/ctrlProps/ctrlProp422.xml><?xml version="1.0" encoding="utf-8"?>
<formControlPr xmlns="http://schemas.microsoft.com/office/spreadsheetml/2009/9/main" objectType="CheckBox" fmlaLink="$G$353" lockText="1" noThreeD="1"/>
</file>

<file path=xl/ctrlProps/ctrlProp423.xml><?xml version="1.0" encoding="utf-8"?>
<formControlPr xmlns="http://schemas.microsoft.com/office/spreadsheetml/2009/9/main" objectType="CheckBox" lockText="1" noThreeD="1"/>
</file>

<file path=xl/ctrlProps/ctrlProp424.xml><?xml version="1.0" encoding="utf-8"?>
<formControlPr xmlns="http://schemas.microsoft.com/office/spreadsheetml/2009/9/main" objectType="CheckBox" fmlaLink="$G$354" lockText="1" noThreeD="1"/>
</file>

<file path=xl/ctrlProps/ctrlProp425.xml><?xml version="1.0" encoding="utf-8"?>
<formControlPr xmlns="http://schemas.microsoft.com/office/spreadsheetml/2009/9/main" objectType="CheckBox" lockText="1" noThreeD="1"/>
</file>

<file path=xl/ctrlProps/ctrlProp426.xml><?xml version="1.0" encoding="utf-8"?>
<formControlPr xmlns="http://schemas.microsoft.com/office/spreadsheetml/2009/9/main" objectType="CheckBox" fmlaLink="$G$355" lockText="1" noThreeD="1"/>
</file>

<file path=xl/ctrlProps/ctrlProp427.xml><?xml version="1.0" encoding="utf-8"?>
<formControlPr xmlns="http://schemas.microsoft.com/office/spreadsheetml/2009/9/main" objectType="CheckBox" lockText="1" noThreeD="1"/>
</file>

<file path=xl/ctrlProps/ctrlProp428.xml><?xml version="1.0" encoding="utf-8"?>
<formControlPr xmlns="http://schemas.microsoft.com/office/spreadsheetml/2009/9/main" objectType="CheckBox" fmlaLink="$G$356" lockText="1" noThreeD="1"/>
</file>

<file path=xl/ctrlProps/ctrlProp429.xml><?xml version="1.0" encoding="utf-8"?>
<formControlPr xmlns="http://schemas.microsoft.com/office/spreadsheetml/2009/9/main" objectType="CheckBox" lockText="1" noThreeD="1"/>
</file>

<file path=xl/ctrlProps/ctrlProp430.xml><?xml version="1.0" encoding="utf-8"?>
<formControlPr xmlns="http://schemas.microsoft.com/office/spreadsheetml/2009/9/main" objectType="CheckBox" fmlaLink="$G$358" lockText="1" noThreeD="1"/>
</file>

<file path=xl/ctrlProps/ctrlProp431.xml><?xml version="1.0" encoding="utf-8"?>
<formControlPr xmlns="http://schemas.microsoft.com/office/spreadsheetml/2009/9/main" objectType="CheckBox" lockText="1" noThreeD="1"/>
</file>

<file path=xl/ctrlProps/ctrlProp432.xml><?xml version="1.0" encoding="utf-8"?>
<formControlPr xmlns="http://schemas.microsoft.com/office/spreadsheetml/2009/9/main" objectType="CheckBox" fmlaLink="$G$359" lockText="1" noThreeD="1"/>
</file>

<file path=xl/ctrlProps/ctrlProp433.xml><?xml version="1.0" encoding="utf-8"?>
<formControlPr xmlns="http://schemas.microsoft.com/office/spreadsheetml/2009/9/main" objectType="CheckBox" lockText="1" noThreeD="1"/>
</file>

<file path=xl/ctrlProps/ctrlProp434.xml><?xml version="1.0" encoding="utf-8"?>
<formControlPr xmlns="http://schemas.microsoft.com/office/spreadsheetml/2009/9/main" objectType="CheckBox" fmlaLink="$G$360" lockText="1" noThreeD="1"/>
</file>

<file path=xl/ctrlProps/ctrlProp435.xml><?xml version="1.0" encoding="utf-8"?>
<formControlPr xmlns="http://schemas.microsoft.com/office/spreadsheetml/2009/9/main" objectType="CheckBox" lockText="1" noThreeD="1"/>
</file>

<file path=xl/ctrlProps/ctrlProp436.xml><?xml version="1.0" encoding="utf-8"?>
<formControlPr xmlns="http://schemas.microsoft.com/office/spreadsheetml/2009/9/main" objectType="CheckBox" fmlaLink="$G$361" lockText="1" noThreeD="1"/>
</file>

<file path=xl/ctrlProps/ctrlProp437.xml><?xml version="1.0" encoding="utf-8"?>
<formControlPr xmlns="http://schemas.microsoft.com/office/spreadsheetml/2009/9/main" objectType="CheckBox" lockText="1" noThreeD="1"/>
</file>

<file path=xl/ctrlProps/ctrlProp438.xml><?xml version="1.0" encoding="utf-8"?>
<formControlPr xmlns="http://schemas.microsoft.com/office/spreadsheetml/2009/9/main" objectType="CheckBox" fmlaLink="$G$366" lockText="1" noThreeD="1"/>
</file>

<file path=xl/ctrlProps/ctrlProp439.xml><?xml version="1.0" encoding="utf-8"?>
<formControlPr xmlns="http://schemas.microsoft.com/office/spreadsheetml/2009/9/main" objectType="CheckBox" lockText="1" noThreeD="1"/>
</file>

<file path=xl/ctrlProps/ctrlProp440.xml><?xml version="1.0" encoding="utf-8"?>
<formControlPr xmlns="http://schemas.microsoft.com/office/spreadsheetml/2009/9/main" objectType="CheckBox" fmlaLink="$G$367" lockText="1" noThreeD="1"/>
</file>

<file path=xl/ctrlProps/ctrlProp441.xml><?xml version="1.0" encoding="utf-8"?>
<formControlPr xmlns="http://schemas.microsoft.com/office/spreadsheetml/2009/9/main" objectType="CheckBox" lockText="1" noThreeD="1"/>
</file>

<file path=xl/ctrlProps/ctrlProp442.xml><?xml version="1.0" encoding="utf-8"?>
<formControlPr xmlns="http://schemas.microsoft.com/office/spreadsheetml/2009/9/main" objectType="CheckBox" fmlaLink="$G$369" lockText="1" noThreeD="1"/>
</file>

<file path=xl/ctrlProps/ctrlProp443.xml><?xml version="1.0" encoding="utf-8"?>
<formControlPr xmlns="http://schemas.microsoft.com/office/spreadsheetml/2009/9/main" objectType="CheckBox" lockText="1" noThreeD="1"/>
</file>

<file path=xl/ctrlProps/ctrlProp444.xml><?xml version="1.0" encoding="utf-8"?>
<formControlPr xmlns="http://schemas.microsoft.com/office/spreadsheetml/2009/9/main" objectType="CheckBox" fmlaLink="$G$370" lockText="1" noThreeD="1"/>
</file>

<file path=xl/ctrlProps/ctrlProp445.xml><?xml version="1.0" encoding="utf-8"?>
<formControlPr xmlns="http://schemas.microsoft.com/office/spreadsheetml/2009/9/main" objectType="CheckBox" lockText="1" noThreeD="1"/>
</file>

<file path=xl/ctrlProps/ctrlProp446.xml><?xml version="1.0" encoding="utf-8"?>
<formControlPr xmlns="http://schemas.microsoft.com/office/spreadsheetml/2009/9/main" objectType="CheckBox" fmlaLink="$G$371" lockText="1" noThreeD="1"/>
</file>

<file path=xl/ctrlProps/ctrlProp447.xml><?xml version="1.0" encoding="utf-8"?>
<formControlPr xmlns="http://schemas.microsoft.com/office/spreadsheetml/2009/9/main" objectType="CheckBox" lockText="1" noThreeD="1"/>
</file>

<file path=xl/ctrlProps/ctrlProp448.xml><?xml version="1.0" encoding="utf-8"?>
<formControlPr xmlns="http://schemas.microsoft.com/office/spreadsheetml/2009/9/main" objectType="CheckBox" fmlaLink="$G$373" lockText="1" noThreeD="1"/>
</file>

<file path=xl/ctrlProps/ctrlProp449.xml><?xml version="1.0" encoding="utf-8"?>
<formControlPr xmlns="http://schemas.microsoft.com/office/spreadsheetml/2009/9/main" objectType="CheckBox" lockText="1" noThreeD="1"/>
</file>

<file path=xl/ctrlProps/ctrlProp450.xml><?xml version="1.0" encoding="utf-8"?>
<formControlPr xmlns="http://schemas.microsoft.com/office/spreadsheetml/2009/9/main" objectType="CheckBox" fmlaLink="$G$374" lockText="1" noThreeD="1"/>
</file>

<file path=xl/ctrlProps/ctrlProp451.xml><?xml version="1.0" encoding="utf-8"?>
<formControlPr xmlns="http://schemas.microsoft.com/office/spreadsheetml/2009/9/main" objectType="CheckBox" lockText="1" noThreeD="1"/>
</file>

<file path=xl/ctrlProps/ctrlProp452.xml><?xml version="1.0" encoding="utf-8"?>
<formControlPr xmlns="http://schemas.microsoft.com/office/spreadsheetml/2009/9/main" objectType="CheckBox" fmlaLink="$G$376" lockText="1" noThreeD="1"/>
</file>

<file path=xl/ctrlProps/ctrlProp453.xml><?xml version="1.0" encoding="utf-8"?>
<formControlPr xmlns="http://schemas.microsoft.com/office/spreadsheetml/2009/9/main" objectType="CheckBox" lockText="1" noThreeD="1"/>
</file>

<file path=xl/ctrlProps/ctrlProp454.xml><?xml version="1.0" encoding="utf-8"?>
<formControlPr xmlns="http://schemas.microsoft.com/office/spreadsheetml/2009/9/main" objectType="CheckBox" fmlaLink="$G$377" lockText="1" noThreeD="1"/>
</file>

<file path=xl/ctrlProps/ctrlProp455.xml><?xml version="1.0" encoding="utf-8"?>
<formControlPr xmlns="http://schemas.microsoft.com/office/spreadsheetml/2009/9/main" objectType="CheckBox" lockText="1" noThreeD="1"/>
</file>

<file path=xl/ctrlProps/ctrlProp456.xml><?xml version="1.0" encoding="utf-8"?>
<formControlPr xmlns="http://schemas.microsoft.com/office/spreadsheetml/2009/9/main" objectType="CheckBox" fmlaLink="$G$379" lockText="1" noThreeD="1"/>
</file>

<file path=xl/ctrlProps/ctrlProp457.xml><?xml version="1.0" encoding="utf-8"?>
<formControlPr xmlns="http://schemas.microsoft.com/office/spreadsheetml/2009/9/main" objectType="CheckBox" lockText="1" noThreeD="1"/>
</file>

<file path=xl/ctrlProps/ctrlProp458.xml><?xml version="1.0" encoding="utf-8"?>
<formControlPr xmlns="http://schemas.microsoft.com/office/spreadsheetml/2009/9/main" objectType="CheckBox" fmlaLink="$G$380" lockText="1" noThreeD="1"/>
</file>

<file path=xl/ctrlProps/ctrlProp459.xml><?xml version="1.0" encoding="utf-8"?>
<formControlPr xmlns="http://schemas.microsoft.com/office/spreadsheetml/2009/9/main" objectType="CheckBox" lockText="1" noThreeD="1"/>
</file>

<file path=xl/ctrlProps/ctrlProp460.xml><?xml version="1.0" encoding="utf-8"?>
<formControlPr xmlns="http://schemas.microsoft.com/office/spreadsheetml/2009/9/main" objectType="CheckBox" fmlaLink="$G$382" lockText="1" noThreeD="1"/>
</file>

<file path=xl/ctrlProps/ctrlProp461.xml><?xml version="1.0" encoding="utf-8"?>
<formControlPr xmlns="http://schemas.microsoft.com/office/spreadsheetml/2009/9/main" objectType="CheckBox" lockText="1" noThreeD="1"/>
</file>

<file path=xl/ctrlProps/ctrlProp462.xml><?xml version="1.0" encoding="utf-8"?>
<formControlPr xmlns="http://schemas.microsoft.com/office/spreadsheetml/2009/9/main" objectType="CheckBox" fmlaLink="$G$383" lockText="1" noThreeD="1"/>
</file>

<file path=xl/ctrlProps/ctrlProp463.xml><?xml version="1.0" encoding="utf-8"?>
<formControlPr xmlns="http://schemas.microsoft.com/office/spreadsheetml/2009/9/main" objectType="CheckBox" lockText="1" noThreeD="1"/>
</file>

<file path=xl/ctrlProps/ctrlProp464.xml><?xml version="1.0" encoding="utf-8"?>
<formControlPr xmlns="http://schemas.microsoft.com/office/spreadsheetml/2009/9/main" objectType="CheckBox" fmlaLink="$G$385" lockText="1" noThreeD="1"/>
</file>

<file path=xl/ctrlProps/ctrlProp465.xml><?xml version="1.0" encoding="utf-8"?>
<formControlPr xmlns="http://schemas.microsoft.com/office/spreadsheetml/2009/9/main" objectType="CheckBox" lockText="1" noThreeD="1"/>
</file>

<file path=xl/ctrlProps/ctrlProp466.xml><?xml version="1.0" encoding="utf-8"?>
<formControlPr xmlns="http://schemas.microsoft.com/office/spreadsheetml/2009/9/main" objectType="CheckBox" fmlaLink="$G$386" lockText="1" noThreeD="1"/>
</file>

<file path=xl/ctrlProps/ctrlProp467.xml><?xml version="1.0" encoding="utf-8"?>
<formControlPr xmlns="http://schemas.microsoft.com/office/spreadsheetml/2009/9/main" objectType="CheckBox" lockText="1" noThreeD="1"/>
</file>

<file path=xl/ctrlProps/ctrlProp468.xml><?xml version="1.0" encoding="utf-8"?>
<formControlPr xmlns="http://schemas.microsoft.com/office/spreadsheetml/2009/9/main" objectType="CheckBox" fmlaLink="$G$388" lockText="1" noThreeD="1"/>
</file>

<file path=xl/ctrlProps/ctrlProp469.xml><?xml version="1.0" encoding="utf-8"?>
<formControlPr xmlns="http://schemas.microsoft.com/office/spreadsheetml/2009/9/main" objectType="CheckBox" lockText="1" noThreeD="1"/>
</file>

<file path=xl/ctrlProps/ctrlProp470.xml><?xml version="1.0" encoding="utf-8"?>
<formControlPr xmlns="http://schemas.microsoft.com/office/spreadsheetml/2009/9/main" objectType="CheckBox" fmlaLink="$G$389" lockText="1" noThreeD="1"/>
</file>

<file path=xl/ctrlProps/ctrlProp471.xml><?xml version="1.0" encoding="utf-8"?>
<formControlPr xmlns="http://schemas.microsoft.com/office/spreadsheetml/2009/9/main" objectType="CheckBox" lockText="1" noThreeD="1"/>
</file>

<file path=xl/ctrlProps/ctrlProp472.xml><?xml version="1.0" encoding="utf-8"?>
<formControlPr xmlns="http://schemas.microsoft.com/office/spreadsheetml/2009/9/main" objectType="CheckBox" fmlaLink="$G$390" lockText="1" noThreeD="1"/>
</file>

<file path=xl/ctrlProps/ctrlProp473.xml><?xml version="1.0" encoding="utf-8"?>
<formControlPr xmlns="http://schemas.microsoft.com/office/spreadsheetml/2009/9/main" objectType="CheckBox" lockText="1" noThreeD="1"/>
</file>

<file path=xl/ctrlProps/ctrlProp474.xml><?xml version="1.0" encoding="utf-8"?>
<formControlPr xmlns="http://schemas.microsoft.com/office/spreadsheetml/2009/9/main" objectType="CheckBox" fmlaLink="$G$392" lockText="1" noThreeD="1"/>
</file>

<file path=xl/ctrlProps/ctrlProp475.xml><?xml version="1.0" encoding="utf-8"?>
<formControlPr xmlns="http://schemas.microsoft.com/office/spreadsheetml/2009/9/main" objectType="CheckBox" lockText="1" noThreeD="1"/>
</file>

<file path=xl/ctrlProps/ctrlProp476.xml><?xml version="1.0" encoding="utf-8"?>
<formControlPr xmlns="http://schemas.microsoft.com/office/spreadsheetml/2009/9/main" objectType="CheckBox" fmlaLink="$G$393" lockText="1" noThreeD="1"/>
</file>

<file path=xl/ctrlProps/ctrlProp477.xml><?xml version="1.0" encoding="utf-8"?>
<formControlPr xmlns="http://schemas.microsoft.com/office/spreadsheetml/2009/9/main" objectType="CheckBox" lockText="1" noThreeD="1"/>
</file>

<file path=xl/ctrlProps/ctrlProp478.xml><?xml version="1.0" encoding="utf-8"?>
<formControlPr xmlns="http://schemas.microsoft.com/office/spreadsheetml/2009/9/main" objectType="CheckBox" fmlaLink="$G$395" lockText="1" noThreeD="1"/>
</file>

<file path=xl/ctrlProps/ctrlProp479.xml><?xml version="1.0" encoding="utf-8"?>
<formControlPr xmlns="http://schemas.microsoft.com/office/spreadsheetml/2009/9/main" objectType="CheckBox" lockText="1" noThreeD="1"/>
</file>

<file path=xl/ctrlProps/ctrlProp480.xml><?xml version="1.0" encoding="utf-8"?>
<formControlPr xmlns="http://schemas.microsoft.com/office/spreadsheetml/2009/9/main" objectType="CheckBox" fmlaLink="$G$396" lockText="1" noThreeD="1"/>
</file>

<file path=xl/ctrlProps/ctrlProp481.xml><?xml version="1.0" encoding="utf-8"?>
<formControlPr xmlns="http://schemas.microsoft.com/office/spreadsheetml/2009/9/main" objectType="CheckBox" lockText="1" noThreeD="1"/>
</file>

<file path=xl/ctrlProps/ctrlProp482.xml><?xml version="1.0" encoding="utf-8"?>
<formControlPr xmlns="http://schemas.microsoft.com/office/spreadsheetml/2009/9/main" objectType="CheckBox" fmlaLink="$G$399" lockText="1" noThreeD="1"/>
</file>

<file path=xl/ctrlProps/ctrlProp483.xml><?xml version="1.0" encoding="utf-8"?>
<formControlPr xmlns="http://schemas.microsoft.com/office/spreadsheetml/2009/9/main" objectType="CheckBox" lockText="1" noThreeD="1"/>
</file>

<file path=xl/ctrlProps/ctrlProp484.xml><?xml version="1.0" encoding="utf-8"?>
<formControlPr xmlns="http://schemas.microsoft.com/office/spreadsheetml/2009/9/main" objectType="CheckBox" fmlaLink="$G$400" lockText="1" noThreeD="1"/>
</file>

<file path=xl/ctrlProps/ctrlProp485.xml><?xml version="1.0" encoding="utf-8"?>
<formControlPr xmlns="http://schemas.microsoft.com/office/spreadsheetml/2009/9/main" objectType="CheckBox" lockText="1" noThreeD="1"/>
</file>

<file path=xl/ctrlProps/ctrlProp486.xml><?xml version="1.0" encoding="utf-8"?>
<formControlPr xmlns="http://schemas.microsoft.com/office/spreadsheetml/2009/9/main" objectType="CheckBox" fmlaLink="$G$401" lockText="1" noThreeD="1"/>
</file>

<file path=xl/ctrlProps/ctrlProp487.xml><?xml version="1.0" encoding="utf-8"?>
<formControlPr xmlns="http://schemas.microsoft.com/office/spreadsheetml/2009/9/main" objectType="CheckBox" lockText="1" noThreeD="1"/>
</file>

<file path=xl/ctrlProps/ctrlProp488.xml><?xml version="1.0" encoding="utf-8"?>
<formControlPr xmlns="http://schemas.microsoft.com/office/spreadsheetml/2009/9/main" objectType="CheckBox" fmlaLink="$G$403" lockText="1" noThreeD="1"/>
</file>

<file path=xl/ctrlProps/ctrlProp489.xml><?xml version="1.0" encoding="utf-8"?>
<formControlPr xmlns="http://schemas.microsoft.com/office/spreadsheetml/2009/9/main" objectType="CheckBox" lockText="1" noThreeD="1"/>
</file>

<file path=xl/ctrlProps/ctrlProp490.xml><?xml version="1.0" encoding="utf-8"?>
<formControlPr xmlns="http://schemas.microsoft.com/office/spreadsheetml/2009/9/main" objectType="CheckBox" fmlaLink="$G$404" lockText="1" noThreeD="1"/>
</file>

<file path=xl/ctrlProps/ctrlProp491.xml><?xml version="1.0" encoding="utf-8"?>
<formControlPr xmlns="http://schemas.microsoft.com/office/spreadsheetml/2009/9/main" objectType="CheckBox" lockText="1" noThreeD="1"/>
</file>

<file path=xl/ctrlProps/ctrlProp492.xml><?xml version="1.0" encoding="utf-8"?>
<formControlPr xmlns="http://schemas.microsoft.com/office/spreadsheetml/2009/9/main" objectType="CheckBox" fmlaLink="$G$406" lockText="1" noThreeD="1"/>
</file>

<file path=xl/ctrlProps/ctrlProp493.xml><?xml version="1.0" encoding="utf-8"?>
<formControlPr xmlns="http://schemas.microsoft.com/office/spreadsheetml/2009/9/main" objectType="CheckBox" lockText="1" noThreeD="1"/>
</file>

<file path=xl/ctrlProps/ctrlProp494.xml><?xml version="1.0" encoding="utf-8"?>
<formControlPr xmlns="http://schemas.microsoft.com/office/spreadsheetml/2009/9/main" objectType="CheckBox" fmlaLink="$G$407" lockText="1" noThreeD="1"/>
</file>

<file path=xl/ctrlProps/ctrlProp495.xml><?xml version="1.0" encoding="utf-8"?>
<formControlPr xmlns="http://schemas.microsoft.com/office/spreadsheetml/2009/9/main" objectType="CheckBox" lockText="1" noThreeD="1"/>
</file>

<file path=xl/ctrlProps/ctrlProp496.xml><?xml version="1.0" encoding="utf-8"?>
<formControlPr xmlns="http://schemas.microsoft.com/office/spreadsheetml/2009/9/main" objectType="CheckBox" fmlaLink="$G$408" lockText="1" noThreeD="1"/>
</file>

<file path=xl/ctrlProps/ctrlProp497.xml><?xml version="1.0" encoding="utf-8"?>
<formControlPr xmlns="http://schemas.microsoft.com/office/spreadsheetml/2009/9/main" objectType="CheckBox" lockText="1" noThreeD="1"/>
</file>

<file path=xl/ctrlProps/ctrlProp498.xml><?xml version="1.0" encoding="utf-8"?>
<formControlPr xmlns="http://schemas.microsoft.com/office/spreadsheetml/2009/9/main" objectType="CheckBox" fmlaLink="$G$410" lockText="1" noThreeD="1"/>
</file>

<file path=xl/ctrlProps/ctrlProp499.xml><?xml version="1.0" encoding="utf-8"?>
<formControlPr xmlns="http://schemas.microsoft.com/office/spreadsheetml/2009/9/main" objectType="CheckBox" lockText="1" noThreeD="1"/>
</file>

<file path=xl/ctrlProps/ctrlProp500.xml><?xml version="1.0" encoding="utf-8"?>
<formControlPr xmlns="http://schemas.microsoft.com/office/spreadsheetml/2009/9/main" objectType="CheckBox" fmlaLink="$G$411" lockText="1" noThreeD="1"/>
</file>

<file path=xl/ctrlProps/ctrlProp501.xml><?xml version="1.0" encoding="utf-8"?>
<formControlPr xmlns="http://schemas.microsoft.com/office/spreadsheetml/2009/9/main" objectType="CheckBox" lockText="1" noThreeD="1"/>
</file>

<file path=xl/ctrlProps/ctrlProp502.xml><?xml version="1.0" encoding="utf-8"?>
<formControlPr xmlns="http://schemas.microsoft.com/office/spreadsheetml/2009/9/main" objectType="CheckBox" fmlaLink="$G$412" lockText="1" noThreeD="1"/>
</file>

<file path=xl/ctrlProps/ctrlProp503.xml><?xml version="1.0" encoding="utf-8"?>
<formControlPr xmlns="http://schemas.microsoft.com/office/spreadsheetml/2009/9/main" objectType="CheckBox" lockText="1" noThreeD="1"/>
</file>

<file path=xl/ctrlProps/ctrlProp504.xml><?xml version="1.0" encoding="utf-8"?>
<formControlPr xmlns="http://schemas.microsoft.com/office/spreadsheetml/2009/9/main" objectType="CheckBox" fmlaLink="$G$413" lockText="1" noThreeD="1"/>
</file>

<file path=xl/ctrlProps/ctrlProp505.xml><?xml version="1.0" encoding="utf-8"?>
<formControlPr xmlns="http://schemas.microsoft.com/office/spreadsheetml/2009/9/main" objectType="CheckBox" lockText="1" noThreeD="1"/>
</file>

<file path=xl/ctrlProps/ctrlProp506.xml><?xml version="1.0" encoding="utf-8"?>
<formControlPr xmlns="http://schemas.microsoft.com/office/spreadsheetml/2009/9/main" objectType="CheckBox" fmlaLink="$G$415" lockText="1" noThreeD="1"/>
</file>

<file path=xl/ctrlProps/ctrlProp507.xml><?xml version="1.0" encoding="utf-8"?>
<formControlPr xmlns="http://schemas.microsoft.com/office/spreadsheetml/2009/9/main" objectType="CheckBox" lockText="1" noThreeD="1"/>
</file>

<file path=xl/ctrlProps/ctrlProp508.xml><?xml version="1.0" encoding="utf-8"?>
<formControlPr xmlns="http://schemas.microsoft.com/office/spreadsheetml/2009/9/main" objectType="CheckBox" fmlaLink="$G$416" lockText="1" noThreeD="1"/>
</file>

<file path=xl/ctrlProps/ctrlProp509.xml><?xml version="1.0" encoding="utf-8"?>
<formControlPr xmlns="http://schemas.microsoft.com/office/spreadsheetml/2009/9/main" objectType="CheckBox" lockText="1" noThreeD="1"/>
</file>

<file path=xl/ctrlProps/ctrlProp510.xml><?xml version="1.0" encoding="utf-8"?>
<formControlPr xmlns="http://schemas.microsoft.com/office/spreadsheetml/2009/9/main" objectType="CheckBox" fmlaLink="$G$417" lockText="1" noThreeD="1"/>
</file>

<file path=xl/ctrlProps/ctrlProp511.xml><?xml version="1.0" encoding="utf-8"?>
<formControlPr xmlns="http://schemas.microsoft.com/office/spreadsheetml/2009/9/main" objectType="CheckBox" lockText="1" noThreeD="1"/>
</file>

<file path=xl/ctrlProps/ctrlProp512.xml><?xml version="1.0" encoding="utf-8"?>
<formControlPr xmlns="http://schemas.microsoft.com/office/spreadsheetml/2009/9/main" objectType="CheckBox" fmlaLink="$G$419" lockText="1" noThreeD="1"/>
</file>

<file path=xl/ctrlProps/ctrlProp513.xml><?xml version="1.0" encoding="utf-8"?>
<formControlPr xmlns="http://schemas.microsoft.com/office/spreadsheetml/2009/9/main" objectType="CheckBox" lockText="1" noThreeD="1"/>
</file>

<file path=xl/ctrlProps/ctrlProp514.xml><?xml version="1.0" encoding="utf-8"?>
<formControlPr xmlns="http://schemas.microsoft.com/office/spreadsheetml/2009/9/main" objectType="CheckBox" fmlaLink="$G$420" lockText="1" noThreeD="1"/>
</file>

<file path=xl/ctrlProps/ctrlProp515.xml><?xml version="1.0" encoding="utf-8"?>
<formControlPr xmlns="http://schemas.microsoft.com/office/spreadsheetml/2009/9/main" objectType="CheckBox" lockText="1" noThreeD="1"/>
</file>

<file path=xl/ctrlProps/ctrlProp516.xml><?xml version="1.0" encoding="utf-8"?>
<formControlPr xmlns="http://schemas.microsoft.com/office/spreadsheetml/2009/9/main" objectType="CheckBox" fmlaLink="$G$421" lockText="1" noThreeD="1"/>
</file>

<file path=xl/ctrlProps/ctrlProp517.xml><?xml version="1.0" encoding="utf-8"?>
<formControlPr xmlns="http://schemas.microsoft.com/office/spreadsheetml/2009/9/main" objectType="CheckBox" lockText="1" noThreeD="1"/>
</file>

<file path=xl/ctrlProps/ctrlProp518.xml><?xml version="1.0" encoding="utf-8"?>
<formControlPr xmlns="http://schemas.microsoft.com/office/spreadsheetml/2009/9/main" objectType="CheckBox" fmlaLink="$G$423" lockText="1" noThreeD="1"/>
</file>

<file path=xl/ctrlProps/ctrlProp519.xml><?xml version="1.0" encoding="utf-8"?>
<formControlPr xmlns="http://schemas.microsoft.com/office/spreadsheetml/2009/9/main" objectType="CheckBox" lockText="1" noThreeD="1"/>
</file>

<file path=xl/ctrlProps/ctrlProp520.xml><?xml version="1.0" encoding="utf-8"?>
<formControlPr xmlns="http://schemas.microsoft.com/office/spreadsheetml/2009/9/main" objectType="CheckBox" fmlaLink="$G$424" lockText="1" noThreeD="1"/>
</file>

<file path=xl/ctrlProps/ctrlProp521.xml><?xml version="1.0" encoding="utf-8"?>
<formControlPr xmlns="http://schemas.microsoft.com/office/spreadsheetml/2009/9/main" objectType="CheckBox" lockText="1" noThreeD="1"/>
</file>

<file path=xl/ctrlProps/ctrlProp522.xml><?xml version="1.0" encoding="utf-8"?>
<formControlPr xmlns="http://schemas.microsoft.com/office/spreadsheetml/2009/9/main" objectType="CheckBox" fmlaLink="$G$425" lockText="1" noThreeD="1"/>
</file>

<file path=xl/ctrlProps/ctrlProp523.xml><?xml version="1.0" encoding="utf-8"?>
<formControlPr xmlns="http://schemas.microsoft.com/office/spreadsheetml/2009/9/main" objectType="CheckBox" lockText="1" noThreeD="1"/>
</file>

<file path=xl/ctrlProps/ctrlProp524.xml><?xml version="1.0" encoding="utf-8"?>
<formControlPr xmlns="http://schemas.microsoft.com/office/spreadsheetml/2009/9/main" objectType="CheckBox" fmlaLink="$G$426" lockText="1" noThreeD="1"/>
</file>

<file path=xl/ctrlProps/ctrlProp525.xml><?xml version="1.0" encoding="utf-8"?>
<formControlPr xmlns="http://schemas.microsoft.com/office/spreadsheetml/2009/9/main" objectType="CheckBox" lockText="1" noThreeD="1"/>
</file>

<file path=xl/ctrlProps/ctrlProp526.xml><?xml version="1.0" encoding="utf-8"?>
<formControlPr xmlns="http://schemas.microsoft.com/office/spreadsheetml/2009/9/main" objectType="CheckBox" fmlaLink="$G$431" lockText="1" noThreeD="1"/>
</file>

<file path=xl/ctrlProps/ctrlProp527.xml><?xml version="1.0" encoding="utf-8"?>
<formControlPr xmlns="http://schemas.microsoft.com/office/spreadsheetml/2009/9/main" objectType="CheckBox" lockText="1" noThreeD="1"/>
</file>

<file path=xl/ctrlProps/ctrlProp528.xml><?xml version="1.0" encoding="utf-8"?>
<formControlPr xmlns="http://schemas.microsoft.com/office/spreadsheetml/2009/9/main" objectType="CheckBox" fmlaLink="$G$432" lockText="1" noThreeD="1"/>
</file>

<file path=xl/ctrlProps/ctrlProp529.xml><?xml version="1.0" encoding="utf-8"?>
<formControlPr xmlns="http://schemas.microsoft.com/office/spreadsheetml/2009/9/main" objectType="CheckBox" lockText="1" noThreeD="1"/>
</file>

<file path=xl/ctrlProps/ctrlProp530.xml><?xml version="1.0" encoding="utf-8"?>
<formControlPr xmlns="http://schemas.microsoft.com/office/spreadsheetml/2009/9/main" objectType="CheckBox" fmlaLink="$G$433" lockText="1" noThreeD="1"/>
</file>

<file path=xl/ctrlProps/ctrlProp531.xml><?xml version="1.0" encoding="utf-8"?>
<formControlPr xmlns="http://schemas.microsoft.com/office/spreadsheetml/2009/9/main" objectType="CheckBox" lockText="1" noThreeD="1"/>
</file>

<file path=xl/ctrlProps/ctrlProp532.xml><?xml version="1.0" encoding="utf-8"?>
<formControlPr xmlns="http://schemas.microsoft.com/office/spreadsheetml/2009/9/main" objectType="CheckBox" fmlaLink="$G$434" lockText="1" noThreeD="1"/>
</file>

<file path=xl/ctrlProps/ctrlProp533.xml><?xml version="1.0" encoding="utf-8"?>
<formControlPr xmlns="http://schemas.microsoft.com/office/spreadsheetml/2009/9/main" objectType="CheckBox" lockText="1" noThreeD="1"/>
</file>

<file path=xl/ctrlProps/ctrlProp534.xml><?xml version="1.0" encoding="utf-8"?>
<formControlPr xmlns="http://schemas.microsoft.com/office/spreadsheetml/2009/9/main" objectType="CheckBox" fmlaLink="$G$435" lockText="1" noThreeD="1"/>
</file>

<file path=xl/ctrlProps/ctrlProp535.xml><?xml version="1.0" encoding="utf-8"?>
<formControlPr xmlns="http://schemas.microsoft.com/office/spreadsheetml/2009/9/main" objectType="CheckBox" lockText="1" noThreeD="1"/>
</file>

<file path=xl/ctrlProps/ctrlProp536.xml><?xml version="1.0" encoding="utf-8"?>
<formControlPr xmlns="http://schemas.microsoft.com/office/spreadsheetml/2009/9/main" objectType="CheckBox" fmlaLink="$G$436" lockText="1" noThreeD="1"/>
</file>

<file path=xl/ctrlProps/ctrlProp537.xml><?xml version="1.0" encoding="utf-8"?>
<formControlPr xmlns="http://schemas.microsoft.com/office/spreadsheetml/2009/9/main" objectType="CheckBox" lockText="1" noThreeD="1"/>
</file>

<file path=xl/ctrlProps/ctrlProp538.xml><?xml version="1.0" encoding="utf-8"?>
<formControlPr xmlns="http://schemas.microsoft.com/office/spreadsheetml/2009/9/main" objectType="CheckBox" fmlaLink="$G$438" lockText="1" noThreeD="1"/>
</file>

<file path=xl/ctrlProps/ctrlProp539.xml><?xml version="1.0" encoding="utf-8"?>
<formControlPr xmlns="http://schemas.microsoft.com/office/spreadsheetml/2009/9/main" objectType="CheckBox" lockText="1" noThreeD="1"/>
</file>

<file path=xl/ctrlProps/ctrlProp540.xml><?xml version="1.0" encoding="utf-8"?>
<formControlPr xmlns="http://schemas.microsoft.com/office/spreadsheetml/2009/9/main" objectType="CheckBox" fmlaLink="$G$439" lockText="1" noThreeD="1"/>
</file>

<file path=xl/ctrlProps/ctrlProp541.xml><?xml version="1.0" encoding="utf-8"?>
<formControlPr xmlns="http://schemas.microsoft.com/office/spreadsheetml/2009/9/main" objectType="CheckBox" lockText="1" noThreeD="1"/>
</file>

<file path=xl/ctrlProps/ctrlProp542.xml><?xml version="1.0" encoding="utf-8"?>
<formControlPr xmlns="http://schemas.microsoft.com/office/spreadsheetml/2009/9/main" objectType="CheckBox" fmlaLink="$G$440" lockText="1" noThreeD="1"/>
</file>

<file path=xl/ctrlProps/ctrlProp543.xml><?xml version="1.0" encoding="utf-8"?>
<formControlPr xmlns="http://schemas.microsoft.com/office/spreadsheetml/2009/9/main" objectType="CheckBox" lockText="1" noThreeD="1"/>
</file>

<file path=xl/ctrlProps/ctrlProp544.xml><?xml version="1.0" encoding="utf-8"?>
<formControlPr xmlns="http://schemas.microsoft.com/office/spreadsheetml/2009/9/main" objectType="CheckBox" fmlaLink="$G$441" lockText="1" noThreeD="1"/>
</file>

<file path=xl/ctrlProps/ctrlProp545.xml><?xml version="1.0" encoding="utf-8"?>
<formControlPr xmlns="http://schemas.microsoft.com/office/spreadsheetml/2009/9/main" objectType="CheckBox" lockText="1" noThreeD="1"/>
</file>

<file path=xl/ctrlProps/ctrlProp546.xml><?xml version="1.0" encoding="utf-8"?>
<formControlPr xmlns="http://schemas.microsoft.com/office/spreadsheetml/2009/9/main" objectType="CheckBox" fmlaLink="$G$442" lockText="1" noThreeD="1"/>
</file>

<file path=xl/ctrlProps/ctrlProp547.xml><?xml version="1.0" encoding="utf-8"?>
<formControlPr xmlns="http://schemas.microsoft.com/office/spreadsheetml/2009/9/main" objectType="CheckBox" lockText="1" noThreeD="1"/>
</file>

<file path=xl/ctrlProps/ctrlProp548.xml><?xml version="1.0" encoding="utf-8"?>
<formControlPr xmlns="http://schemas.microsoft.com/office/spreadsheetml/2009/9/main" objectType="CheckBox" fmlaLink="$G$443" lockText="1" noThreeD="1"/>
</file>

<file path=xl/ctrlProps/ctrlProp549.xml><?xml version="1.0" encoding="utf-8"?>
<formControlPr xmlns="http://schemas.microsoft.com/office/spreadsheetml/2009/9/main" objectType="CheckBox" lockText="1" noThreeD="1"/>
</file>

<file path=xl/ctrlProps/ctrlProp550.xml><?xml version="1.0" encoding="utf-8"?>
<formControlPr xmlns="http://schemas.microsoft.com/office/spreadsheetml/2009/9/main" objectType="CheckBox" fmlaLink="$G$444" lockText="1" noThreeD="1"/>
</file>

<file path=xl/ctrlProps/ctrlProp551.xml><?xml version="1.0" encoding="utf-8"?>
<formControlPr xmlns="http://schemas.microsoft.com/office/spreadsheetml/2009/9/main" objectType="CheckBox" lockText="1" noThreeD="1"/>
</file>

<file path=xl/ctrlProps/ctrlProp552.xml><?xml version="1.0" encoding="utf-8"?>
<formControlPr xmlns="http://schemas.microsoft.com/office/spreadsheetml/2009/9/main" objectType="CheckBox" fmlaLink="$G$445"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fmlaLink="$G$447" lockText="1" noThreeD="1"/>
</file>

<file path=xl/ctrlProps/ctrlProp555.xml><?xml version="1.0" encoding="utf-8"?>
<formControlPr xmlns="http://schemas.microsoft.com/office/spreadsheetml/2009/9/main" objectType="CheckBox" lockText="1" noThreeD="1"/>
</file>

<file path=xl/ctrlProps/ctrlProp556.xml><?xml version="1.0" encoding="utf-8"?>
<formControlPr xmlns="http://schemas.microsoft.com/office/spreadsheetml/2009/9/main" objectType="CheckBox" fmlaLink="$G$448" lockText="1" noThreeD="1"/>
</file>

<file path=xl/ctrlProps/ctrlProp557.xml><?xml version="1.0" encoding="utf-8"?>
<formControlPr xmlns="http://schemas.microsoft.com/office/spreadsheetml/2009/9/main" objectType="CheckBox" lockText="1" noThreeD="1"/>
</file>

<file path=xl/ctrlProps/ctrlProp558.xml><?xml version="1.0" encoding="utf-8"?>
<formControlPr xmlns="http://schemas.microsoft.com/office/spreadsheetml/2009/9/main" objectType="CheckBox" fmlaLink="$G$449" lockText="1" noThreeD="1"/>
</file>

<file path=xl/ctrlProps/ctrlProp559.xml><?xml version="1.0" encoding="utf-8"?>
<formControlPr xmlns="http://schemas.microsoft.com/office/spreadsheetml/2009/9/main" objectType="CheckBox" lockText="1" noThreeD="1"/>
</file>

<file path=xl/ctrlProps/ctrlProp560.xml><?xml version="1.0" encoding="utf-8"?>
<formControlPr xmlns="http://schemas.microsoft.com/office/spreadsheetml/2009/9/main" objectType="CheckBox" fmlaLink="$G$451"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fmlaLink="$G$452" lockText="1" noThreeD="1"/>
</file>

<file path=xl/ctrlProps/ctrlProp563.xml><?xml version="1.0" encoding="utf-8"?>
<formControlPr xmlns="http://schemas.microsoft.com/office/spreadsheetml/2009/9/main" objectType="CheckBox" lockText="1" noThreeD="1"/>
</file>

<file path=xl/ctrlProps/ctrlProp564.xml><?xml version="1.0" encoding="utf-8"?>
<formControlPr xmlns="http://schemas.microsoft.com/office/spreadsheetml/2009/9/main" objectType="CheckBox" fmlaLink="$G$453" lockText="1" noThreeD="1"/>
</file>

<file path=xl/ctrlProps/ctrlProp565.xml><?xml version="1.0" encoding="utf-8"?>
<formControlPr xmlns="http://schemas.microsoft.com/office/spreadsheetml/2009/9/main" objectType="CheckBox" lockText="1" noThreeD="1"/>
</file>

<file path=xl/ctrlProps/ctrlProp566.xml><?xml version="1.0" encoding="utf-8"?>
<formControlPr xmlns="http://schemas.microsoft.com/office/spreadsheetml/2009/9/main" objectType="CheckBox" fmlaLink="$G$454" lockText="1" noThreeD="1"/>
</file>

<file path=xl/ctrlProps/ctrlProp567.xml><?xml version="1.0" encoding="utf-8"?>
<formControlPr xmlns="http://schemas.microsoft.com/office/spreadsheetml/2009/9/main" objectType="CheckBox" lockText="1" noThreeD="1"/>
</file>

<file path=xl/ctrlProps/ctrlProp568.xml><?xml version="1.0" encoding="utf-8"?>
<formControlPr xmlns="http://schemas.microsoft.com/office/spreadsheetml/2009/9/main" objectType="CheckBox" fmlaLink="$G$455" lockText="1" noThreeD="1"/>
</file>

<file path=xl/ctrlProps/ctrlProp569.xml><?xml version="1.0" encoding="utf-8"?>
<formControlPr xmlns="http://schemas.microsoft.com/office/spreadsheetml/2009/9/main" objectType="CheckBox" lockText="1" noThreeD="1"/>
</file>

<file path=xl/ctrlProps/ctrlProp570.xml><?xml version="1.0" encoding="utf-8"?>
<formControlPr xmlns="http://schemas.microsoft.com/office/spreadsheetml/2009/9/main" objectType="CheckBox" fmlaLink="$G$456" lockText="1" noThreeD="1"/>
</file>

<file path=xl/ctrlProps/ctrlProp571.xml><?xml version="1.0" encoding="utf-8"?>
<formControlPr xmlns="http://schemas.microsoft.com/office/spreadsheetml/2009/9/main" objectType="CheckBox" lockText="1" noThreeD="1"/>
</file>

<file path=xl/ctrlProps/ctrlProp572.xml><?xml version="1.0" encoding="utf-8"?>
<formControlPr xmlns="http://schemas.microsoft.com/office/spreadsheetml/2009/9/main" objectType="CheckBox" fmlaLink="$G$457" lockText="1" noThreeD="1"/>
</file>

<file path=xl/ctrlProps/ctrlProp573.xml><?xml version="1.0" encoding="utf-8"?>
<formControlPr xmlns="http://schemas.microsoft.com/office/spreadsheetml/2009/9/main" objectType="CheckBox" lockText="1" noThreeD="1"/>
</file>

<file path=xl/ctrlProps/ctrlProp574.xml><?xml version="1.0" encoding="utf-8"?>
<formControlPr xmlns="http://schemas.microsoft.com/office/spreadsheetml/2009/9/main" objectType="CheckBox" fmlaLink="$G$460" lockText="1" noThreeD="1"/>
</file>

<file path=xl/ctrlProps/ctrlProp575.xml><?xml version="1.0" encoding="utf-8"?>
<formControlPr xmlns="http://schemas.microsoft.com/office/spreadsheetml/2009/9/main" objectType="CheckBox" lockText="1" noThreeD="1"/>
</file>

<file path=xl/ctrlProps/ctrlProp576.xml><?xml version="1.0" encoding="utf-8"?>
<formControlPr xmlns="http://schemas.microsoft.com/office/spreadsheetml/2009/9/main" objectType="CheckBox" fmlaLink="$G$461" lockText="1" noThreeD="1"/>
</file>

<file path=xl/ctrlProps/ctrlProp577.xml><?xml version="1.0" encoding="utf-8"?>
<formControlPr xmlns="http://schemas.microsoft.com/office/spreadsheetml/2009/9/main" objectType="CheckBox" lockText="1" noThreeD="1"/>
</file>

<file path=xl/ctrlProps/ctrlProp578.xml><?xml version="1.0" encoding="utf-8"?>
<formControlPr xmlns="http://schemas.microsoft.com/office/spreadsheetml/2009/9/main" objectType="CheckBox" fmlaLink="$G$462" lockText="1" noThreeD="1"/>
</file>

<file path=xl/ctrlProps/ctrlProp579.xml><?xml version="1.0" encoding="utf-8"?>
<formControlPr xmlns="http://schemas.microsoft.com/office/spreadsheetml/2009/9/main" objectType="CheckBox" lockText="1" noThreeD="1"/>
</file>

<file path=xl/ctrlProps/ctrlProp580.xml><?xml version="1.0" encoding="utf-8"?>
<formControlPr xmlns="http://schemas.microsoft.com/office/spreadsheetml/2009/9/main" objectType="CheckBox" fmlaLink="$G$463" lockText="1" noThreeD="1"/>
</file>

<file path=xl/ctrlProps/ctrlProp581.xml><?xml version="1.0" encoding="utf-8"?>
<formControlPr xmlns="http://schemas.microsoft.com/office/spreadsheetml/2009/9/main" objectType="CheckBox" lockText="1" noThreeD="1"/>
</file>

<file path=xl/ctrlProps/ctrlProp582.xml><?xml version="1.0" encoding="utf-8"?>
<formControlPr xmlns="http://schemas.microsoft.com/office/spreadsheetml/2009/9/main" objectType="CheckBox" fmlaLink="$G$464" lockText="1" noThreeD="1"/>
</file>

<file path=xl/ctrlProps/ctrlProp583.xml><?xml version="1.0" encoding="utf-8"?>
<formControlPr xmlns="http://schemas.microsoft.com/office/spreadsheetml/2009/9/main" objectType="CheckBox" lockText="1" noThreeD="1"/>
</file>

<file path=xl/ctrlProps/ctrlProp584.xml><?xml version="1.0" encoding="utf-8"?>
<formControlPr xmlns="http://schemas.microsoft.com/office/spreadsheetml/2009/9/main" objectType="CheckBox" fmlaLink="$G$465" lockText="1" noThreeD="1"/>
</file>

<file path=xl/ctrlProps/ctrlProp585.xml><?xml version="1.0" encoding="utf-8"?>
<formControlPr xmlns="http://schemas.microsoft.com/office/spreadsheetml/2009/9/main" objectType="CheckBox" lockText="1" noThreeD="1"/>
</file>

<file path=xl/ctrlProps/ctrlProp586.xml><?xml version="1.0" encoding="utf-8"?>
<formControlPr xmlns="http://schemas.microsoft.com/office/spreadsheetml/2009/9/main" objectType="CheckBox" fmlaLink="$G$466" lockText="1" noThreeD="1"/>
</file>

<file path=xl/ctrlProps/ctrlProp587.xml><?xml version="1.0" encoding="utf-8"?>
<formControlPr xmlns="http://schemas.microsoft.com/office/spreadsheetml/2009/9/main" objectType="CheckBox" lockText="1" noThreeD="1"/>
</file>

<file path=xl/ctrlProps/ctrlProp588.xml><?xml version="1.0" encoding="utf-8"?>
<formControlPr xmlns="http://schemas.microsoft.com/office/spreadsheetml/2009/9/main" objectType="CheckBox" fmlaLink="$G$467" lockText="1" noThreeD="1"/>
</file>

<file path=xl/ctrlProps/ctrlProp589.xml><?xml version="1.0" encoding="utf-8"?>
<formControlPr xmlns="http://schemas.microsoft.com/office/spreadsheetml/2009/9/main" objectType="CheckBox" lockText="1" noThreeD="1"/>
</file>

<file path=xl/ctrlProps/ctrlProp590.xml><?xml version="1.0" encoding="utf-8"?>
<formControlPr xmlns="http://schemas.microsoft.com/office/spreadsheetml/2009/9/main" objectType="CheckBox" fmlaLink="$G$469" lockText="1" noThreeD="1"/>
</file>

<file path=xl/ctrlProps/ctrlProp591.xml><?xml version="1.0" encoding="utf-8"?>
<formControlPr xmlns="http://schemas.microsoft.com/office/spreadsheetml/2009/9/main" objectType="CheckBox" lockText="1" noThreeD="1"/>
</file>

<file path=xl/ctrlProps/ctrlProp592.xml><?xml version="1.0" encoding="utf-8"?>
<formControlPr xmlns="http://schemas.microsoft.com/office/spreadsheetml/2009/9/main" objectType="CheckBox" fmlaLink="$G$470" lockText="1" noThreeD="1"/>
</file>

<file path=xl/ctrlProps/ctrlProp593.xml><?xml version="1.0" encoding="utf-8"?>
<formControlPr xmlns="http://schemas.microsoft.com/office/spreadsheetml/2009/9/main" objectType="CheckBox" lockText="1" noThreeD="1"/>
</file>

<file path=xl/ctrlProps/ctrlProp594.xml><?xml version="1.0" encoding="utf-8"?>
<formControlPr xmlns="http://schemas.microsoft.com/office/spreadsheetml/2009/9/main" objectType="CheckBox" fmlaLink="$G$471" lockText="1" noThreeD="1"/>
</file>

<file path=xl/ctrlProps/ctrlProp595.xml><?xml version="1.0" encoding="utf-8"?>
<formControlPr xmlns="http://schemas.microsoft.com/office/spreadsheetml/2009/9/main" objectType="CheckBox" lockText="1" noThreeD="1"/>
</file>

<file path=xl/ctrlProps/ctrlProp596.xml><?xml version="1.0" encoding="utf-8"?>
<formControlPr xmlns="http://schemas.microsoft.com/office/spreadsheetml/2009/9/main" objectType="CheckBox" fmlaLink="$G$473" lockText="1" noThreeD="1"/>
</file>

<file path=xl/ctrlProps/ctrlProp597.xml><?xml version="1.0" encoding="utf-8"?>
<formControlPr xmlns="http://schemas.microsoft.com/office/spreadsheetml/2009/9/main" objectType="CheckBox" lockText="1" noThreeD="1"/>
</file>

<file path=xl/ctrlProps/ctrlProp598.xml><?xml version="1.0" encoding="utf-8"?>
<formControlPr xmlns="http://schemas.microsoft.com/office/spreadsheetml/2009/9/main" objectType="CheckBox" fmlaLink="$G$474" lockText="1" noThreeD="1"/>
</file>

<file path=xl/ctrlProps/ctrlProp599.xml><?xml version="1.0" encoding="utf-8"?>
<formControlPr xmlns="http://schemas.microsoft.com/office/spreadsheetml/2009/9/main" objectType="CheckBox" lockText="1" noThreeD="1"/>
</file>

<file path=xl/ctrlProps/ctrlProp600.xml><?xml version="1.0" encoding="utf-8"?>
<formControlPr xmlns="http://schemas.microsoft.com/office/spreadsheetml/2009/9/main" objectType="CheckBox" fmlaLink="$G$475" lockText="1" noThreeD="1"/>
</file>

<file path=xl/ctrlProps/ctrlProp601.xml><?xml version="1.0" encoding="utf-8"?>
<formControlPr xmlns="http://schemas.microsoft.com/office/spreadsheetml/2009/9/main" objectType="CheckBox" lockText="1" noThreeD="1"/>
</file>

<file path=xl/ctrlProps/ctrlProp602.xml><?xml version="1.0" encoding="utf-8"?>
<formControlPr xmlns="http://schemas.microsoft.com/office/spreadsheetml/2009/9/main" objectType="CheckBox" fmlaLink="$G$477" lockText="1" noThreeD="1"/>
</file>

<file path=xl/ctrlProps/ctrlProp603.xml><?xml version="1.0" encoding="utf-8"?>
<formControlPr xmlns="http://schemas.microsoft.com/office/spreadsheetml/2009/9/main" objectType="CheckBox" lockText="1" noThreeD="1"/>
</file>

<file path=xl/ctrlProps/ctrlProp604.xml><?xml version="1.0" encoding="utf-8"?>
<formControlPr xmlns="http://schemas.microsoft.com/office/spreadsheetml/2009/9/main" objectType="CheckBox" fmlaLink="$G$478" lockText="1" noThreeD="1"/>
</file>

<file path=xl/ctrlProps/ctrlProp605.xml><?xml version="1.0" encoding="utf-8"?>
<formControlPr xmlns="http://schemas.microsoft.com/office/spreadsheetml/2009/9/main" objectType="CheckBox" lockText="1" noThreeD="1"/>
</file>

<file path=xl/ctrlProps/ctrlProp606.xml><?xml version="1.0" encoding="utf-8"?>
<formControlPr xmlns="http://schemas.microsoft.com/office/spreadsheetml/2009/9/main" objectType="CheckBox" fmlaLink="$G$479" lockText="1" noThreeD="1"/>
</file>

<file path=xl/ctrlProps/ctrlProp607.xml><?xml version="1.0" encoding="utf-8"?>
<formControlPr xmlns="http://schemas.microsoft.com/office/spreadsheetml/2009/9/main" objectType="CheckBox" lockText="1" noThreeD="1"/>
</file>

<file path=xl/ctrlProps/ctrlProp608.xml><?xml version="1.0" encoding="utf-8"?>
<formControlPr xmlns="http://schemas.microsoft.com/office/spreadsheetml/2009/9/main" objectType="CheckBox" fmlaLink="$G$480" lockText="1" noThreeD="1"/>
</file>

<file path=xl/ctrlProps/ctrlProp609.xml><?xml version="1.0" encoding="utf-8"?>
<formControlPr xmlns="http://schemas.microsoft.com/office/spreadsheetml/2009/9/main" objectType="CheckBox" lockText="1" noThreeD="1"/>
</file>

<file path=xl/ctrlProps/ctrlProp610.xml><?xml version="1.0" encoding="utf-8"?>
<formControlPr xmlns="http://schemas.microsoft.com/office/spreadsheetml/2009/9/main" objectType="CheckBox" fmlaLink="$G$481" lockText="1" noThreeD="1"/>
</file>

<file path=xl/ctrlProps/ctrlProp611.xml><?xml version="1.0" encoding="utf-8"?>
<formControlPr xmlns="http://schemas.microsoft.com/office/spreadsheetml/2009/9/main" objectType="CheckBox" lockText="1" noThreeD="1"/>
</file>

<file path=xl/ctrlProps/ctrlProp612.xml><?xml version="1.0" encoding="utf-8"?>
<formControlPr xmlns="http://schemas.microsoft.com/office/spreadsheetml/2009/9/main" objectType="CheckBox" fmlaLink="$G$483" lockText="1" noThreeD="1"/>
</file>

<file path=xl/ctrlProps/ctrlProp613.xml><?xml version="1.0" encoding="utf-8"?>
<formControlPr xmlns="http://schemas.microsoft.com/office/spreadsheetml/2009/9/main" objectType="CheckBox" lockText="1" noThreeD="1"/>
</file>

<file path=xl/ctrlProps/ctrlProp614.xml><?xml version="1.0" encoding="utf-8"?>
<formControlPr xmlns="http://schemas.microsoft.com/office/spreadsheetml/2009/9/main" objectType="CheckBox" fmlaLink="$G$48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281940</xdr:colOff>
          <xdr:row>6</xdr:row>
          <xdr:rowOff>198120</xdr:rowOff>
        </xdr:from>
        <xdr:to>
          <xdr:col>4</xdr:col>
          <xdr:colOff>518160</xdr:colOff>
          <xdr:row>6</xdr:row>
          <xdr:rowOff>533400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7</xdr:row>
          <xdr:rowOff>198120</xdr:rowOff>
        </xdr:from>
        <xdr:to>
          <xdr:col>4</xdr:col>
          <xdr:colOff>518160</xdr:colOff>
          <xdr:row>7</xdr:row>
          <xdr:rowOff>533400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8</xdr:row>
          <xdr:rowOff>198120</xdr:rowOff>
        </xdr:from>
        <xdr:to>
          <xdr:col>4</xdr:col>
          <xdr:colOff>518160</xdr:colOff>
          <xdr:row>8</xdr:row>
          <xdr:rowOff>533400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9</xdr:row>
          <xdr:rowOff>198120</xdr:rowOff>
        </xdr:from>
        <xdr:to>
          <xdr:col>4</xdr:col>
          <xdr:colOff>518160</xdr:colOff>
          <xdr:row>9</xdr:row>
          <xdr:rowOff>533400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10</xdr:row>
          <xdr:rowOff>198120</xdr:rowOff>
        </xdr:from>
        <xdr:to>
          <xdr:col>4</xdr:col>
          <xdr:colOff>518160</xdr:colOff>
          <xdr:row>10</xdr:row>
          <xdr:rowOff>533400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12</xdr:row>
          <xdr:rowOff>198120</xdr:rowOff>
        </xdr:from>
        <xdr:to>
          <xdr:col>4</xdr:col>
          <xdr:colOff>518160</xdr:colOff>
          <xdr:row>12</xdr:row>
          <xdr:rowOff>533400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13</xdr:row>
          <xdr:rowOff>198120</xdr:rowOff>
        </xdr:from>
        <xdr:to>
          <xdr:col>4</xdr:col>
          <xdr:colOff>518160</xdr:colOff>
          <xdr:row>13</xdr:row>
          <xdr:rowOff>533400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14</xdr:row>
          <xdr:rowOff>198120</xdr:rowOff>
        </xdr:from>
        <xdr:to>
          <xdr:col>4</xdr:col>
          <xdr:colOff>518160</xdr:colOff>
          <xdr:row>14</xdr:row>
          <xdr:rowOff>533400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16</xdr:row>
          <xdr:rowOff>198120</xdr:rowOff>
        </xdr:from>
        <xdr:to>
          <xdr:col>4</xdr:col>
          <xdr:colOff>518160</xdr:colOff>
          <xdr:row>16</xdr:row>
          <xdr:rowOff>533400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16</xdr:row>
          <xdr:rowOff>198120</xdr:rowOff>
        </xdr:from>
        <xdr:to>
          <xdr:col>4</xdr:col>
          <xdr:colOff>518160</xdr:colOff>
          <xdr:row>16</xdr:row>
          <xdr:rowOff>533400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17</xdr:row>
          <xdr:rowOff>198120</xdr:rowOff>
        </xdr:from>
        <xdr:to>
          <xdr:col>4</xdr:col>
          <xdr:colOff>518160</xdr:colOff>
          <xdr:row>17</xdr:row>
          <xdr:rowOff>533400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18</xdr:row>
          <xdr:rowOff>198120</xdr:rowOff>
        </xdr:from>
        <xdr:to>
          <xdr:col>4</xdr:col>
          <xdr:colOff>518160</xdr:colOff>
          <xdr:row>18</xdr:row>
          <xdr:rowOff>533400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19</xdr:row>
          <xdr:rowOff>198120</xdr:rowOff>
        </xdr:from>
        <xdr:to>
          <xdr:col>4</xdr:col>
          <xdr:colOff>518160</xdr:colOff>
          <xdr:row>19</xdr:row>
          <xdr:rowOff>533400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21</xdr:row>
          <xdr:rowOff>198120</xdr:rowOff>
        </xdr:from>
        <xdr:to>
          <xdr:col>4</xdr:col>
          <xdr:colOff>518160</xdr:colOff>
          <xdr:row>21</xdr:row>
          <xdr:rowOff>533400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21</xdr:row>
          <xdr:rowOff>198120</xdr:rowOff>
        </xdr:from>
        <xdr:to>
          <xdr:col>4</xdr:col>
          <xdr:colOff>518160</xdr:colOff>
          <xdr:row>21</xdr:row>
          <xdr:rowOff>533400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22</xdr:row>
          <xdr:rowOff>198120</xdr:rowOff>
        </xdr:from>
        <xdr:to>
          <xdr:col>4</xdr:col>
          <xdr:colOff>518160</xdr:colOff>
          <xdr:row>22</xdr:row>
          <xdr:rowOff>533400</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23</xdr:row>
          <xdr:rowOff>198120</xdr:rowOff>
        </xdr:from>
        <xdr:to>
          <xdr:col>4</xdr:col>
          <xdr:colOff>518160</xdr:colOff>
          <xdr:row>23</xdr:row>
          <xdr:rowOff>533400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25</xdr:row>
          <xdr:rowOff>198120</xdr:rowOff>
        </xdr:from>
        <xdr:to>
          <xdr:col>4</xdr:col>
          <xdr:colOff>518160</xdr:colOff>
          <xdr:row>25</xdr:row>
          <xdr:rowOff>533400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25</xdr:row>
          <xdr:rowOff>198120</xdr:rowOff>
        </xdr:from>
        <xdr:to>
          <xdr:col>4</xdr:col>
          <xdr:colOff>518160</xdr:colOff>
          <xdr:row>25</xdr:row>
          <xdr:rowOff>533400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26</xdr:row>
          <xdr:rowOff>198120</xdr:rowOff>
        </xdr:from>
        <xdr:to>
          <xdr:col>4</xdr:col>
          <xdr:colOff>518160</xdr:colOff>
          <xdr:row>26</xdr:row>
          <xdr:rowOff>533400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27</xdr:row>
          <xdr:rowOff>198120</xdr:rowOff>
        </xdr:from>
        <xdr:to>
          <xdr:col>4</xdr:col>
          <xdr:colOff>518160</xdr:colOff>
          <xdr:row>27</xdr:row>
          <xdr:rowOff>533400</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29</xdr:row>
          <xdr:rowOff>198120</xdr:rowOff>
        </xdr:from>
        <xdr:to>
          <xdr:col>4</xdr:col>
          <xdr:colOff>518160</xdr:colOff>
          <xdr:row>29</xdr:row>
          <xdr:rowOff>533400</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29</xdr:row>
          <xdr:rowOff>198120</xdr:rowOff>
        </xdr:from>
        <xdr:to>
          <xdr:col>4</xdr:col>
          <xdr:colOff>518160</xdr:colOff>
          <xdr:row>29</xdr:row>
          <xdr:rowOff>533400</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30</xdr:row>
          <xdr:rowOff>198120</xdr:rowOff>
        </xdr:from>
        <xdr:to>
          <xdr:col>4</xdr:col>
          <xdr:colOff>518160</xdr:colOff>
          <xdr:row>30</xdr:row>
          <xdr:rowOff>533400</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31</xdr:row>
          <xdr:rowOff>198120</xdr:rowOff>
        </xdr:from>
        <xdr:to>
          <xdr:col>4</xdr:col>
          <xdr:colOff>518160</xdr:colOff>
          <xdr:row>31</xdr:row>
          <xdr:rowOff>533400</xdr:rowOff>
        </xdr:to>
        <xdr:sp macro="" textlink="">
          <xdr:nvSpPr>
            <xdr:cNvPr id="2080" name="Check Box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33</xdr:row>
          <xdr:rowOff>198120</xdr:rowOff>
        </xdr:from>
        <xdr:to>
          <xdr:col>4</xdr:col>
          <xdr:colOff>518160</xdr:colOff>
          <xdr:row>33</xdr:row>
          <xdr:rowOff>533400</xdr:rowOff>
        </xdr:to>
        <xdr:sp macro="" textlink="">
          <xdr:nvSpPr>
            <xdr:cNvPr id="2081" name="Check Box 33"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33</xdr:row>
          <xdr:rowOff>198120</xdr:rowOff>
        </xdr:from>
        <xdr:to>
          <xdr:col>4</xdr:col>
          <xdr:colOff>518160</xdr:colOff>
          <xdr:row>33</xdr:row>
          <xdr:rowOff>533400</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34</xdr:row>
          <xdr:rowOff>198120</xdr:rowOff>
        </xdr:from>
        <xdr:to>
          <xdr:col>4</xdr:col>
          <xdr:colOff>518160</xdr:colOff>
          <xdr:row>34</xdr:row>
          <xdr:rowOff>533400</xdr:rowOff>
        </xdr:to>
        <xdr:sp macro="" textlink="">
          <xdr:nvSpPr>
            <xdr:cNvPr id="2083" name="Check Box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35</xdr:row>
          <xdr:rowOff>198120</xdr:rowOff>
        </xdr:from>
        <xdr:to>
          <xdr:col>4</xdr:col>
          <xdr:colOff>518160</xdr:colOff>
          <xdr:row>35</xdr:row>
          <xdr:rowOff>533400</xdr:rowOff>
        </xdr:to>
        <xdr:sp macro="" textlink="">
          <xdr:nvSpPr>
            <xdr:cNvPr id="2084" name="Check Box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37</xdr:row>
          <xdr:rowOff>198120</xdr:rowOff>
        </xdr:from>
        <xdr:to>
          <xdr:col>4</xdr:col>
          <xdr:colOff>518160</xdr:colOff>
          <xdr:row>37</xdr:row>
          <xdr:rowOff>533400</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37</xdr:row>
          <xdr:rowOff>198120</xdr:rowOff>
        </xdr:from>
        <xdr:to>
          <xdr:col>4</xdr:col>
          <xdr:colOff>518160</xdr:colOff>
          <xdr:row>37</xdr:row>
          <xdr:rowOff>533400</xdr:rowOff>
        </xdr:to>
        <xdr:sp macro="" textlink="">
          <xdr:nvSpPr>
            <xdr:cNvPr id="2086" name="Check Box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38</xdr:row>
          <xdr:rowOff>198120</xdr:rowOff>
        </xdr:from>
        <xdr:to>
          <xdr:col>4</xdr:col>
          <xdr:colOff>518160</xdr:colOff>
          <xdr:row>38</xdr:row>
          <xdr:rowOff>533400</xdr:rowOff>
        </xdr:to>
        <xdr:sp macro="" textlink="">
          <xdr:nvSpPr>
            <xdr:cNvPr id="2087" name="Check Box 39"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39</xdr:row>
          <xdr:rowOff>198120</xdr:rowOff>
        </xdr:from>
        <xdr:to>
          <xdr:col>4</xdr:col>
          <xdr:colOff>518160</xdr:colOff>
          <xdr:row>39</xdr:row>
          <xdr:rowOff>533400</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41</xdr:row>
          <xdr:rowOff>198120</xdr:rowOff>
        </xdr:from>
        <xdr:to>
          <xdr:col>4</xdr:col>
          <xdr:colOff>518160</xdr:colOff>
          <xdr:row>41</xdr:row>
          <xdr:rowOff>533400</xdr:rowOff>
        </xdr:to>
        <xdr:sp macro="" textlink="">
          <xdr:nvSpPr>
            <xdr:cNvPr id="2089" name="Check Box 41"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41</xdr:row>
          <xdr:rowOff>198120</xdr:rowOff>
        </xdr:from>
        <xdr:to>
          <xdr:col>4</xdr:col>
          <xdr:colOff>518160</xdr:colOff>
          <xdr:row>41</xdr:row>
          <xdr:rowOff>533400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42</xdr:row>
          <xdr:rowOff>198120</xdr:rowOff>
        </xdr:from>
        <xdr:to>
          <xdr:col>4</xdr:col>
          <xdr:colOff>518160</xdr:colOff>
          <xdr:row>42</xdr:row>
          <xdr:rowOff>533400</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44</xdr:row>
          <xdr:rowOff>198120</xdr:rowOff>
        </xdr:from>
        <xdr:to>
          <xdr:col>4</xdr:col>
          <xdr:colOff>518160</xdr:colOff>
          <xdr:row>44</xdr:row>
          <xdr:rowOff>533400</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44</xdr:row>
          <xdr:rowOff>198120</xdr:rowOff>
        </xdr:from>
        <xdr:to>
          <xdr:col>4</xdr:col>
          <xdr:colOff>518160</xdr:colOff>
          <xdr:row>44</xdr:row>
          <xdr:rowOff>533400</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45</xdr:row>
          <xdr:rowOff>198120</xdr:rowOff>
        </xdr:from>
        <xdr:to>
          <xdr:col>4</xdr:col>
          <xdr:colOff>518160</xdr:colOff>
          <xdr:row>45</xdr:row>
          <xdr:rowOff>533400</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xdr:row>
          <xdr:rowOff>198120</xdr:rowOff>
        </xdr:from>
        <xdr:to>
          <xdr:col>4</xdr:col>
          <xdr:colOff>518160</xdr:colOff>
          <xdr:row>46</xdr:row>
          <xdr:rowOff>533400</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xdr:row>
          <xdr:rowOff>198120</xdr:rowOff>
        </xdr:from>
        <xdr:to>
          <xdr:col>4</xdr:col>
          <xdr:colOff>518160</xdr:colOff>
          <xdr:row>46</xdr:row>
          <xdr:rowOff>533400</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47</xdr:row>
          <xdr:rowOff>198120</xdr:rowOff>
        </xdr:from>
        <xdr:to>
          <xdr:col>4</xdr:col>
          <xdr:colOff>518160</xdr:colOff>
          <xdr:row>47</xdr:row>
          <xdr:rowOff>533400</xdr:rowOff>
        </xdr:to>
        <xdr:sp macro="" textlink="">
          <xdr:nvSpPr>
            <xdr:cNvPr id="2097" name="Check Box 49"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48</xdr:row>
          <xdr:rowOff>198120</xdr:rowOff>
        </xdr:from>
        <xdr:to>
          <xdr:col>4</xdr:col>
          <xdr:colOff>518160</xdr:colOff>
          <xdr:row>48</xdr:row>
          <xdr:rowOff>533400</xdr:rowOff>
        </xdr:to>
        <xdr:sp macro="" textlink="">
          <xdr:nvSpPr>
            <xdr:cNvPr id="2098" name="Check Box 50"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48</xdr:row>
          <xdr:rowOff>198120</xdr:rowOff>
        </xdr:from>
        <xdr:to>
          <xdr:col>4</xdr:col>
          <xdr:colOff>518160</xdr:colOff>
          <xdr:row>48</xdr:row>
          <xdr:rowOff>533400</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49</xdr:row>
          <xdr:rowOff>198120</xdr:rowOff>
        </xdr:from>
        <xdr:to>
          <xdr:col>4</xdr:col>
          <xdr:colOff>518160</xdr:colOff>
          <xdr:row>49</xdr:row>
          <xdr:rowOff>533400</xdr:rowOff>
        </xdr:to>
        <xdr:sp macro="" textlink="">
          <xdr:nvSpPr>
            <xdr:cNvPr id="2100" name="Check Box 5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51</xdr:row>
          <xdr:rowOff>198120</xdr:rowOff>
        </xdr:from>
        <xdr:to>
          <xdr:col>4</xdr:col>
          <xdr:colOff>518160</xdr:colOff>
          <xdr:row>51</xdr:row>
          <xdr:rowOff>533400</xdr:rowOff>
        </xdr:to>
        <xdr:sp macro="" textlink="">
          <xdr:nvSpPr>
            <xdr:cNvPr id="2101" name="Check Box 5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51</xdr:row>
          <xdr:rowOff>198120</xdr:rowOff>
        </xdr:from>
        <xdr:to>
          <xdr:col>4</xdr:col>
          <xdr:colOff>518160</xdr:colOff>
          <xdr:row>51</xdr:row>
          <xdr:rowOff>533400</xdr:rowOff>
        </xdr:to>
        <xdr:sp macro="" textlink="">
          <xdr:nvSpPr>
            <xdr:cNvPr id="2102" name="Check Box 54"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52</xdr:row>
          <xdr:rowOff>198120</xdr:rowOff>
        </xdr:from>
        <xdr:to>
          <xdr:col>4</xdr:col>
          <xdr:colOff>518160</xdr:colOff>
          <xdr:row>52</xdr:row>
          <xdr:rowOff>533400</xdr:rowOff>
        </xdr:to>
        <xdr:sp macro="" textlink="">
          <xdr:nvSpPr>
            <xdr:cNvPr id="2103" name="Check Box 55"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53</xdr:row>
          <xdr:rowOff>198120</xdr:rowOff>
        </xdr:from>
        <xdr:to>
          <xdr:col>4</xdr:col>
          <xdr:colOff>518160</xdr:colOff>
          <xdr:row>53</xdr:row>
          <xdr:rowOff>533400</xdr:rowOff>
        </xdr:to>
        <xdr:sp macro="" textlink="">
          <xdr:nvSpPr>
            <xdr:cNvPr id="2104" name="Check Box 56"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56</xdr:row>
          <xdr:rowOff>198120</xdr:rowOff>
        </xdr:from>
        <xdr:to>
          <xdr:col>4</xdr:col>
          <xdr:colOff>518160</xdr:colOff>
          <xdr:row>56</xdr:row>
          <xdr:rowOff>533400</xdr:rowOff>
        </xdr:to>
        <xdr:sp macro="" textlink="">
          <xdr:nvSpPr>
            <xdr:cNvPr id="2105" name="Check Box 57"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56</xdr:row>
          <xdr:rowOff>198120</xdr:rowOff>
        </xdr:from>
        <xdr:to>
          <xdr:col>4</xdr:col>
          <xdr:colOff>518160</xdr:colOff>
          <xdr:row>56</xdr:row>
          <xdr:rowOff>533400</xdr:rowOff>
        </xdr:to>
        <xdr:sp macro="" textlink="">
          <xdr:nvSpPr>
            <xdr:cNvPr id="2106" name="Check Box 58"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57</xdr:row>
          <xdr:rowOff>198120</xdr:rowOff>
        </xdr:from>
        <xdr:to>
          <xdr:col>4</xdr:col>
          <xdr:colOff>518160</xdr:colOff>
          <xdr:row>57</xdr:row>
          <xdr:rowOff>533400</xdr:rowOff>
        </xdr:to>
        <xdr:sp macro="" textlink="">
          <xdr:nvSpPr>
            <xdr:cNvPr id="2107" name="Check Box 59"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58</xdr:row>
          <xdr:rowOff>198120</xdr:rowOff>
        </xdr:from>
        <xdr:to>
          <xdr:col>4</xdr:col>
          <xdr:colOff>518160</xdr:colOff>
          <xdr:row>58</xdr:row>
          <xdr:rowOff>533400</xdr:rowOff>
        </xdr:to>
        <xdr:sp macro="" textlink="">
          <xdr:nvSpPr>
            <xdr:cNvPr id="2108" name="Check Box 60"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59</xdr:row>
          <xdr:rowOff>198120</xdr:rowOff>
        </xdr:from>
        <xdr:to>
          <xdr:col>4</xdr:col>
          <xdr:colOff>518160</xdr:colOff>
          <xdr:row>59</xdr:row>
          <xdr:rowOff>533400</xdr:rowOff>
        </xdr:to>
        <xdr:sp macro="" textlink="">
          <xdr:nvSpPr>
            <xdr:cNvPr id="2109" name="Check Box 61"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59</xdr:row>
          <xdr:rowOff>198120</xdr:rowOff>
        </xdr:from>
        <xdr:to>
          <xdr:col>4</xdr:col>
          <xdr:colOff>518160</xdr:colOff>
          <xdr:row>59</xdr:row>
          <xdr:rowOff>533400</xdr:rowOff>
        </xdr:to>
        <xdr:sp macro="" textlink="">
          <xdr:nvSpPr>
            <xdr:cNvPr id="2110" name="Check Box 62"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60</xdr:row>
          <xdr:rowOff>198120</xdr:rowOff>
        </xdr:from>
        <xdr:to>
          <xdr:col>4</xdr:col>
          <xdr:colOff>518160</xdr:colOff>
          <xdr:row>60</xdr:row>
          <xdr:rowOff>533400</xdr:rowOff>
        </xdr:to>
        <xdr:sp macro="" textlink="">
          <xdr:nvSpPr>
            <xdr:cNvPr id="2111" name="Check Box 63"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62</xdr:row>
          <xdr:rowOff>198120</xdr:rowOff>
        </xdr:from>
        <xdr:to>
          <xdr:col>4</xdr:col>
          <xdr:colOff>518160</xdr:colOff>
          <xdr:row>62</xdr:row>
          <xdr:rowOff>533400</xdr:rowOff>
        </xdr:to>
        <xdr:sp macro="" textlink="">
          <xdr:nvSpPr>
            <xdr:cNvPr id="2112" name="Check Box 64"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62</xdr:row>
          <xdr:rowOff>198120</xdr:rowOff>
        </xdr:from>
        <xdr:to>
          <xdr:col>4</xdr:col>
          <xdr:colOff>518160</xdr:colOff>
          <xdr:row>62</xdr:row>
          <xdr:rowOff>533400</xdr:rowOff>
        </xdr:to>
        <xdr:sp macro="" textlink="">
          <xdr:nvSpPr>
            <xdr:cNvPr id="2113" name="Check Box 65"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63</xdr:row>
          <xdr:rowOff>198120</xdr:rowOff>
        </xdr:from>
        <xdr:to>
          <xdr:col>4</xdr:col>
          <xdr:colOff>518160</xdr:colOff>
          <xdr:row>63</xdr:row>
          <xdr:rowOff>533400</xdr:rowOff>
        </xdr:to>
        <xdr:sp macro="" textlink="">
          <xdr:nvSpPr>
            <xdr:cNvPr id="2114" name="Check Box 66"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64</xdr:row>
          <xdr:rowOff>198120</xdr:rowOff>
        </xdr:from>
        <xdr:to>
          <xdr:col>4</xdr:col>
          <xdr:colOff>518160</xdr:colOff>
          <xdr:row>64</xdr:row>
          <xdr:rowOff>533400</xdr:rowOff>
        </xdr:to>
        <xdr:sp macro="" textlink="">
          <xdr:nvSpPr>
            <xdr:cNvPr id="2115" name="Check Box 67"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66</xdr:row>
          <xdr:rowOff>198120</xdr:rowOff>
        </xdr:from>
        <xdr:to>
          <xdr:col>4</xdr:col>
          <xdr:colOff>518160</xdr:colOff>
          <xdr:row>66</xdr:row>
          <xdr:rowOff>533400</xdr:rowOff>
        </xdr:to>
        <xdr:sp macro="" textlink="">
          <xdr:nvSpPr>
            <xdr:cNvPr id="2116" name="Check Box 68"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66</xdr:row>
          <xdr:rowOff>198120</xdr:rowOff>
        </xdr:from>
        <xdr:to>
          <xdr:col>4</xdr:col>
          <xdr:colOff>518160</xdr:colOff>
          <xdr:row>66</xdr:row>
          <xdr:rowOff>533400</xdr:rowOff>
        </xdr:to>
        <xdr:sp macro="" textlink="">
          <xdr:nvSpPr>
            <xdr:cNvPr id="2117" name="Check Box 69"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67</xdr:row>
          <xdr:rowOff>198120</xdr:rowOff>
        </xdr:from>
        <xdr:to>
          <xdr:col>4</xdr:col>
          <xdr:colOff>518160</xdr:colOff>
          <xdr:row>67</xdr:row>
          <xdr:rowOff>533400</xdr:rowOff>
        </xdr:to>
        <xdr:sp macro="" textlink="">
          <xdr:nvSpPr>
            <xdr:cNvPr id="2118" name="Check Box 70"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68</xdr:row>
          <xdr:rowOff>198120</xdr:rowOff>
        </xdr:from>
        <xdr:to>
          <xdr:col>4</xdr:col>
          <xdr:colOff>518160</xdr:colOff>
          <xdr:row>68</xdr:row>
          <xdr:rowOff>533400</xdr:rowOff>
        </xdr:to>
        <xdr:sp macro="" textlink="">
          <xdr:nvSpPr>
            <xdr:cNvPr id="2119" name="Check Box 71"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69</xdr:row>
          <xdr:rowOff>198120</xdr:rowOff>
        </xdr:from>
        <xdr:to>
          <xdr:col>4</xdr:col>
          <xdr:colOff>518160</xdr:colOff>
          <xdr:row>69</xdr:row>
          <xdr:rowOff>533400</xdr:rowOff>
        </xdr:to>
        <xdr:sp macro="" textlink="">
          <xdr:nvSpPr>
            <xdr:cNvPr id="2120" name="Check Box 72"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71</xdr:row>
          <xdr:rowOff>198120</xdr:rowOff>
        </xdr:from>
        <xdr:to>
          <xdr:col>4</xdr:col>
          <xdr:colOff>518160</xdr:colOff>
          <xdr:row>71</xdr:row>
          <xdr:rowOff>533400</xdr:rowOff>
        </xdr:to>
        <xdr:sp macro="" textlink="">
          <xdr:nvSpPr>
            <xdr:cNvPr id="2121" name="Check Box 73"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71</xdr:row>
          <xdr:rowOff>198120</xdr:rowOff>
        </xdr:from>
        <xdr:to>
          <xdr:col>4</xdr:col>
          <xdr:colOff>518160</xdr:colOff>
          <xdr:row>71</xdr:row>
          <xdr:rowOff>533400</xdr:rowOff>
        </xdr:to>
        <xdr:sp macro="" textlink="">
          <xdr:nvSpPr>
            <xdr:cNvPr id="2122" name="Check Box 7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72</xdr:row>
          <xdr:rowOff>198120</xdr:rowOff>
        </xdr:from>
        <xdr:to>
          <xdr:col>4</xdr:col>
          <xdr:colOff>518160</xdr:colOff>
          <xdr:row>72</xdr:row>
          <xdr:rowOff>533400</xdr:rowOff>
        </xdr:to>
        <xdr:sp macro="" textlink="">
          <xdr:nvSpPr>
            <xdr:cNvPr id="2123" name="Check Box 7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73</xdr:row>
          <xdr:rowOff>198120</xdr:rowOff>
        </xdr:from>
        <xdr:to>
          <xdr:col>4</xdr:col>
          <xdr:colOff>518160</xdr:colOff>
          <xdr:row>73</xdr:row>
          <xdr:rowOff>533400</xdr:rowOff>
        </xdr:to>
        <xdr:sp macro="" textlink="">
          <xdr:nvSpPr>
            <xdr:cNvPr id="2124" name="Check Box 76"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74</xdr:row>
          <xdr:rowOff>198120</xdr:rowOff>
        </xdr:from>
        <xdr:to>
          <xdr:col>4</xdr:col>
          <xdr:colOff>518160</xdr:colOff>
          <xdr:row>74</xdr:row>
          <xdr:rowOff>533400</xdr:rowOff>
        </xdr:to>
        <xdr:sp macro="" textlink="">
          <xdr:nvSpPr>
            <xdr:cNvPr id="2125" name="Check Box 77"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76</xdr:row>
          <xdr:rowOff>198120</xdr:rowOff>
        </xdr:from>
        <xdr:to>
          <xdr:col>4</xdr:col>
          <xdr:colOff>518160</xdr:colOff>
          <xdr:row>76</xdr:row>
          <xdr:rowOff>533400</xdr:rowOff>
        </xdr:to>
        <xdr:sp macro="" textlink="">
          <xdr:nvSpPr>
            <xdr:cNvPr id="2131" name="Check Box 83"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76</xdr:row>
          <xdr:rowOff>198120</xdr:rowOff>
        </xdr:from>
        <xdr:to>
          <xdr:col>4</xdr:col>
          <xdr:colOff>518160</xdr:colOff>
          <xdr:row>76</xdr:row>
          <xdr:rowOff>533400</xdr:rowOff>
        </xdr:to>
        <xdr:sp macro="" textlink="">
          <xdr:nvSpPr>
            <xdr:cNvPr id="2132" name="Check Box 84"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77</xdr:row>
          <xdr:rowOff>198120</xdr:rowOff>
        </xdr:from>
        <xdr:to>
          <xdr:col>4</xdr:col>
          <xdr:colOff>518160</xdr:colOff>
          <xdr:row>77</xdr:row>
          <xdr:rowOff>533400</xdr:rowOff>
        </xdr:to>
        <xdr:sp macro="" textlink="">
          <xdr:nvSpPr>
            <xdr:cNvPr id="2133" name="Check Box 85"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78</xdr:row>
          <xdr:rowOff>198120</xdr:rowOff>
        </xdr:from>
        <xdr:to>
          <xdr:col>4</xdr:col>
          <xdr:colOff>518160</xdr:colOff>
          <xdr:row>78</xdr:row>
          <xdr:rowOff>533400</xdr:rowOff>
        </xdr:to>
        <xdr:sp macro="" textlink="">
          <xdr:nvSpPr>
            <xdr:cNvPr id="2134" name="Check Box 86"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79</xdr:row>
          <xdr:rowOff>198120</xdr:rowOff>
        </xdr:from>
        <xdr:to>
          <xdr:col>4</xdr:col>
          <xdr:colOff>518160</xdr:colOff>
          <xdr:row>79</xdr:row>
          <xdr:rowOff>533400</xdr:rowOff>
        </xdr:to>
        <xdr:sp macro="" textlink="">
          <xdr:nvSpPr>
            <xdr:cNvPr id="2135" name="Check Box 87"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80</xdr:row>
          <xdr:rowOff>198120</xdr:rowOff>
        </xdr:from>
        <xdr:to>
          <xdr:col>4</xdr:col>
          <xdr:colOff>518160</xdr:colOff>
          <xdr:row>80</xdr:row>
          <xdr:rowOff>533400</xdr:rowOff>
        </xdr:to>
        <xdr:sp macro="" textlink="">
          <xdr:nvSpPr>
            <xdr:cNvPr id="2136" name="Check Box 88" hidden="1">
              <a:extLst>
                <a:ext uri="{63B3BB69-23CF-44E3-9099-C40C66FF867C}">
                  <a14:compatExt spid="_x0000_s2136"/>
                </a:ext>
                <a:ext uri="{FF2B5EF4-FFF2-40B4-BE49-F238E27FC236}">
                  <a16:creationId xmlns:a16="http://schemas.microsoft.com/office/drawing/2014/main" id="{00000000-0008-0000-0100-00005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81</xdr:row>
          <xdr:rowOff>198120</xdr:rowOff>
        </xdr:from>
        <xdr:to>
          <xdr:col>4</xdr:col>
          <xdr:colOff>518160</xdr:colOff>
          <xdr:row>81</xdr:row>
          <xdr:rowOff>533400</xdr:rowOff>
        </xdr:to>
        <xdr:sp macro="" textlink="">
          <xdr:nvSpPr>
            <xdr:cNvPr id="2137" name="Check Box 89"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83</xdr:row>
          <xdr:rowOff>198120</xdr:rowOff>
        </xdr:from>
        <xdr:to>
          <xdr:col>4</xdr:col>
          <xdr:colOff>518160</xdr:colOff>
          <xdr:row>83</xdr:row>
          <xdr:rowOff>533400</xdr:rowOff>
        </xdr:to>
        <xdr:sp macro="" textlink="">
          <xdr:nvSpPr>
            <xdr:cNvPr id="2138" name="Check Box 90"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83</xdr:row>
          <xdr:rowOff>198120</xdr:rowOff>
        </xdr:from>
        <xdr:to>
          <xdr:col>4</xdr:col>
          <xdr:colOff>518160</xdr:colOff>
          <xdr:row>83</xdr:row>
          <xdr:rowOff>533400</xdr:rowOff>
        </xdr:to>
        <xdr:sp macro="" textlink="">
          <xdr:nvSpPr>
            <xdr:cNvPr id="2139" name="Check Box 91"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84</xdr:row>
          <xdr:rowOff>198120</xdr:rowOff>
        </xdr:from>
        <xdr:to>
          <xdr:col>4</xdr:col>
          <xdr:colOff>518160</xdr:colOff>
          <xdr:row>84</xdr:row>
          <xdr:rowOff>533400</xdr:rowOff>
        </xdr:to>
        <xdr:sp macro="" textlink="">
          <xdr:nvSpPr>
            <xdr:cNvPr id="2140" name="Check Box 92"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85</xdr:row>
          <xdr:rowOff>198120</xdr:rowOff>
        </xdr:from>
        <xdr:to>
          <xdr:col>4</xdr:col>
          <xdr:colOff>518160</xdr:colOff>
          <xdr:row>85</xdr:row>
          <xdr:rowOff>533400</xdr:rowOff>
        </xdr:to>
        <xdr:sp macro="" textlink="">
          <xdr:nvSpPr>
            <xdr:cNvPr id="2141" name="Check Box 93" hidden="1">
              <a:extLst>
                <a:ext uri="{63B3BB69-23CF-44E3-9099-C40C66FF867C}">
                  <a14:compatExt spid="_x0000_s2141"/>
                </a:ext>
                <a:ext uri="{FF2B5EF4-FFF2-40B4-BE49-F238E27FC236}">
                  <a16:creationId xmlns:a16="http://schemas.microsoft.com/office/drawing/2014/main" id="{00000000-0008-0000-0100-00005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87</xdr:row>
          <xdr:rowOff>198120</xdr:rowOff>
        </xdr:from>
        <xdr:to>
          <xdr:col>4</xdr:col>
          <xdr:colOff>518160</xdr:colOff>
          <xdr:row>87</xdr:row>
          <xdr:rowOff>533400</xdr:rowOff>
        </xdr:to>
        <xdr:sp macro="" textlink="">
          <xdr:nvSpPr>
            <xdr:cNvPr id="2142" name="Check Box 94" hidden="1">
              <a:extLst>
                <a:ext uri="{63B3BB69-23CF-44E3-9099-C40C66FF867C}">
                  <a14:compatExt spid="_x0000_s2142"/>
                </a:ext>
                <a:ext uri="{FF2B5EF4-FFF2-40B4-BE49-F238E27FC236}">
                  <a16:creationId xmlns:a16="http://schemas.microsoft.com/office/drawing/2014/main" id="{00000000-0008-0000-0100-00005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87</xdr:row>
          <xdr:rowOff>198120</xdr:rowOff>
        </xdr:from>
        <xdr:to>
          <xdr:col>4</xdr:col>
          <xdr:colOff>518160</xdr:colOff>
          <xdr:row>87</xdr:row>
          <xdr:rowOff>533400</xdr:rowOff>
        </xdr:to>
        <xdr:sp macro="" textlink="">
          <xdr:nvSpPr>
            <xdr:cNvPr id="2143" name="Check Box 95" hidden="1">
              <a:extLst>
                <a:ext uri="{63B3BB69-23CF-44E3-9099-C40C66FF867C}">
                  <a14:compatExt spid="_x0000_s2143"/>
                </a:ext>
                <a:ext uri="{FF2B5EF4-FFF2-40B4-BE49-F238E27FC236}">
                  <a16:creationId xmlns:a16="http://schemas.microsoft.com/office/drawing/2014/main" id="{00000000-0008-0000-0100-00005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88</xdr:row>
          <xdr:rowOff>198120</xdr:rowOff>
        </xdr:from>
        <xdr:to>
          <xdr:col>4</xdr:col>
          <xdr:colOff>518160</xdr:colOff>
          <xdr:row>88</xdr:row>
          <xdr:rowOff>533400</xdr:rowOff>
        </xdr:to>
        <xdr:sp macro="" textlink="">
          <xdr:nvSpPr>
            <xdr:cNvPr id="2144" name="Check Box 96" hidden="1">
              <a:extLst>
                <a:ext uri="{63B3BB69-23CF-44E3-9099-C40C66FF867C}">
                  <a14:compatExt spid="_x0000_s2144"/>
                </a:ext>
                <a:ext uri="{FF2B5EF4-FFF2-40B4-BE49-F238E27FC236}">
                  <a16:creationId xmlns:a16="http://schemas.microsoft.com/office/drawing/2014/main" id="{00000000-0008-0000-0100-00006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89</xdr:row>
          <xdr:rowOff>198120</xdr:rowOff>
        </xdr:from>
        <xdr:to>
          <xdr:col>4</xdr:col>
          <xdr:colOff>518160</xdr:colOff>
          <xdr:row>89</xdr:row>
          <xdr:rowOff>533400</xdr:rowOff>
        </xdr:to>
        <xdr:sp macro="" textlink="">
          <xdr:nvSpPr>
            <xdr:cNvPr id="2145" name="Check Box 97" hidden="1">
              <a:extLst>
                <a:ext uri="{63B3BB69-23CF-44E3-9099-C40C66FF867C}">
                  <a14:compatExt spid="_x0000_s2145"/>
                </a:ext>
                <a:ext uri="{FF2B5EF4-FFF2-40B4-BE49-F238E27FC236}">
                  <a16:creationId xmlns:a16="http://schemas.microsoft.com/office/drawing/2014/main" id="{00000000-0008-0000-0100-00006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91</xdr:row>
          <xdr:rowOff>198120</xdr:rowOff>
        </xdr:from>
        <xdr:to>
          <xdr:col>4</xdr:col>
          <xdr:colOff>518160</xdr:colOff>
          <xdr:row>91</xdr:row>
          <xdr:rowOff>533400</xdr:rowOff>
        </xdr:to>
        <xdr:sp macro="" textlink="">
          <xdr:nvSpPr>
            <xdr:cNvPr id="2146" name="Check Box 98" hidden="1">
              <a:extLst>
                <a:ext uri="{63B3BB69-23CF-44E3-9099-C40C66FF867C}">
                  <a14:compatExt spid="_x0000_s2146"/>
                </a:ext>
                <a:ext uri="{FF2B5EF4-FFF2-40B4-BE49-F238E27FC236}">
                  <a16:creationId xmlns:a16="http://schemas.microsoft.com/office/drawing/2014/main" id="{00000000-0008-0000-0100-00006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91</xdr:row>
          <xdr:rowOff>198120</xdr:rowOff>
        </xdr:from>
        <xdr:to>
          <xdr:col>4</xdr:col>
          <xdr:colOff>518160</xdr:colOff>
          <xdr:row>91</xdr:row>
          <xdr:rowOff>533400</xdr:rowOff>
        </xdr:to>
        <xdr:sp macro="" textlink="">
          <xdr:nvSpPr>
            <xdr:cNvPr id="2147" name="Check Box 99" hidden="1">
              <a:extLst>
                <a:ext uri="{63B3BB69-23CF-44E3-9099-C40C66FF867C}">
                  <a14:compatExt spid="_x0000_s2147"/>
                </a:ext>
                <a:ext uri="{FF2B5EF4-FFF2-40B4-BE49-F238E27FC236}">
                  <a16:creationId xmlns:a16="http://schemas.microsoft.com/office/drawing/2014/main" id="{00000000-0008-0000-0100-00006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92</xdr:row>
          <xdr:rowOff>198120</xdr:rowOff>
        </xdr:from>
        <xdr:to>
          <xdr:col>4</xdr:col>
          <xdr:colOff>518160</xdr:colOff>
          <xdr:row>92</xdr:row>
          <xdr:rowOff>533400</xdr:rowOff>
        </xdr:to>
        <xdr:sp macro="" textlink="">
          <xdr:nvSpPr>
            <xdr:cNvPr id="2148" name="Check Box 100" hidden="1">
              <a:extLst>
                <a:ext uri="{63B3BB69-23CF-44E3-9099-C40C66FF867C}">
                  <a14:compatExt spid="_x0000_s2148"/>
                </a:ext>
                <a:ext uri="{FF2B5EF4-FFF2-40B4-BE49-F238E27FC236}">
                  <a16:creationId xmlns:a16="http://schemas.microsoft.com/office/drawing/2014/main" id="{00000000-0008-0000-0100-00006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97</xdr:row>
          <xdr:rowOff>198120</xdr:rowOff>
        </xdr:from>
        <xdr:to>
          <xdr:col>4</xdr:col>
          <xdr:colOff>518160</xdr:colOff>
          <xdr:row>97</xdr:row>
          <xdr:rowOff>533400</xdr:rowOff>
        </xdr:to>
        <xdr:sp macro="" textlink="">
          <xdr:nvSpPr>
            <xdr:cNvPr id="2149" name="Check Box 101" hidden="1">
              <a:extLst>
                <a:ext uri="{63B3BB69-23CF-44E3-9099-C40C66FF867C}">
                  <a14:compatExt spid="_x0000_s2149"/>
                </a:ext>
                <a:ext uri="{FF2B5EF4-FFF2-40B4-BE49-F238E27FC236}">
                  <a16:creationId xmlns:a16="http://schemas.microsoft.com/office/drawing/2014/main" id="{00000000-0008-0000-0100-00006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97</xdr:row>
          <xdr:rowOff>198120</xdr:rowOff>
        </xdr:from>
        <xdr:to>
          <xdr:col>4</xdr:col>
          <xdr:colOff>518160</xdr:colOff>
          <xdr:row>97</xdr:row>
          <xdr:rowOff>533400</xdr:rowOff>
        </xdr:to>
        <xdr:sp macro="" textlink="">
          <xdr:nvSpPr>
            <xdr:cNvPr id="2150" name="Check Box 102" hidden="1">
              <a:extLst>
                <a:ext uri="{63B3BB69-23CF-44E3-9099-C40C66FF867C}">
                  <a14:compatExt spid="_x0000_s2150"/>
                </a:ext>
                <a:ext uri="{FF2B5EF4-FFF2-40B4-BE49-F238E27FC236}">
                  <a16:creationId xmlns:a16="http://schemas.microsoft.com/office/drawing/2014/main" id="{00000000-0008-0000-0100-00006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98</xdr:row>
          <xdr:rowOff>198120</xdr:rowOff>
        </xdr:from>
        <xdr:to>
          <xdr:col>4</xdr:col>
          <xdr:colOff>518160</xdr:colOff>
          <xdr:row>98</xdr:row>
          <xdr:rowOff>533400</xdr:rowOff>
        </xdr:to>
        <xdr:sp macro="" textlink="">
          <xdr:nvSpPr>
            <xdr:cNvPr id="2151" name="Check Box 103" hidden="1">
              <a:extLst>
                <a:ext uri="{63B3BB69-23CF-44E3-9099-C40C66FF867C}">
                  <a14:compatExt spid="_x0000_s2151"/>
                </a:ext>
                <a:ext uri="{FF2B5EF4-FFF2-40B4-BE49-F238E27FC236}">
                  <a16:creationId xmlns:a16="http://schemas.microsoft.com/office/drawing/2014/main" id="{00000000-0008-0000-0100-00006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99</xdr:row>
          <xdr:rowOff>198120</xdr:rowOff>
        </xdr:from>
        <xdr:to>
          <xdr:col>4</xdr:col>
          <xdr:colOff>518160</xdr:colOff>
          <xdr:row>99</xdr:row>
          <xdr:rowOff>533400</xdr:rowOff>
        </xdr:to>
        <xdr:sp macro="" textlink="">
          <xdr:nvSpPr>
            <xdr:cNvPr id="2152" name="Check Box 104" hidden="1">
              <a:extLst>
                <a:ext uri="{63B3BB69-23CF-44E3-9099-C40C66FF867C}">
                  <a14:compatExt spid="_x0000_s2152"/>
                </a:ext>
                <a:ext uri="{FF2B5EF4-FFF2-40B4-BE49-F238E27FC236}">
                  <a16:creationId xmlns:a16="http://schemas.microsoft.com/office/drawing/2014/main" id="{00000000-0008-0000-0100-00006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99</xdr:row>
          <xdr:rowOff>198120</xdr:rowOff>
        </xdr:from>
        <xdr:to>
          <xdr:col>4</xdr:col>
          <xdr:colOff>518160</xdr:colOff>
          <xdr:row>99</xdr:row>
          <xdr:rowOff>533400</xdr:rowOff>
        </xdr:to>
        <xdr:sp macro="" textlink="">
          <xdr:nvSpPr>
            <xdr:cNvPr id="2153" name="Check Box 105" hidden="1">
              <a:extLst>
                <a:ext uri="{63B3BB69-23CF-44E3-9099-C40C66FF867C}">
                  <a14:compatExt spid="_x0000_s2153"/>
                </a:ext>
                <a:ext uri="{FF2B5EF4-FFF2-40B4-BE49-F238E27FC236}">
                  <a16:creationId xmlns:a16="http://schemas.microsoft.com/office/drawing/2014/main" id="{00000000-0008-0000-0100-00006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100</xdr:row>
          <xdr:rowOff>198120</xdr:rowOff>
        </xdr:from>
        <xdr:to>
          <xdr:col>4</xdr:col>
          <xdr:colOff>518160</xdr:colOff>
          <xdr:row>100</xdr:row>
          <xdr:rowOff>533400</xdr:rowOff>
        </xdr:to>
        <xdr:sp macro="" textlink="">
          <xdr:nvSpPr>
            <xdr:cNvPr id="2154" name="Check Box 106"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101</xdr:row>
          <xdr:rowOff>198120</xdr:rowOff>
        </xdr:from>
        <xdr:to>
          <xdr:col>4</xdr:col>
          <xdr:colOff>518160</xdr:colOff>
          <xdr:row>101</xdr:row>
          <xdr:rowOff>533400</xdr:rowOff>
        </xdr:to>
        <xdr:sp macro="" textlink="">
          <xdr:nvSpPr>
            <xdr:cNvPr id="2155" name="Check Box 107" hidden="1">
              <a:extLst>
                <a:ext uri="{63B3BB69-23CF-44E3-9099-C40C66FF867C}">
                  <a14:compatExt spid="_x0000_s2155"/>
                </a:ext>
                <a:ext uri="{FF2B5EF4-FFF2-40B4-BE49-F238E27FC236}">
                  <a16:creationId xmlns:a16="http://schemas.microsoft.com/office/drawing/2014/main" id="{00000000-0008-0000-0100-00006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101</xdr:row>
          <xdr:rowOff>198120</xdr:rowOff>
        </xdr:from>
        <xdr:to>
          <xdr:col>4</xdr:col>
          <xdr:colOff>518160</xdr:colOff>
          <xdr:row>101</xdr:row>
          <xdr:rowOff>533400</xdr:rowOff>
        </xdr:to>
        <xdr:sp macro="" textlink="">
          <xdr:nvSpPr>
            <xdr:cNvPr id="2156" name="Check Box 108" hidden="1">
              <a:extLst>
                <a:ext uri="{63B3BB69-23CF-44E3-9099-C40C66FF867C}">
                  <a14:compatExt spid="_x0000_s2156"/>
                </a:ext>
                <a:ext uri="{FF2B5EF4-FFF2-40B4-BE49-F238E27FC236}">
                  <a16:creationId xmlns:a16="http://schemas.microsoft.com/office/drawing/2014/main" id="{00000000-0008-0000-0100-00006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102</xdr:row>
          <xdr:rowOff>198120</xdr:rowOff>
        </xdr:from>
        <xdr:to>
          <xdr:col>4</xdr:col>
          <xdr:colOff>518160</xdr:colOff>
          <xdr:row>102</xdr:row>
          <xdr:rowOff>533400</xdr:rowOff>
        </xdr:to>
        <xdr:sp macro="" textlink="">
          <xdr:nvSpPr>
            <xdr:cNvPr id="2157" name="Check Box 109" hidden="1">
              <a:extLst>
                <a:ext uri="{63B3BB69-23CF-44E3-9099-C40C66FF867C}">
                  <a14:compatExt spid="_x0000_s2157"/>
                </a:ext>
                <a:ext uri="{FF2B5EF4-FFF2-40B4-BE49-F238E27FC236}">
                  <a16:creationId xmlns:a16="http://schemas.microsoft.com/office/drawing/2014/main" id="{00000000-0008-0000-0100-00006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103</xdr:row>
          <xdr:rowOff>198120</xdr:rowOff>
        </xdr:from>
        <xdr:to>
          <xdr:col>4</xdr:col>
          <xdr:colOff>518160</xdr:colOff>
          <xdr:row>103</xdr:row>
          <xdr:rowOff>533400</xdr:rowOff>
        </xdr:to>
        <xdr:sp macro="" textlink="">
          <xdr:nvSpPr>
            <xdr:cNvPr id="2158" name="Check Box 110" hidden="1">
              <a:extLst>
                <a:ext uri="{63B3BB69-23CF-44E3-9099-C40C66FF867C}">
                  <a14:compatExt spid="_x0000_s2158"/>
                </a:ext>
                <a:ext uri="{FF2B5EF4-FFF2-40B4-BE49-F238E27FC236}">
                  <a16:creationId xmlns:a16="http://schemas.microsoft.com/office/drawing/2014/main" id="{00000000-0008-0000-0100-00006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105</xdr:row>
          <xdr:rowOff>198120</xdr:rowOff>
        </xdr:from>
        <xdr:to>
          <xdr:col>4</xdr:col>
          <xdr:colOff>518160</xdr:colOff>
          <xdr:row>105</xdr:row>
          <xdr:rowOff>533400</xdr:rowOff>
        </xdr:to>
        <xdr:sp macro="" textlink="">
          <xdr:nvSpPr>
            <xdr:cNvPr id="2159" name="Check Box 111" hidden="1">
              <a:extLst>
                <a:ext uri="{63B3BB69-23CF-44E3-9099-C40C66FF867C}">
                  <a14:compatExt spid="_x0000_s2159"/>
                </a:ext>
                <a:ext uri="{FF2B5EF4-FFF2-40B4-BE49-F238E27FC236}">
                  <a16:creationId xmlns:a16="http://schemas.microsoft.com/office/drawing/2014/main" id="{00000000-0008-0000-0100-00006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105</xdr:row>
          <xdr:rowOff>198120</xdr:rowOff>
        </xdr:from>
        <xdr:to>
          <xdr:col>4</xdr:col>
          <xdr:colOff>518160</xdr:colOff>
          <xdr:row>105</xdr:row>
          <xdr:rowOff>533400</xdr:rowOff>
        </xdr:to>
        <xdr:sp macro="" textlink="">
          <xdr:nvSpPr>
            <xdr:cNvPr id="2160" name="Check Box 112" hidden="1">
              <a:extLst>
                <a:ext uri="{63B3BB69-23CF-44E3-9099-C40C66FF867C}">
                  <a14:compatExt spid="_x0000_s2160"/>
                </a:ext>
                <a:ext uri="{FF2B5EF4-FFF2-40B4-BE49-F238E27FC236}">
                  <a16:creationId xmlns:a16="http://schemas.microsoft.com/office/drawing/2014/main" id="{00000000-0008-0000-0100-00007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106</xdr:row>
          <xdr:rowOff>198120</xdr:rowOff>
        </xdr:from>
        <xdr:to>
          <xdr:col>4</xdr:col>
          <xdr:colOff>518160</xdr:colOff>
          <xdr:row>106</xdr:row>
          <xdr:rowOff>533400</xdr:rowOff>
        </xdr:to>
        <xdr:sp macro="" textlink="">
          <xdr:nvSpPr>
            <xdr:cNvPr id="2161" name="Check Box 113" hidden="1">
              <a:extLst>
                <a:ext uri="{63B3BB69-23CF-44E3-9099-C40C66FF867C}">
                  <a14:compatExt spid="_x0000_s2161"/>
                </a:ext>
                <a:ext uri="{FF2B5EF4-FFF2-40B4-BE49-F238E27FC236}">
                  <a16:creationId xmlns:a16="http://schemas.microsoft.com/office/drawing/2014/main" id="{00000000-0008-0000-0100-00007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107</xdr:row>
          <xdr:rowOff>198120</xdr:rowOff>
        </xdr:from>
        <xdr:to>
          <xdr:col>4</xdr:col>
          <xdr:colOff>518160</xdr:colOff>
          <xdr:row>107</xdr:row>
          <xdr:rowOff>533400</xdr:rowOff>
        </xdr:to>
        <xdr:sp macro="" textlink="">
          <xdr:nvSpPr>
            <xdr:cNvPr id="2162" name="Check Box 114" hidden="1">
              <a:extLst>
                <a:ext uri="{63B3BB69-23CF-44E3-9099-C40C66FF867C}">
                  <a14:compatExt spid="_x0000_s2162"/>
                </a:ext>
                <a:ext uri="{FF2B5EF4-FFF2-40B4-BE49-F238E27FC236}">
                  <a16:creationId xmlns:a16="http://schemas.microsoft.com/office/drawing/2014/main" id="{00000000-0008-0000-0100-00007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107</xdr:row>
          <xdr:rowOff>198120</xdr:rowOff>
        </xdr:from>
        <xdr:to>
          <xdr:col>4</xdr:col>
          <xdr:colOff>518160</xdr:colOff>
          <xdr:row>107</xdr:row>
          <xdr:rowOff>533400</xdr:rowOff>
        </xdr:to>
        <xdr:sp macro="" textlink="">
          <xdr:nvSpPr>
            <xdr:cNvPr id="2163" name="Check Box 115" hidden="1">
              <a:extLst>
                <a:ext uri="{63B3BB69-23CF-44E3-9099-C40C66FF867C}">
                  <a14:compatExt spid="_x0000_s2163"/>
                </a:ext>
                <a:ext uri="{FF2B5EF4-FFF2-40B4-BE49-F238E27FC236}">
                  <a16:creationId xmlns:a16="http://schemas.microsoft.com/office/drawing/2014/main" id="{00000000-0008-0000-0100-00007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108</xdr:row>
          <xdr:rowOff>198120</xdr:rowOff>
        </xdr:from>
        <xdr:to>
          <xdr:col>4</xdr:col>
          <xdr:colOff>518160</xdr:colOff>
          <xdr:row>108</xdr:row>
          <xdr:rowOff>533400</xdr:rowOff>
        </xdr:to>
        <xdr:sp macro="" textlink="">
          <xdr:nvSpPr>
            <xdr:cNvPr id="2164" name="Check Box 116" hidden="1">
              <a:extLst>
                <a:ext uri="{63B3BB69-23CF-44E3-9099-C40C66FF867C}">
                  <a14:compatExt spid="_x0000_s2164"/>
                </a:ext>
                <a:ext uri="{FF2B5EF4-FFF2-40B4-BE49-F238E27FC236}">
                  <a16:creationId xmlns:a16="http://schemas.microsoft.com/office/drawing/2014/main" id="{00000000-0008-0000-0100-00007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109</xdr:row>
          <xdr:rowOff>198120</xdr:rowOff>
        </xdr:from>
        <xdr:to>
          <xdr:col>4</xdr:col>
          <xdr:colOff>518160</xdr:colOff>
          <xdr:row>109</xdr:row>
          <xdr:rowOff>533400</xdr:rowOff>
        </xdr:to>
        <xdr:sp macro="" textlink="">
          <xdr:nvSpPr>
            <xdr:cNvPr id="2165" name="Check Box 117" hidden="1">
              <a:extLst>
                <a:ext uri="{63B3BB69-23CF-44E3-9099-C40C66FF867C}">
                  <a14:compatExt spid="_x0000_s2165"/>
                </a:ext>
                <a:ext uri="{FF2B5EF4-FFF2-40B4-BE49-F238E27FC236}">
                  <a16:creationId xmlns:a16="http://schemas.microsoft.com/office/drawing/2014/main" id="{00000000-0008-0000-0100-00007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109</xdr:row>
          <xdr:rowOff>198120</xdr:rowOff>
        </xdr:from>
        <xdr:to>
          <xdr:col>4</xdr:col>
          <xdr:colOff>518160</xdr:colOff>
          <xdr:row>109</xdr:row>
          <xdr:rowOff>533400</xdr:rowOff>
        </xdr:to>
        <xdr:sp macro="" textlink="">
          <xdr:nvSpPr>
            <xdr:cNvPr id="2166" name="Check Box 118" hidden="1">
              <a:extLst>
                <a:ext uri="{63B3BB69-23CF-44E3-9099-C40C66FF867C}">
                  <a14:compatExt spid="_x0000_s2166"/>
                </a:ext>
                <a:ext uri="{FF2B5EF4-FFF2-40B4-BE49-F238E27FC236}">
                  <a16:creationId xmlns:a16="http://schemas.microsoft.com/office/drawing/2014/main" id="{00000000-0008-0000-0100-00007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110</xdr:row>
          <xdr:rowOff>198120</xdr:rowOff>
        </xdr:from>
        <xdr:to>
          <xdr:col>4</xdr:col>
          <xdr:colOff>518160</xdr:colOff>
          <xdr:row>110</xdr:row>
          <xdr:rowOff>533400</xdr:rowOff>
        </xdr:to>
        <xdr:sp macro="" textlink="">
          <xdr:nvSpPr>
            <xdr:cNvPr id="2167" name="Check Box 119" hidden="1">
              <a:extLst>
                <a:ext uri="{63B3BB69-23CF-44E3-9099-C40C66FF867C}">
                  <a14:compatExt spid="_x0000_s2167"/>
                </a:ext>
                <a:ext uri="{FF2B5EF4-FFF2-40B4-BE49-F238E27FC236}">
                  <a16:creationId xmlns:a16="http://schemas.microsoft.com/office/drawing/2014/main" id="{00000000-0008-0000-0100-00007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111</xdr:row>
          <xdr:rowOff>198120</xdr:rowOff>
        </xdr:from>
        <xdr:to>
          <xdr:col>4</xdr:col>
          <xdr:colOff>518160</xdr:colOff>
          <xdr:row>111</xdr:row>
          <xdr:rowOff>533400</xdr:rowOff>
        </xdr:to>
        <xdr:sp macro="" textlink="">
          <xdr:nvSpPr>
            <xdr:cNvPr id="2168" name="Check Box 120" hidden="1">
              <a:extLst>
                <a:ext uri="{63B3BB69-23CF-44E3-9099-C40C66FF867C}">
                  <a14:compatExt spid="_x0000_s2168"/>
                </a:ext>
                <a:ext uri="{FF2B5EF4-FFF2-40B4-BE49-F238E27FC236}">
                  <a16:creationId xmlns:a16="http://schemas.microsoft.com/office/drawing/2014/main" id="{00000000-0008-0000-0100-00007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112</xdr:row>
          <xdr:rowOff>198120</xdr:rowOff>
        </xdr:from>
        <xdr:to>
          <xdr:col>4</xdr:col>
          <xdr:colOff>518160</xdr:colOff>
          <xdr:row>112</xdr:row>
          <xdr:rowOff>533400</xdr:rowOff>
        </xdr:to>
        <xdr:sp macro="" textlink="">
          <xdr:nvSpPr>
            <xdr:cNvPr id="2169" name="Check Box 121" hidden="1">
              <a:extLst>
                <a:ext uri="{63B3BB69-23CF-44E3-9099-C40C66FF867C}">
                  <a14:compatExt spid="_x0000_s2169"/>
                </a:ext>
                <a:ext uri="{FF2B5EF4-FFF2-40B4-BE49-F238E27FC236}">
                  <a16:creationId xmlns:a16="http://schemas.microsoft.com/office/drawing/2014/main" id="{00000000-0008-0000-0100-00007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113</xdr:row>
          <xdr:rowOff>198120</xdr:rowOff>
        </xdr:from>
        <xdr:to>
          <xdr:col>4</xdr:col>
          <xdr:colOff>518160</xdr:colOff>
          <xdr:row>113</xdr:row>
          <xdr:rowOff>533400</xdr:rowOff>
        </xdr:to>
        <xdr:sp macro="" textlink="">
          <xdr:nvSpPr>
            <xdr:cNvPr id="2170" name="Check Box 122" hidden="1">
              <a:extLst>
                <a:ext uri="{63B3BB69-23CF-44E3-9099-C40C66FF867C}">
                  <a14:compatExt spid="_x0000_s2170"/>
                </a:ext>
                <a:ext uri="{FF2B5EF4-FFF2-40B4-BE49-F238E27FC236}">
                  <a16:creationId xmlns:a16="http://schemas.microsoft.com/office/drawing/2014/main" id="{00000000-0008-0000-0100-00007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116</xdr:row>
          <xdr:rowOff>198120</xdr:rowOff>
        </xdr:from>
        <xdr:to>
          <xdr:col>4</xdr:col>
          <xdr:colOff>518160</xdr:colOff>
          <xdr:row>116</xdr:row>
          <xdr:rowOff>533400</xdr:rowOff>
        </xdr:to>
        <xdr:sp macro="" textlink="">
          <xdr:nvSpPr>
            <xdr:cNvPr id="2171" name="Check Box 123" hidden="1">
              <a:extLst>
                <a:ext uri="{63B3BB69-23CF-44E3-9099-C40C66FF867C}">
                  <a14:compatExt spid="_x0000_s2171"/>
                </a:ext>
                <a:ext uri="{FF2B5EF4-FFF2-40B4-BE49-F238E27FC236}">
                  <a16:creationId xmlns:a16="http://schemas.microsoft.com/office/drawing/2014/main" id="{00000000-0008-0000-0100-00007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116</xdr:row>
          <xdr:rowOff>198120</xdr:rowOff>
        </xdr:from>
        <xdr:to>
          <xdr:col>4</xdr:col>
          <xdr:colOff>518160</xdr:colOff>
          <xdr:row>116</xdr:row>
          <xdr:rowOff>533400</xdr:rowOff>
        </xdr:to>
        <xdr:sp macro="" textlink="">
          <xdr:nvSpPr>
            <xdr:cNvPr id="2172" name="Check Box 124" hidden="1">
              <a:extLst>
                <a:ext uri="{63B3BB69-23CF-44E3-9099-C40C66FF867C}">
                  <a14:compatExt spid="_x0000_s2172"/>
                </a:ext>
                <a:ext uri="{FF2B5EF4-FFF2-40B4-BE49-F238E27FC236}">
                  <a16:creationId xmlns:a16="http://schemas.microsoft.com/office/drawing/2014/main" id="{00000000-0008-0000-0100-00007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117</xdr:row>
          <xdr:rowOff>198120</xdr:rowOff>
        </xdr:from>
        <xdr:to>
          <xdr:col>4</xdr:col>
          <xdr:colOff>518160</xdr:colOff>
          <xdr:row>117</xdr:row>
          <xdr:rowOff>533400</xdr:rowOff>
        </xdr:to>
        <xdr:sp macro="" textlink="">
          <xdr:nvSpPr>
            <xdr:cNvPr id="2173" name="Check Box 125" hidden="1">
              <a:extLst>
                <a:ext uri="{63B3BB69-23CF-44E3-9099-C40C66FF867C}">
                  <a14:compatExt spid="_x0000_s2173"/>
                </a:ext>
                <a:ext uri="{FF2B5EF4-FFF2-40B4-BE49-F238E27FC236}">
                  <a16:creationId xmlns:a16="http://schemas.microsoft.com/office/drawing/2014/main" id="{00000000-0008-0000-0100-00007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118</xdr:row>
          <xdr:rowOff>198120</xdr:rowOff>
        </xdr:from>
        <xdr:to>
          <xdr:col>4</xdr:col>
          <xdr:colOff>518160</xdr:colOff>
          <xdr:row>118</xdr:row>
          <xdr:rowOff>533400</xdr:rowOff>
        </xdr:to>
        <xdr:sp macro="" textlink="">
          <xdr:nvSpPr>
            <xdr:cNvPr id="2174" name="Check Box 126" hidden="1">
              <a:extLst>
                <a:ext uri="{63B3BB69-23CF-44E3-9099-C40C66FF867C}">
                  <a14:compatExt spid="_x0000_s2174"/>
                </a:ext>
                <a:ext uri="{FF2B5EF4-FFF2-40B4-BE49-F238E27FC236}">
                  <a16:creationId xmlns:a16="http://schemas.microsoft.com/office/drawing/2014/main" id="{00000000-0008-0000-0100-00007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118</xdr:row>
          <xdr:rowOff>198120</xdr:rowOff>
        </xdr:from>
        <xdr:to>
          <xdr:col>4</xdr:col>
          <xdr:colOff>518160</xdr:colOff>
          <xdr:row>118</xdr:row>
          <xdr:rowOff>533400</xdr:rowOff>
        </xdr:to>
        <xdr:sp macro="" textlink="">
          <xdr:nvSpPr>
            <xdr:cNvPr id="2175" name="Check Box 127" hidden="1">
              <a:extLst>
                <a:ext uri="{63B3BB69-23CF-44E3-9099-C40C66FF867C}">
                  <a14:compatExt spid="_x0000_s2175"/>
                </a:ext>
                <a:ext uri="{FF2B5EF4-FFF2-40B4-BE49-F238E27FC236}">
                  <a16:creationId xmlns:a16="http://schemas.microsoft.com/office/drawing/2014/main" id="{00000000-0008-0000-0100-00007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120</xdr:row>
          <xdr:rowOff>198120</xdr:rowOff>
        </xdr:from>
        <xdr:to>
          <xdr:col>4</xdr:col>
          <xdr:colOff>525780</xdr:colOff>
          <xdr:row>120</xdr:row>
          <xdr:rowOff>533400</xdr:rowOff>
        </xdr:to>
        <xdr:sp macro="" textlink="">
          <xdr:nvSpPr>
            <xdr:cNvPr id="2176" name="Check Box 128" hidden="1">
              <a:extLst>
                <a:ext uri="{63B3BB69-23CF-44E3-9099-C40C66FF867C}">
                  <a14:compatExt spid="_x0000_s2176"/>
                </a:ext>
                <a:ext uri="{FF2B5EF4-FFF2-40B4-BE49-F238E27FC236}">
                  <a16:creationId xmlns:a16="http://schemas.microsoft.com/office/drawing/2014/main" id="{00000000-0008-0000-0100-00008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120</xdr:row>
          <xdr:rowOff>198120</xdr:rowOff>
        </xdr:from>
        <xdr:to>
          <xdr:col>4</xdr:col>
          <xdr:colOff>525780</xdr:colOff>
          <xdr:row>120</xdr:row>
          <xdr:rowOff>533400</xdr:rowOff>
        </xdr:to>
        <xdr:sp macro="" textlink="">
          <xdr:nvSpPr>
            <xdr:cNvPr id="2177" name="Check Box 129" hidden="1">
              <a:extLst>
                <a:ext uri="{63B3BB69-23CF-44E3-9099-C40C66FF867C}">
                  <a14:compatExt spid="_x0000_s2177"/>
                </a:ext>
                <a:ext uri="{FF2B5EF4-FFF2-40B4-BE49-F238E27FC236}">
                  <a16:creationId xmlns:a16="http://schemas.microsoft.com/office/drawing/2014/main" id="{00000000-0008-0000-0100-00008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121</xdr:row>
          <xdr:rowOff>198120</xdr:rowOff>
        </xdr:from>
        <xdr:to>
          <xdr:col>4</xdr:col>
          <xdr:colOff>525780</xdr:colOff>
          <xdr:row>121</xdr:row>
          <xdr:rowOff>533400</xdr:rowOff>
        </xdr:to>
        <xdr:sp macro="" textlink="">
          <xdr:nvSpPr>
            <xdr:cNvPr id="2178" name="Check Box 130" hidden="1">
              <a:extLst>
                <a:ext uri="{63B3BB69-23CF-44E3-9099-C40C66FF867C}">
                  <a14:compatExt spid="_x0000_s2178"/>
                </a:ext>
                <a:ext uri="{FF2B5EF4-FFF2-40B4-BE49-F238E27FC236}">
                  <a16:creationId xmlns:a16="http://schemas.microsoft.com/office/drawing/2014/main" id="{00000000-0008-0000-0100-00008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122</xdr:row>
          <xdr:rowOff>198120</xdr:rowOff>
        </xdr:from>
        <xdr:to>
          <xdr:col>4</xdr:col>
          <xdr:colOff>525780</xdr:colOff>
          <xdr:row>122</xdr:row>
          <xdr:rowOff>533400</xdr:rowOff>
        </xdr:to>
        <xdr:sp macro="" textlink="">
          <xdr:nvSpPr>
            <xdr:cNvPr id="2179" name="Check Box 131" hidden="1">
              <a:extLst>
                <a:ext uri="{63B3BB69-23CF-44E3-9099-C40C66FF867C}">
                  <a14:compatExt spid="_x0000_s2179"/>
                </a:ext>
                <a:ext uri="{FF2B5EF4-FFF2-40B4-BE49-F238E27FC236}">
                  <a16:creationId xmlns:a16="http://schemas.microsoft.com/office/drawing/2014/main" id="{00000000-0008-0000-0100-00008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122</xdr:row>
          <xdr:rowOff>198120</xdr:rowOff>
        </xdr:from>
        <xdr:to>
          <xdr:col>4</xdr:col>
          <xdr:colOff>525780</xdr:colOff>
          <xdr:row>122</xdr:row>
          <xdr:rowOff>533400</xdr:rowOff>
        </xdr:to>
        <xdr:sp macro="" textlink="">
          <xdr:nvSpPr>
            <xdr:cNvPr id="2180" name="Check Box 132" hidden="1">
              <a:extLst>
                <a:ext uri="{63B3BB69-23CF-44E3-9099-C40C66FF867C}">
                  <a14:compatExt spid="_x0000_s2180"/>
                </a:ext>
                <a:ext uri="{FF2B5EF4-FFF2-40B4-BE49-F238E27FC236}">
                  <a16:creationId xmlns:a16="http://schemas.microsoft.com/office/drawing/2014/main" id="{00000000-0008-0000-0100-00008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124</xdr:row>
          <xdr:rowOff>198120</xdr:rowOff>
        </xdr:from>
        <xdr:to>
          <xdr:col>4</xdr:col>
          <xdr:colOff>518160</xdr:colOff>
          <xdr:row>124</xdr:row>
          <xdr:rowOff>533400</xdr:rowOff>
        </xdr:to>
        <xdr:sp macro="" textlink="">
          <xdr:nvSpPr>
            <xdr:cNvPr id="2181" name="Check Box 133" hidden="1">
              <a:extLst>
                <a:ext uri="{63B3BB69-23CF-44E3-9099-C40C66FF867C}">
                  <a14:compatExt spid="_x0000_s2181"/>
                </a:ext>
                <a:ext uri="{FF2B5EF4-FFF2-40B4-BE49-F238E27FC236}">
                  <a16:creationId xmlns:a16="http://schemas.microsoft.com/office/drawing/2014/main" id="{00000000-0008-0000-0100-00008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124</xdr:row>
          <xdr:rowOff>198120</xdr:rowOff>
        </xdr:from>
        <xdr:to>
          <xdr:col>4</xdr:col>
          <xdr:colOff>518160</xdr:colOff>
          <xdr:row>124</xdr:row>
          <xdr:rowOff>533400</xdr:rowOff>
        </xdr:to>
        <xdr:sp macro="" textlink="">
          <xdr:nvSpPr>
            <xdr:cNvPr id="2182" name="Check Box 134" hidden="1">
              <a:extLst>
                <a:ext uri="{63B3BB69-23CF-44E3-9099-C40C66FF867C}">
                  <a14:compatExt spid="_x0000_s2182"/>
                </a:ext>
                <a:ext uri="{FF2B5EF4-FFF2-40B4-BE49-F238E27FC236}">
                  <a16:creationId xmlns:a16="http://schemas.microsoft.com/office/drawing/2014/main" id="{00000000-0008-0000-0100-00008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125</xdr:row>
          <xdr:rowOff>198120</xdr:rowOff>
        </xdr:from>
        <xdr:to>
          <xdr:col>4</xdr:col>
          <xdr:colOff>518160</xdr:colOff>
          <xdr:row>125</xdr:row>
          <xdr:rowOff>533400</xdr:rowOff>
        </xdr:to>
        <xdr:sp macro="" textlink="">
          <xdr:nvSpPr>
            <xdr:cNvPr id="2183" name="Check Box 135" hidden="1">
              <a:extLst>
                <a:ext uri="{63B3BB69-23CF-44E3-9099-C40C66FF867C}">
                  <a14:compatExt spid="_x0000_s2183"/>
                </a:ext>
                <a:ext uri="{FF2B5EF4-FFF2-40B4-BE49-F238E27FC236}">
                  <a16:creationId xmlns:a16="http://schemas.microsoft.com/office/drawing/2014/main" id="{00000000-0008-0000-0100-00008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126</xdr:row>
          <xdr:rowOff>198120</xdr:rowOff>
        </xdr:from>
        <xdr:to>
          <xdr:col>4</xdr:col>
          <xdr:colOff>518160</xdr:colOff>
          <xdr:row>126</xdr:row>
          <xdr:rowOff>533400</xdr:rowOff>
        </xdr:to>
        <xdr:sp macro="" textlink="">
          <xdr:nvSpPr>
            <xdr:cNvPr id="2184" name="Check Box 136" hidden="1">
              <a:extLst>
                <a:ext uri="{63B3BB69-23CF-44E3-9099-C40C66FF867C}">
                  <a14:compatExt spid="_x0000_s2184"/>
                </a:ext>
                <a:ext uri="{FF2B5EF4-FFF2-40B4-BE49-F238E27FC236}">
                  <a16:creationId xmlns:a16="http://schemas.microsoft.com/office/drawing/2014/main" id="{00000000-0008-0000-0100-00008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126</xdr:row>
          <xdr:rowOff>198120</xdr:rowOff>
        </xdr:from>
        <xdr:to>
          <xdr:col>4</xdr:col>
          <xdr:colOff>518160</xdr:colOff>
          <xdr:row>126</xdr:row>
          <xdr:rowOff>533400</xdr:rowOff>
        </xdr:to>
        <xdr:sp macro="" textlink="">
          <xdr:nvSpPr>
            <xdr:cNvPr id="2185" name="Check Box 137" hidden="1">
              <a:extLst>
                <a:ext uri="{63B3BB69-23CF-44E3-9099-C40C66FF867C}">
                  <a14:compatExt spid="_x0000_s2185"/>
                </a:ext>
                <a:ext uri="{FF2B5EF4-FFF2-40B4-BE49-F238E27FC236}">
                  <a16:creationId xmlns:a16="http://schemas.microsoft.com/office/drawing/2014/main" id="{00000000-0008-0000-0100-00008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128</xdr:row>
          <xdr:rowOff>198120</xdr:rowOff>
        </xdr:from>
        <xdr:to>
          <xdr:col>4</xdr:col>
          <xdr:colOff>518160</xdr:colOff>
          <xdr:row>128</xdr:row>
          <xdr:rowOff>533400</xdr:rowOff>
        </xdr:to>
        <xdr:sp macro="" textlink="">
          <xdr:nvSpPr>
            <xdr:cNvPr id="2186" name="Check Box 138" hidden="1">
              <a:extLst>
                <a:ext uri="{63B3BB69-23CF-44E3-9099-C40C66FF867C}">
                  <a14:compatExt spid="_x0000_s2186"/>
                </a:ext>
                <a:ext uri="{FF2B5EF4-FFF2-40B4-BE49-F238E27FC236}">
                  <a16:creationId xmlns:a16="http://schemas.microsoft.com/office/drawing/2014/main" id="{00000000-0008-0000-0100-00008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128</xdr:row>
          <xdr:rowOff>198120</xdr:rowOff>
        </xdr:from>
        <xdr:to>
          <xdr:col>4</xdr:col>
          <xdr:colOff>518160</xdr:colOff>
          <xdr:row>128</xdr:row>
          <xdr:rowOff>533400</xdr:rowOff>
        </xdr:to>
        <xdr:sp macro="" textlink="">
          <xdr:nvSpPr>
            <xdr:cNvPr id="2187" name="Check Box 139" hidden="1">
              <a:extLst>
                <a:ext uri="{63B3BB69-23CF-44E3-9099-C40C66FF867C}">
                  <a14:compatExt spid="_x0000_s2187"/>
                </a:ext>
                <a:ext uri="{FF2B5EF4-FFF2-40B4-BE49-F238E27FC236}">
                  <a16:creationId xmlns:a16="http://schemas.microsoft.com/office/drawing/2014/main" id="{00000000-0008-0000-0100-00008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129</xdr:row>
          <xdr:rowOff>198120</xdr:rowOff>
        </xdr:from>
        <xdr:to>
          <xdr:col>4</xdr:col>
          <xdr:colOff>518160</xdr:colOff>
          <xdr:row>129</xdr:row>
          <xdr:rowOff>533400</xdr:rowOff>
        </xdr:to>
        <xdr:sp macro="" textlink="">
          <xdr:nvSpPr>
            <xdr:cNvPr id="2188" name="Check Box 140" hidden="1">
              <a:extLst>
                <a:ext uri="{63B3BB69-23CF-44E3-9099-C40C66FF867C}">
                  <a14:compatExt spid="_x0000_s2188"/>
                </a:ext>
                <a:ext uri="{FF2B5EF4-FFF2-40B4-BE49-F238E27FC236}">
                  <a16:creationId xmlns:a16="http://schemas.microsoft.com/office/drawing/2014/main" id="{00000000-0008-0000-0100-00008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130</xdr:row>
          <xdr:rowOff>198120</xdr:rowOff>
        </xdr:from>
        <xdr:to>
          <xdr:col>4</xdr:col>
          <xdr:colOff>518160</xdr:colOff>
          <xdr:row>130</xdr:row>
          <xdr:rowOff>533400</xdr:rowOff>
        </xdr:to>
        <xdr:sp macro="" textlink="">
          <xdr:nvSpPr>
            <xdr:cNvPr id="2189" name="Check Box 141" hidden="1">
              <a:extLst>
                <a:ext uri="{63B3BB69-23CF-44E3-9099-C40C66FF867C}">
                  <a14:compatExt spid="_x0000_s2189"/>
                </a:ext>
                <a:ext uri="{FF2B5EF4-FFF2-40B4-BE49-F238E27FC236}">
                  <a16:creationId xmlns:a16="http://schemas.microsoft.com/office/drawing/2014/main" id="{00000000-0008-0000-0100-00008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130</xdr:row>
          <xdr:rowOff>198120</xdr:rowOff>
        </xdr:from>
        <xdr:to>
          <xdr:col>4</xdr:col>
          <xdr:colOff>518160</xdr:colOff>
          <xdr:row>130</xdr:row>
          <xdr:rowOff>533400</xdr:rowOff>
        </xdr:to>
        <xdr:sp macro="" textlink="">
          <xdr:nvSpPr>
            <xdr:cNvPr id="2190" name="Check Box 142" hidden="1">
              <a:extLst>
                <a:ext uri="{63B3BB69-23CF-44E3-9099-C40C66FF867C}">
                  <a14:compatExt spid="_x0000_s2190"/>
                </a:ext>
                <a:ext uri="{FF2B5EF4-FFF2-40B4-BE49-F238E27FC236}">
                  <a16:creationId xmlns:a16="http://schemas.microsoft.com/office/drawing/2014/main" id="{00000000-0008-0000-0100-00008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132</xdr:row>
          <xdr:rowOff>198120</xdr:rowOff>
        </xdr:from>
        <xdr:to>
          <xdr:col>4</xdr:col>
          <xdr:colOff>518160</xdr:colOff>
          <xdr:row>132</xdr:row>
          <xdr:rowOff>533400</xdr:rowOff>
        </xdr:to>
        <xdr:sp macro="" textlink="">
          <xdr:nvSpPr>
            <xdr:cNvPr id="2191" name="Check Box 143" hidden="1">
              <a:extLst>
                <a:ext uri="{63B3BB69-23CF-44E3-9099-C40C66FF867C}">
                  <a14:compatExt spid="_x0000_s2191"/>
                </a:ext>
                <a:ext uri="{FF2B5EF4-FFF2-40B4-BE49-F238E27FC236}">
                  <a16:creationId xmlns:a16="http://schemas.microsoft.com/office/drawing/2014/main" id="{00000000-0008-0000-0100-00008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132</xdr:row>
          <xdr:rowOff>198120</xdr:rowOff>
        </xdr:from>
        <xdr:to>
          <xdr:col>4</xdr:col>
          <xdr:colOff>518160</xdr:colOff>
          <xdr:row>132</xdr:row>
          <xdr:rowOff>533400</xdr:rowOff>
        </xdr:to>
        <xdr:sp macro="" textlink="">
          <xdr:nvSpPr>
            <xdr:cNvPr id="2192" name="Check Box 144" hidden="1">
              <a:extLst>
                <a:ext uri="{63B3BB69-23CF-44E3-9099-C40C66FF867C}">
                  <a14:compatExt spid="_x0000_s2192"/>
                </a:ext>
                <a:ext uri="{FF2B5EF4-FFF2-40B4-BE49-F238E27FC236}">
                  <a16:creationId xmlns:a16="http://schemas.microsoft.com/office/drawing/2014/main" id="{00000000-0008-0000-0100-00009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133</xdr:row>
          <xdr:rowOff>198120</xdr:rowOff>
        </xdr:from>
        <xdr:to>
          <xdr:col>4</xdr:col>
          <xdr:colOff>518160</xdr:colOff>
          <xdr:row>133</xdr:row>
          <xdr:rowOff>533400</xdr:rowOff>
        </xdr:to>
        <xdr:sp macro="" textlink="">
          <xdr:nvSpPr>
            <xdr:cNvPr id="2193" name="Check Box 145" hidden="1">
              <a:extLst>
                <a:ext uri="{63B3BB69-23CF-44E3-9099-C40C66FF867C}">
                  <a14:compatExt spid="_x0000_s2193"/>
                </a:ext>
                <a:ext uri="{FF2B5EF4-FFF2-40B4-BE49-F238E27FC236}">
                  <a16:creationId xmlns:a16="http://schemas.microsoft.com/office/drawing/2014/main" id="{00000000-0008-0000-0100-00009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134</xdr:row>
          <xdr:rowOff>198120</xdr:rowOff>
        </xdr:from>
        <xdr:to>
          <xdr:col>4</xdr:col>
          <xdr:colOff>518160</xdr:colOff>
          <xdr:row>134</xdr:row>
          <xdr:rowOff>533400</xdr:rowOff>
        </xdr:to>
        <xdr:sp macro="" textlink="">
          <xdr:nvSpPr>
            <xdr:cNvPr id="2194" name="Check Box 146" hidden="1">
              <a:extLst>
                <a:ext uri="{63B3BB69-23CF-44E3-9099-C40C66FF867C}">
                  <a14:compatExt spid="_x0000_s2194"/>
                </a:ext>
                <a:ext uri="{FF2B5EF4-FFF2-40B4-BE49-F238E27FC236}">
                  <a16:creationId xmlns:a16="http://schemas.microsoft.com/office/drawing/2014/main" id="{00000000-0008-0000-0100-00009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134</xdr:row>
          <xdr:rowOff>198120</xdr:rowOff>
        </xdr:from>
        <xdr:to>
          <xdr:col>4</xdr:col>
          <xdr:colOff>518160</xdr:colOff>
          <xdr:row>134</xdr:row>
          <xdr:rowOff>533400</xdr:rowOff>
        </xdr:to>
        <xdr:sp macro="" textlink="">
          <xdr:nvSpPr>
            <xdr:cNvPr id="2195" name="Check Box 147" hidden="1">
              <a:extLst>
                <a:ext uri="{63B3BB69-23CF-44E3-9099-C40C66FF867C}">
                  <a14:compatExt spid="_x0000_s2195"/>
                </a:ext>
                <a:ext uri="{FF2B5EF4-FFF2-40B4-BE49-F238E27FC236}">
                  <a16:creationId xmlns:a16="http://schemas.microsoft.com/office/drawing/2014/main" id="{00000000-0008-0000-0100-00009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135</xdr:row>
          <xdr:rowOff>198120</xdr:rowOff>
        </xdr:from>
        <xdr:to>
          <xdr:col>4</xdr:col>
          <xdr:colOff>518160</xdr:colOff>
          <xdr:row>135</xdr:row>
          <xdr:rowOff>533400</xdr:rowOff>
        </xdr:to>
        <xdr:sp macro="" textlink="">
          <xdr:nvSpPr>
            <xdr:cNvPr id="2196" name="Check Box 148" hidden="1">
              <a:extLst>
                <a:ext uri="{63B3BB69-23CF-44E3-9099-C40C66FF867C}">
                  <a14:compatExt spid="_x0000_s2196"/>
                </a:ext>
                <a:ext uri="{FF2B5EF4-FFF2-40B4-BE49-F238E27FC236}">
                  <a16:creationId xmlns:a16="http://schemas.microsoft.com/office/drawing/2014/main" id="{00000000-0008-0000-0100-00009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135</xdr:row>
          <xdr:rowOff>198120</xdr:rowOff>
        </xdr:from>
        <xdr:to>
          <xdr:col>4</xdr:col>
          <xdr:colOff>518160</xdr:colOff>
          <xdr:row>135</xdr:row>
          <xdr:rowOff>533400</xdr:rowOff>
        </xdr:to>
        <xdr:sp macro="" textlink="">
          <xdr:nvSpPr>
            <xdr:cNvPr id="2197" name="Check Box 149"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137</xdr:row>
          <xdr:rowOff>198120</xdr:rowOff>
        </xdr:from>
        <xdr:to>
          <xdr:col>4</xdr:col>
          <xdr:colOff>518160</xdr:colOff>
          <xdr:row>137</xdr:row>
          <xdr:rowOff>533400</xdr:rowOff>
        </xdr:to>
        <xdr:sp macro="" textlink="">
          <xdr:nvSpPr>
            <xdr:cNvPr id="2198" name="Check Box 150" hidden="1">
              <a:extLst>
                <a:ext uri="{63B3BB69-23CF-44E3-9099-C40C66FF867C}">
                  <a14:compatExt spid="_x0000_s2198"/>
                </a:ext>
                <a:ext uri="{FF2B5EF4-FFF2-40B4-BE49-F238E27FC236}">
                  <a16:creationId xmlns:a16="http://schemas.microsoft.com/office/drawing/2014/main" id="{00000000-0008-0000-0100-00009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137</xdr:row>
          <xdr:rowOff>198120</xdr:rowOff>
        </xdr:from>
        <xdr:to>
          <xdr:col>4</xdr:col>
          <xdr:colOff>518160</xdr:colOff>
          <xdr:row>137</xdr:row>
          <xdr:rowOff>533400</xdr:rowOff>
        </xdr:to>
        <xdr:sp macro="" textlink="">
          <xdr:nvSpPr>
            <xdr:cNvPr id="2199" name="Check Box 151" hidden="1">
              <a:extLst>
                <a:ext uri="{63B3BB69-23CF-44E3-9099-C40C66FF867C}">
                  <a14:compatExt spid="_x0000_s2199"/>
                </a:ext>
                <a:ext uri="{FF2B5EF4-FFF2-40B4-BE49-F238E27FC236}">
                  <a16:creationId xmlns:a16="http://schemas.microsoft.com/office/drawing/2014/main" id="{00000000-0008-0000-0100-00009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138</xdr:row>
          <xdr:rowOff>198120</xdr:rowOff>
        </xdr:from>
        <xdr:to>
          <xdr:col>4</xdr:col>
          <xdr:colOff>518160</xdr:colOff>
          <xdr:row>138</xdr:row>
          <xdr:rowOff>533400</xdr:rowOff>
        </xdr:to>
        <xdr:sp macro="" textlink="">
          <xdr:nvSpPr>
            <xdr:cNvPr id="2200" name="Check Box 152" hidden="1">
              <a:extLst>
                <a:ext uri="{63B3BB69-23CF-44E3-9099-C40C66FF867C}">
                  <a14:compatExt spid="_x0000_s2200"/>
                </a:ext>
                <a:ext uri="{FF2B5EF4-FFF2-40B4-BE49-F238E27FC236}">
                  <a16:creationId xmlns:a16="http://schemas.microsoft.com/office/drawing/2014/main" id="{00000000-0008-0000-0100-00009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139</xdr:row>
          <xdr:rowOff>198120</xdr:rowOff>
        </xdr:from>
        <xdr:to>
          <xdr:col>4</xdr:col>
          <xdr:colOff>518160</xdr:colOff>
          <xdr:row>139</xdr:row>
          <xdr:rowOff>533400</xdr:rowOff>
        </xdr:to>
        <xdr:sp macro="" textlink="">
          <xdr:nvSpPr>
            <xdr:cNvPr id="2201" name="Check Box 153" hidden="1">
              <a:extLst>
                <a:ext uri="{63B3BB69-23CF-44E3-9099-C40C66FF867C}">
                  <a14:compatExt spid="_x0000_s2201"/>
                </a:ext>
                <a:ext uri="{FF2B5EF4-FFF2-40B4-BE49-F238E27FC236}">
                  <a16:creationId xmlns:a16="http://schemas.microsoft.com/office/drawing/2014/main" id="{00000000-0008-0000-0100-00009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139</xdr:row>
          <xdr:rowOff>198120</xdr:rowOff>
        </xdr:from>
        <xdr:to>
          <xdr:col>4</xdr:col>
          <xdr:colOff>518160</xdr:colOff>
          <xdr:row>139</xdr:row>
          <xdr:rowOff>533400</xdr:rowOff>
        </xdr:to>
        <xdr:sp macro="" textlink="">
          <xdr:nvSpPr>
            <xdr:cNvPr id="2202" name="Check Box 154" hidden="1">
              <a:extLst>
                <a:ext uri="{63B3BB69-23CF-44E3-9099-C40C66FF867C}">
                  <a14:compatExt spid="_x0000_s2202"/>
                </a:ext>
                <a:ext uri="{FF2B5EF4-FFF2-40B4-BE49-F238E27FC236}">
                  <a16:creationId xmlns:a16="http://schemas.microsoft.com/office/drawing/2014/main" id="{00000000-0008-0000-0100-00009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140</xdr:row>
          <xdr:rowOff>198120</xdr:rowOff>
        </xdr:from>
        <xdr:to>
          <xdr:col>4</xdr:col>
          <xdr:colOff>518160</xdr:colOff>
          <xdr:row>140</xdr:row>
          <xdr:rowOff>533400</xdr:rowOff>
        </xdr:to>
        <xdr:sp macro="" textlink="">
          <xdr:nvSpPr>
            <xdr:cNvPr id="2203" name="Check Box 155" hidden="1">
              <a:extLst>
                <a:ext uri="{63B3BB69-23CF-44E3-9099-C40C66FF867C}">
                  <a14:compatExt spid="_x0000_s2203"/>
                </a:ext>
                <a:ext uri="{FF2B5EF4-FFF2-40B4-BE49-F238E27FC236}">
                  <a16:creationId xmlns:a16="http://schemas.microsoft.com/office/drawing/2014/main" id="{00000000-0008-0000-0100-00009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140</xdr:row>
          <xdr:rowOff>198120</xdr:rowOff>
        </xdr:from>
        <xdr:to>
          <xdr:col>4</xdr:col>
          <xdr:colOff>518160</xdr:colOff>
          <xdr:row>140</xdr:row>
          <xdr:rowOff>533400</xdr:rowOff>
        </xdr:to>
        <xdr:sp macro="" textlink="">
          <xdr:nvSpPr>
            <xdr:cNvPr id="2204" name="Check Box 156" hidden="1">
              <a:extLst>
                <a:ext uri="{63B3BB69-23CF-44E3-9099-C40C66FF867C}">
                  <a14:compatExt spid="_x0000_s2204"/>
                </a:ext>
                <a:ext uri="{FF2B5EF4-FFF2-40B4-BE49-F238E27FC236}">
                  <a16:creationId xmlns:a16="http://schemas.microsoft.com/office/drawing/2014/main" id="{00000000-0008-0000-0100-00009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142</xdr:row>
          <xdr:rowOff>198120</xdr:rowOff>
        </xdr:from>
        <xdr:to>
          <xdr:col>4</xdr:col>
          <xdr:colOff>518160</xdr:colOff>
          <xdr:row>142</xdr:row>
          <xdr:rowOff>533400</xdr:rowOff>
        </xdr:to>
        <xdr:sp macro="" textlink="">
          <xdr:nvSpPr>
            <xdr:cNvPr id="2205" name="Check Box 157" hidden="1">
              <a:extLst>
                <a:ext uri="{63B3BB69-23CF-44E3-9099-C40C66FF867C}">
                  <a14:compatExt spid="_x0000_s2205"/>
                </a:ext>
                <a:ext uri="{FF2B5EF4-FFF2-40B4-BE49-F238E27FC236}">
                  <a16:creationId xmlns:a16="http://schemas.microsoft.com/office/drawing/2014/main" id="{00000000-0008-0000-0100-00009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142</xdr:row>
          <xdr:rowOff>198120</xdr:rowOff>
        </xdr:from>
        <xdr:to>
          <xdr:col>4</xdr:col>
          <xdr:colOff>518160</xdr:colOff>
          <xdr:row>142</xdr:row>
          <xdr:rowOff>533400</xdr:rowOff>
        </xdr:to>
        <xdr:sp macro="" textlink="">
          <xdr:nvSpPr>
            <xdr:cNvPr id="2206" name="Check Box 158" hidden="1">
              <a:extLst>
                <a:ext uri="{63B3BB69-23CF-44E3-9099-C40C66FF867C}">
                  <a14:compatExt spid="_x0000_s2206"/>
                </a:ext>
                <a:ext uri="{FF2B5EF4-FFF2-40B4-BE49-F238E27FC236}">
                  <a16:creationId xmlns:a16="http://schemas.microsoft.com/office/drawing/2014/main" id="{00000000-0008-0000-0100-00009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143</xdr:row>
          <xdr:rowOff>198120</xdr:rowOff>
        </xdr:from>
        <xdr:to>
          <xdr:col>4</xdr:col>
          <xdr:colOff>518160</xdr:colOff>
          <xdr:row>143</xdr:row>
          <xdr:rowOff>533400</xdr:rowOff>
        </xdr:to>
        <xdr:sp macro="" textlink="">
          <xdr:nvSpPr>
            <xdr:cNvPr id="2207" name="Check Box 159" hidden="1">
              <a:extLst>
                <a:ext uri="{63B3BB69-23CF-44E3-9099-C40C66FF867C}">
                  <a14:compatExt spid="_x0000_s2207"/>
                </a:ext>
                <a:ext uri="{FF2B5EF4-FFF2-40B4-BE49-F238E27FC236}">
                  <a16:creationId xmlns:a16="http://schemas.microsoft.com/office/drawing/2014/main" id="{00000000-0008-0000-0100-00009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146</xdr:row>
          <xdr:rowOff>198120</xdr:rowOff>
        </xdr:from>
        <xdr:to>
          <xdr:col>4</xdr:col>
          <xdr:colOff>518160</xdr:colOff>
          <xdr:row>146</xdr:row>
          <xdr:rowOff>533400</xdr:rowOff>
        </xdr:to>
        <xdr:sp macro="" textlink="">
          <xdr:nvSpPr>
            <xdr:cNvPr id="2208" name="Check Box 160" hidden="1">
              <a:extLst>
                <a:ext uri="{63B3BB69-23CF-44E3-9099-C40C66FF867C}">
                  <a14:compatExt spid="_x0000_s2208"/>
                </a:ext>
                <a:ext uri="{FF2B5EF4-FFF2-40B4-BE49-F238E27FC236}">
                  <a16:creationId xmlns:a16="http://schemas.microsoft.com/office/drawing/2014/main" id="{00000000-0008-0000-0100-0000A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146</xdr:row>
          <xdr:rowOff>198120</xdr:rowOff>
        </xdr:from>
        <xdr:to>
          <xdr:col>4</xdr:col>
          <xdr:colOff>518160</xdr:colOff>
          <xdr:row>146</xdr:row>
          <xdr:rowOff>533400</xdr:rowOff>
        </xdr:to>
        <xdr:sp macro="" textlink="">
          <xdr:nvSpPr>
            <xdr:cNvPr id="2209" name="Check Box 161" hidden="1">
              <a:extLst>
                <a:ext uri="{63B3BB69-23CF-44E3-9099-C40C66FF867C}">
                  <a14:compatExt spid="_x0000_s2209"/>
                </a:ext>
                <a:ext uri="{FF2B5EF4-FFF2-40B4-BE49-F238E27FC236}">
                  <a16:creationId xmlns:a16="http://schemas.microsoft.com/office/drawing/2014/main" id="{00000000-0008-0000-0100-0000A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147</xdr:row>
          <xdr:rowOff>198120</xdr:rowOff>
        </xdr:from>
        <xdr:to>
          <xdr:col>4</xdr:col>
          <xdr:colOff>518160</xdr:colOff>
          <xdr:row>147</xdr:row>
          <xdr:rowOff>533400</xdr:rowOff>
        </xdr:to>
        <xdr:sp macro="" textlink="">
          <xdr:nvSpPr>
            <xdr:cNvPr id="2210" name="Check Box 162" hidden="1">
              <a:extLst>
                <a:ext uri="{63B3BB69-23CF-44E3-9099-C40C66FF867C}">
                  <a14:compatExt spid="_x0000_s2210"/>
                </a:ext>
                <a:ext uri="{FF2B5EF4-FFF2-40B4-BE49-F238E27FC236}">
                  <a16:creationId xmlns:a16="http://schemas.microsoft.com/office/drawing/2014/main" id="{00000000-0008-0000-0100-0000A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148</xdr:row>
          <xdr:rowOff>198120</xdr:rowOff>
        </xdr:from>
        <xdr:to>
          <xdr:col>4</xdr:col>
          <xdr:colOff>518160</xdr:colOff>
          <xdr:row>148</xdr:row>
          <xdr:rowOff>533400</xdr:rowOff>
        </xdr:to>
        <xdr:sp macro="" textlink="">
          <xdr:nvSpPr>
            <xdr:cNvPr id="2211" name="Check Box 163" hidden="1">
              <a:extLst>
                <a:ext uri="{63B3BB69-23CF-44E3-9099-C40C66FF867C}">
                  <a14:compatExt spid="_x0000_s2211"/>
                </a:ext>
                <a:ext uri="{FF2B5EF4-FFF2-40B4-BE49-F238E27FC236}">
                  <a16:creationId xmlns:a16="http://schemas.microsoft.com/office/drawing/2014/main" id="{00000000-0008-0000-0100-0000A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148</xdr:row>
          <xdr:rowOff>198120</xdr:rowOff>
        </xdr:from>
        <xdr:to>
          <xdr:col>4</xdr:col>
          <xdr:colOff>518160</xdr:colOff>
          <xdr:row>148</xdr:row>
          <xdr:rowOff>533400</xdr:rowOff>
        </xdr:to>
        <xdr:sp macro="" textlink="">
          <xdr:nvSpPr>
            <xdr:cNvPr id="2212" name="Check Box 164" hidden="1">
              <a:extLst>
                <a:ext uri="{63B3BB69-23CF-44E3-9099-C40C66FF867C}">
                  <a14:compatExt spid="_x0000_s2212"/>
                </a:ext>
                <a:ext uri="{FF2B5EF4-FFF2-40B4-BE49-F238E27FC236}">
                  <a16:creationId xmlns:a16="http://schemas.microsoft.com/office/drawing/2014/main" id="{00000000-0008-0000-0100-0000A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149</xdr:row>
          <xdr:rowOff>198120</xdr:rowOff>
        </xdr:from>
        <xdr:to>
          <xdr:col>4</xdr:col>
          <xdr:colOff>518160</xdr:colOff>
          <xdr:row>149</xdr:row>
          <xdr:rowOff>533400</xdr:rowOff>
        </xdr:to>
        <xdr:sp macro="" textlink="">
          <xdr:nvSpPr>
            <xdr:cNvPr id="2213" name="Check Box 165" hidden="1">
              <a:extLst>
                <a:ext uri="{63B3BB69-23CF-44E3-9099-C40C66FF867C}">
                  <a14:compatExt spid="_x0000_s2213"/>
                </a:ext>
                <a:ext uri="{FF2B5EF4-FFF2-40B4-BE49-F238E27FC236}">
                  <a16:creationId xmlns:a16="http://schemas.microsoft.com/office/drawing/2014/main" id="{00000000-0008-0000-0100-0000A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150</xdr:row>
          <xdr:rowOff>198120</xdr:rowOff>
        </xdr:from>
        <xdr:to>
          <xdr:col>4</xdr:col>
          <xdr:colOff>518160</xdr:colOff>
          <xdr:row>150</xdr:row>
          <xdr:rowOff>533400</xdr:rowOff>
        </xdr:to>
        <xdr:sp macro="" textlink="">
          <xdr:nvSpPr>
            <xdr:cNvPr id="2214" name="Check Box 166" hidden="1">
              <a:extLst>
                <a:ext uri="{63B3BB69-23CF-44E3-9099-C40C66FF867C}">
                  <a14:compatExt spid="_x0000_s2214"/>
                </a:ext>
                <a:ext uri="{FF2B5EF4-FFF2-40B4-BE49-F238E27FC236}">
                  <a16:creationId xmlns:a16="http://schemas.microsoft.com/office/drawing/2014/main" id="{00000000-0008-0000-0100-0000A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150</xdr:row>
          <xdr:rowOff>198120</xdr:rowOff>
        </xdr:from>
        <xdr:to>
          <xdr:col>4</xdr:col>
          <xdr:colOff>518160</xdr:colOff>
          <xdr:row>150</xdr:row>
          <xdr:rowOff>533400</xdr:rowOff>
        </xdr:to>
        <xdr:sp macro="" textlink="">
          <xdr:nvSpPr>
            <xdr:cNvPr id="2215" name="Check Box 167" hidden="1">
              <a:extLst>
                <a:ext uri="{63B3BB69-23CF-44E3-9099-C40C66FF867C}">
                  <a14:compatExt spid="_x0000_s2215"/>
                </a:ext>
                <a:ext uri="{FF2B5EF4-FFF2-40B4-BE49-F238E27FC236}">
                  <a16:creationId xmlns:a16="http://schemas.microsoft.com/office/drawing/2014/main" id="{00000000-0008-0000-0100-0000A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152</xdr:row>
          <xdr:rowOff>198120</xdr:rowOff>
        </xdr:from>
        <xdr:to>
          <xdr:col>4</xdr:col>
          <xdr:colOff>518160</xdr:colOff>
          <xdr:row>152</xdr:row>
          <xdr:rowOff>533400</xdr:rowOff>
        </xdr:to>
        <xdr:sp macro="" textlink="">
          <xdr:nvSpPr>
            <xdr:cNvPr id="2217" name="Check Box 169" hidden="1">
              <a:extLst>
                <a:ext uri="{63B3BB69-23CF-44E3-9099-C40C66FF867C}">
                  <a14:compatExt spid="_x0000_s2217"/>
                </a:ext>
                <a:ext uri="{FF2B5EF4-FFF2-40B4-BE49-F238E27FC236}">
                  <a16:creationId xmlns:a16="http://schemas.microsoft.com/office/drawing/2014/main" id="{00000000-0008-0000-0100-0000A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152</xdr:row>
          <xdr:rowOff>198120</xdr:rowOff>
        </xdr:from>
        <xdr:to>
          <xdr:col>4</xdr:col>
          <xdr:colOff>518160</xdr:colOff>
          <xdr:row>152</xdr:row>
          <xdr:rowOff>533400</xdr:rowOff>
        </xdr:to>
        <xdr:sp macro="" textlink="">
          <xdr:nvSpPr>
            <xdr:cNvPr id="2218" name="Check Box 170" hidden="1">
              <a:extLst>
                <a:ext uri="{63B3BB69-23CF-44E3-9099-C40C66FF867C}">
                  <a14:compatExt spid="_x0000_s2218"/>
                </a:ext>
                <a:ext uri="{FF2B5EF4-FFF2-40B4-BE49-F238E27FC236}">
                  <a16:creationId xmlns:a16="http://schemas.microsoft.com/office/drawing/2014/main" id="{00000000-0008-0000-0100-0000A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153</xdr:row>
          <xdr:rowOff>198120</xdr:rowOff>
        </xdr:from>
        <xdr:to>
          <xdr:col>4</xdr:col>
          <xdr:colOff>518160</xdr:colOff>
          <xdr:row>153</xdr:row>
          <xdr:rowOff>533400</xdr:rowOff>
        </xdr:to>
        <xdr:sp macro="" textlink="">
          <xdr:nvSpPr>
            <xdr:cNvPr id="2219" name="Check Box 171" hidden="1">
              <a:extLst>
                <a:ext uri="{63B3BB69-23CF-44E3-9099-C40C66FF867C}">
                  <a14:compatExt spid="_x0000_s2219"/>
                </a:ext>
                <a:ext uri="{FF2B5EF4-FFF2-40B4-BE49-F238E27FC236}">
                  <a16:creationId xmlns:a16="http://schemas.microsoft.com/office/drawing/2014/main" id="{00000000-0008-0000-0100-0000A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154</xdr:row>
          <xdr:rowOff>198120</xdr:rowOff>
        </xdr:from>
        <xdr:to>
          <xdr:col>4</xdr:col>
          <xdr:colOff>518160</xdr:colOff>
          <xdr:row>154</xdr:row>
          <xdr:rowOff>533400</xdr:rowOff>
        </xdr:to>
        <xdr:sp macro="" textlink="">
          <xdr:nvSpPr>
            <xdr:cNvPr id="2220" name="Check Box 172" hidden="1">
              <a:extLst>
                <a:ext uri="{63B3BB69-23CF-44E3-9099-C40C66FF867C}">
                  <a14:compatExt spid="_x0000_s2220"/>
                </a:ext>
                <a:ext uri="{FF2B5EF4-FFF2-40B4-BE49-F238E27FC236}">
                  <a16:creationId xmlns:a16="http://schemas.microsoft.com/office/drawing/2014/main" id="{00000000-0008-0000-0100-0000A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154</xdr:row>
          <xdr:rowOff>198120</xdr:rowOff>
        </xdr:from>
        <xdr:to>
          <xdr:col>4</xdr:col>
          <xdr:colOff>518160</xdr:colOff>
          <xdr:row>154</xdr:row>
          <xdr:rowOff>533400</xdr:rowOff>
        </xdr:to>
        <xdr:sp macro="" textlink="">
          <xdr:nvSpPr>
            <xdr:cNvPr id="2221" name="Check Box 173" hidden="1">
              <a:extLst>
                <a:ext uri="{63B3BB69-23CF-44E3-9099-C40C66FF867C}">
                  <a14:compatExt spid="_x0000_s2221"/>
                </a:ext>
                <a:ext uri="{FF2B5EF4-FFF2-40B4-BE49-F238E27FC236}">
                  <a16:creationId xmlns:a16="http://schemas.microsoft.com/office/drawing/2014/main" id="{00000000-0008-0000-0100-0000A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155</xdr:row>
          <xdr:rowOff>198120</xdr:rowOff>
        </xdr:from>
        <xdr:to>
          <xdr:col>4</xdr:col>
          <xdr:colOff>518160</xdr:colOff>
          <xdr:row>155</xdr:row>
          <xdr:rowOff>533400</xdr:rowOff>
        </xdr:to>
        <xdr:sp macro="" textlink="">
          <xdr:nvSpPr>
            <xdr:cNvPr id="2222" name="Check Box 174" hidden="1">
              <a:extLst>
                <a:ext uri="{63B3BB69-23CF-44E3-9099-C40C66FF867C}">
                  <a14:compatExt spid="_x0000_s2222"/>
                </a:ext>
                <a:ext uri="{FF2B5EF4-FFF2-40B4-BE49-F238E27FC236}">
                  <a16:creationId xmlns:a16="http://schemas.microsoft.com/office/drawing/2014/main" id="{00000000-0008-0000-0100-0000A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156</xdr:row>
          <xdr:rowOff>198120</xdr:rowOff>
        </xdr:from>
        <xdr:to>
          <xdr:col>4</xdr:col>
          <xdr:colOff>518160</xdr:colOff>
          <xdr:row>156</xdr:row>
          <xdr:rowOff>533400</xdr:rowOff>
        </xdr:to>
        <xdr:sp macro="" textlink="">
          <xdr:nvSpPr>
            <xdr:cNvPr id="2223" name="Check Box 175" hidden="1">
              <a:extLst>
                <a:ext uri="{63B3BB69-23CF-44E3-9099-C40C66FF867C}">
                  <a14:compatExt spid="_x0000_s2223"/>
                </a:ext>
                <a:ext uri="{FF2B5EF4-FFF2-40B4-BE49-F238E27FC236}">
                  <a16:creationId xmlns:a16="http://schemas.microsoft.com/office/drawing/2014/main" id="{00000000-0008-0000-0100-0000A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156</xdr:row>
          <xdr:rowOff>198120</xdr:rowOff>
        </xdr:from>
        <xdr:to>
          <xdr:col>4</xdr:col>
          <xdr:colOff>518160</xdr:colOff>
          <xdr:row>156</xdr:row>
          <xdr:rowOff>533400</xdr:rowOff>
        </xdr:to>
        <xdr:sp macro="" textlink="">
          <xdr:nvSpPr>
            <xdr:cNvPr id="2224" name="Check Box 176" hidden="1">
              <a:extLst>
                <a:ext uri="{63B3BB69-23CF-44E3-9099-C40C66FF867C}">
                  <a14:compatExt spid="_x0000_s2224"/>
                </a:ext>
                <a:ext uri="{FF2B5EF4-FFF2-40B4-BE49-F238E27FC236}">
                  <a16:creationId xmlns:a16="http://schemas.microsoft.com/office/drawing/2014/main" id="{00000000-0008-0000-0100-0000B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158</xdr:row>
          <xdr:rowOff>198120</xdr:rowOff>
        </xdr:from>
        <xdr:to>
          <xdr:col>4</xdr:col>
          <xdr:colOff>518160</xdr:colOff>
          <xdr:row>158</xdr:row>
          <xdr:rowOff>533400</xdr:rowOff>
        </xdr:to>
        <xdr:sp macro="" textlink="">
          <xdr:nvSpPr>
            <xdr:cNvPr id="2225" name="Check Box 177" hidden="1">
              <a:extLst>
                <a:ext uri="{63B3BB69-23CF-44E3-9099-C40C66FF867C}">
                  <a14:compatExt spid="_x0000_s2225"/>
                </a:ext>
                <a:ext uri="{FF2B5EF4-FFF2-40B4-BE49-F238E27FC236}">
                  <a16:creationId xmlns:a16="http://schemas.microsoft.com/office/drawing/2014/main" id="{00000000-0008-0000-0100-0000B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158</xdr:row>
          <xdr:rowOff>198120</xdr:rowOff>
        </xdr:from>
        <xdr:to>
          <xdr:col>4</xdr:col>
          <xdr:colOff>518160</xdr:colOff>
          <xdr:row>158</xdr:row>
          <xdr:rowOff>533400</xdr:rowOff>
        </xdr:to>
        <xdr:sp macro="" textlink="">
          <xdr:nvSpPr>
            <xdr:cNvPr id="2226" name="Check Box 178" hidden="1">
              <a:extLst>
                <a:ext uri="{63B3BB69-23CF-44E3-9099-C40C66FF867C}">
                  <a14:compatExt spid="_x0000_s2226"/>
                </a:ext>
                <a:ext uri="{FF2B5EF4-FFF2-40B4-BE49-F238E27FC236}">
                  <a16:creationId xmlns:a16="http://schemas.microsoft.com/office/drawing/2014/main" id="{00000000-0008-0000-0100-0000B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159</xdr:row>
          <xdr:rowOff>198120</xdr:rowOff>
        </xdr:from>
        <xdr:to>
          <xdr:col>4</xdr:col>
          <xdr:colOff>518160</xdr:colOff>
          <xdr:row>159</xdr:row>
          <xdr:rowOff>533400</xdr:rowOff>
        </xdr:to>
        <xdr:sp macro="" textlink="">
          <xdr:nvSpPr>
            <xdr:cNvPr id="2227" name="Check Box 179" hidden="1">
              <a:extLst>
                <a:ext uri="{63B3BB69-23CF-44E3-9099-C40C66FF867C}">
                  <a14:compatExt spid="_x0000_s2227"/>
                </a:ext>
                <a:ext uri="{FF2B5EF4-FFF2-40B4-BE49-F238E27FC236}">
                  <a16:creationId xmlns:a16="http://schemas.microsoft.com/office/drawing/2014/main" id="{00000000-0008-0000-0100-0000B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160</xdr:row>
          <xdr:rowOff>198120</xdr:rowOff>
        </xdr:from>
        <xdr:to>
          <xdr:col>4</xdr:col>
          <xdr:colOff>518160</xdr:colOff>
          <xdr:row>160</xdr:row>
          <xdr:rowOff>533400</xdr:rowOff>
        </xdr:to>
        <xdr:sp macro="" textlink="">
          <xdr:nvSpPr>
            <xdr:cNvPr id="2228" name="Check Box 180" hidden="1">
              <a:extLst>
                <a:ext uri="{63B3BB69-23CF-44E3-9099-C40C66FF867C}">
                  <a14:compatExt spid="_x0000_s2228"/>
                </a:ext>
                <a:ext uri="{FF2B5EF4-FFF2-40B4-BE49-F238E27FC236}">
                  <a16:creationId xmlns:a16="http://schemas.microsoft.com/office/drawing/2014/main" id="{00000000-0008-0000-0100-0000B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160</xdr:row>
          <xdr:rowOff>198120</xdr:rowOff>
        </xdr:from>
        <xdr:to>
          <xdr:col>4</xdr:col>
          <xdr:colOff>518160</xdr:colOff>
          <xdr:row>160</xdr:row>
          <xdr:rowOff>533400</xdr:rowOff>
        </xdr:to>
        <xdr:sp macro="" textlink="">
          <xdr:nvSpPr>
            <xdr:cNvPr id="2229" name="Check Box 181" hidden="1">
              <a:extLst>
                <a:ext uri="{63B3BB69-23CF-44E3-9099-C40C66FF867C}">
                  <a14:compatExt spid="_x0000_s2229"/>
                </a:ext>
                <a:ext uri="{FF2B5EF4-FFF2-40B4-BE49-F238E27FC236}">
                  <a16:creationId xmlns:a16="http://schemas.microsoft.com/office/drawing/2014/main" id="{00000000-0008-0000-0100-0000B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161</xdr:row>
          <xdr:rowOff>198120</xdr:rowOff>
        </xdr:from>
        <xdr:to>
          <xdr:col>4</xdr:col>
          <xdr:colOff>518160</xdr:colOff>
          <xdr:row>161</xdr:row>
          <xdr:rowOff>533400</xdr:rowOff>
        </xdr:to>
        <xdr:sp macro="" textlink="">
          <xdr:nvSpPr>
            <xdr:cNvPr id="2230" name="Check Box 182" hidden="1">
              <a:extLst>
                <a:ext uri="{63B3BB69-23CF-44E3-9099-C40C66FF867C}">
                  <a14:compatExt spid="_x0000_s2230"/>
                </a:ext>
                <a:ext uri="{FF2B5EF4-FFF2-40B4-BE49-F238E27FC236}">
                  <a16:creationId xmlns:a16="http://schemas.microsoft.com/office/drawing/2014/main" id="{00000000-0008-0000-0100-0000B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162</xdr:row>
          <xdr:rowOff>198120</xdr:rowOff>
        </xdr:from>
        <xdr:to>
          <xdr:col>4</xdr:col>
          <xdr:colOff>518160</xdr:colOff>
          <xdr:row>162</xdr:row>
          <xdr:rowOff>533400</xdr:rowOff>
        </xdr:to>
        <xdr:sp macro="" textlink="">
          <xdr:nvSpPr>
            <xdr:cNvPr id="2231" name="Check Box 183" hidden="1">
              <a:extLst>
                <a:ext uri="{63B3BB69-23CF-44E3-9099-C40C66FF867C}">
                  <a14:compatExt spid="_x0000_s2231"/>
                </a:ext>
                <a:ext uri="{FF2B5EF4-FFF2-40B4-BE49-F238E27FC236}">
                  <a16:creationId xmlns:a16="http://schemas.microsoft.com/office/drawing/2014/main" id="{00000000-0008-0000-0100-0000B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162</xdr:row>
          <xdr:rowOff>198120</xdr:rowOff>
        </xdr:from>
        <xdr:to>
          <xdr:col>4</xdr:col>
          <xdr:colOff>518160</xdr:colOff>
          <xdr:row>162</xdr:row>
          <xdr:rowOff>533400</xdr:rowOff>
        </xdr:to>
        <xdr:sp macro="" textlink="">
          <xdr:nvSpPr>
            <xdr:cNvPr id="2232" name="Check Box 184" hidden="1">
              <a:extLst>
                <a:ext uri="{63B3BB69-23CF-44E3-9099-C40C66FF867C}">
                  <a14:compatExt spid="_x0000_s2232"/>
                </a:ext>
                <a:ext uri="{FF2B5EF4-FFF2-40B4-BE49-F238E27FC236}">
                  <a16:creationId xmlns:a16="http://schemas.microsoft.com/office/drawing/2014/main" id="{00000000-0008-0000-0100-0000B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164</xdr:row>
          <xdr:rowOff>198120</xdr:rowOff>
        </xdr:from>
        <xdr:to>
          <xdr:col>4</xdr:col>
          <xdr:colOff>518160</xdr:colOff>
          <xdr:row>164</xdr:row>
          <xdr:rowOff>533400</xdr:rowOff>
        </xdr:to>
        <xdr:sp macro="" textlink="">
          <xdr:nvSpPr>
            <xdr:cNvPr id="2233" name="Check Box 185" hidden="1">
              <a:extLst>
                <a:ext uri="{63B3BB69-23CF-44E3-9099-C40C66FF867C}">
                  <a14:compatExt spid="_x0000_s2233"/>
                </a:ext>
                <a:ext uri="{FF2B5EF4-FFF2-40B4-BE49-F238E27FC236}">
                  <a16:creationId xmlns:a16="http://schemas.microsoft.com/office/drawing/2014/main" id="{00000000-0008-0000-0100-0000B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164</xdr:row>
          <xdr:rowOff>198120</xdr:rowOff>
        </xdr:from>
        <xdr:to>
          <xdr:col>4</xdr:col>
          <xdr:colOff>518160</xdr:colOff>
          <xdr:row>164</xdr:row>
          <xdr:rowOff>533400</xdr:rowOff>
        </xdr:to>
        <xdr:sp macro="" textlink="">
          <xdr:nvSpPr>
            <xdr:cNvPr id="2234" name="Check Box 186" hidden="1">
              <a:extLst>
                <a:ext uri="{63B3BB69-23CF-44E3-9099-C40C66FF867C}">
                  <a14:compatExt spid="_x0000_s2234"/>
                </a:ext>
                <a:ext uri="{FF2B5EF4-FFF2-40B4-BE49-F238E27FC236}">
                  <a16:creationId xmlns:a16="http://schemas.microsoft.com/office/drawing/2014/main" id="{00000000-0008-0000-0100-0000B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165</xdr:row>
          <xdr:rowOff>198120</xdr:rowOff>
        </xdr:from>
        <xdr:to>
          <xdr:col>4</xdr:col>
          <xdr:colOff>518160</xdr:colOff>
          <xdr:row>165</xdr:row>
          <xdr:rowOff>533400</xdr:rowOff>
        </xdr:to>
        <xdr:sp macro="" textlink="">
          <xdr:nvSpPr>
            <xdr:cNvPr id="2235" name="Check Box 187" hidden="1">
              <a:extLst>
                <a:ext uri="{63B3BB69-23CF-44E3-9099-C40C66FF867C}">
                  <a14:compatExt spid="_x0000_s2235"/>
                </a:ext>
                <a:ext uri="{FF2B5EF4-FFF2-40B4-BE49-F238E27FC236}">
                  <a16:creationId xmlns:a16="http://schemas.microsoft.com/office/drawing/2014/main" id="{00000000-0008-0000-0100-0000B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166</xdr:row>
          <xdr:rowOff>198120</xdr:rowOff>
        </xdr:from>
        <xdr:to>
          <xdr:col>4</xdr:col>
          <xdr:colOff>518160</xdr:colOff>
          <xdr:row>166</xdr:row>
          <xdr:rowOff>533400</xdr:rowOff>
        </xdr:to>
        <xdr:sp macro="" textlink="">
          <xdr:nvSpPr>
            <xdr:cNvPr id="2236" name="Check Box 188" hidden="1">
              <a:extLst>
                <a:ext uri="{63B3BB69-23CF-44E3-9099-C40C66FF867C}">
                  <a14:compatExt spid="_x0000_s2236"/>
                </a:ext>
                <a:ext uri="{FF2B5EF4-FFF2-40B4-BE49-F238E27FC236}">
                  <a16:creationId xmlns:a16="http://schemas.microsoft.com/office/drawing/2014/main" id="{00000000-0008-0000-0100-0000B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166</xdr:row>
          <xdr:rowOff>198120</xdr:rowOff>
        </xdr:from>
        <xdr:to>
          <xdr:col>4</xdr:col>
          <xdr:colOff>518160</xdr:colOff>
          <xdr:row>166</xdr:row>
          <xdr:rowOff>533400</xdr:rowOff>
        </xdr:to>
        <xdr:sp macro="" textlink="">
          <xdr:nvSpPr>
            <xdr:cNvPr id="2237" name="Check Box 189" hidden="1">
              <a:extLst>
                <a:ext uri="{63B3BB69-23CF-44E3-9099-C40C66FF867C}">
                  <a14:compatExt spid="_x0000_s2237"/>
                </a:ext>
                <a:ext uri="{FF2B5EF4-FFF2-40B4-BE49-F238E27FC236}">
                  <a16:creationId xmlns:a16="http://schemas.microsoft.com/office/drawing/2014/main" id="{00000000-0008-0000-0100-0000B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167</xdr:row>
          <xdr:rowOff>198120</xdr:rowOff>
        </xdr:from>
        <xdr:to>
          <xdr:col>4</xdr:col>
          <xdr:colOff>518160</xdr:colOff>
          <xdr:row>167</xdr:row>
          <xdr:rowOff>533400</xdr:rowOff>
        </xdr:to>
        <xdr:sp macro="" textlink="">
          <xdr:nvSpPr>
            <xdr:cNvPr id="2238" name="Check Box 190" hidden="1">
              <a:extLst>
                <a:ext uri="{63B3BB69-23CF-44E3-9099-C40C66FF867C}">
                  <a14:compatExt spid="_x0000_s2238"/>
                </a:ext>
                <a:ext uri="{FF2B5EF4-FFF2-40B4-BE49-F238E27FC236}">
                  <a16:creationId xmlns:a16="http://schemas.microsoft.com/office/drawing/2014/main" id="{00000000-0008-0000-0100-0000B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169</xdr:row>
          <xdr:rowOff>198120</xdr:rowOff>
        </xdr:from>
        <xdr:to>
          <xdr:col>4</xdr:col>
          <xdr:colOff>518160</xdr:colOff>
          <xdr:row>169</xdr:row>
          <xdr:rowOff>533400</xdr:rowOff>
        </xdr:to>
        <xdr:sp macro="" textlink="">
          <xdr:nvSpPr>
            <xdr:cNvPr id="2239" name="Check Box 191" hidden="1">
              <a:extLst>
                <a:ext uri="{63B3BB69-23CF-44E3-9099-C40C66FF867C}">
                  <a14:compatExt spid="_x0000_s2239"/>
                </a:ext>
                <a:ext uri="{FF2B5EF4-FFF2-40B4-BE49-F238E27FC236}">
                  <a16:creationId xmlns:a16="http://schemas.microsoft.com/office/drawing/2014/main" id="{00000000-0008-0000-0100-0000B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169</xdr:row>
          <xdr:rowOff>198120</xdr:rowOff>
        </xdr:from>
        <xdr:to>
          <xdr:col>4</xdr:col>
          <xdr:colOff>518160</xdr:colOff>
          <xdr:row>169</xdr:row>
          <xdr:rowOff>533400</xdr:rowOff>
        </xdr:to>
        <xdr:sp macro="" textlink="">
          <xdr:nvSpPr>
            <xdr:cNvPr id="2240" name="Check Box 192" hidden="1">
              <a:extLst>
                <a:ext uri="{63B3BB69-23CF-44E3-9099-C40C66FF867C}">
                  <a14:compatExt spid="_x0000_s2240"/>
                </a:ext>
                <a:ext uri="{FF2B5EF4-FFF2-40B4-BE49-F238E27FC236}">
                  <a16:creationId xmlns:a16="http://schemas.microsoft.com/office/drawing/2014/main" id="{00000000-0008-0000-0100-0000C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170</xdr:row>
          <xdr:rowOff>198120</xdr:rowOff>
        </xdr:from>
        <xdr:to>
          <xdr:col>4</xdr:col>
          <xdr:colOff>518160</xdr:colOff>
          <xdr:row>170</xdr:row>
          <xdr:rowOff>533400</xdr:rowOff>
        </xdr:to>
        <xdr:sp macro="" textlink="">
          <xdr:nvSpPr>
            <xdr:cNvPr id="2241" name="Check Box 193" hidden="1">
              <a:extLst>
                <a:ext uri="{63B3BB69-23CF-44E3-9099-C40C66FF867C}">
                  <a14:compatExt spid="_x0000_s2241"/>
                </a:ext>
                <a:ext uri="{FF2B5EF4-FFF2-40B4-BE49-F238E27FC236}">
                  <a16:creationId xmlns:a16="http://schemas.microsoft.com/office/drawing/2014/main" id="{00000000-0008-0000-0100-0000C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172</xdr:row>
          <xdr:rowOff>198120</xdr:rowOff>
        </xdr:from>
        <xdr:to>
          <xdr:col>4</xdr:col>
          <xdr:colOff>518160</xdr:colOff>
          <xdr:row>172</xdr:row>
          <xdr:rowOff>533400</xdr:rowOff>
        </xdr:to>
        <xdr:sp macro="" textlink="">
          <xdr:nvSpPr>
            <xdr:cNvPr id="2242" name="Check Box 194" hidden="1">
              <a:extLst>
                <a:ext uri="{63B3BB69-23CF-44E3-9099-C40C66FF867C}">
                  <a14:compatExt spid="_x0000_s2242"/>
                </a:ext>
                <a:ext uri="{FF2B5EF4-FFF2-40B4-BE49-F238E27FC236}">
                  <a16:creationId xmlns:a16="http://schemas.microsoft.com/office/drawing/2014/main" id="{00000000-0008-0000-0100-0000C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172</xdr:row>
          <xdr:rowOff>198120</xdr:rowOff>
        </xdr:from>
        <xdr:to>
          <xdr:col>4</xdr:col>
          <xdr:colOff>518160</xdr:colOff>
          <xdr:row>172</xdr:row>
          <xdr:rowOff>533400</xdr:rowOff>
        </xdr:to>
        <xdr:sp macro="" textlink="">
          <xdr:nvSpPr>
            <xdr:cNvPr id="2243" name="Check Box 195" hidden="1">
              <a:extLst>
                <a:ext uri="{63B3BB69-23CF-44E3-9099-C40C66FF867C}">
                  <a14:compatExt spid="_x0000_s2243"/>
                </a:ext>
                <a:ext uri="{FF2B5EF4-FFF2-40B4-BE49-F238E27FC236}">
                  <a16:creationId xmlns:a16="http://schemas.microsoft.com/office/drawing/2014/main" id="{00000000-0008-0000-0100-0000C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173</xdr:row>
          <xdr:rowOff>198120</xdr:rowOff>
        </xdr:from>
        <xdr:to>
          <xdr:col>4</xdr:col>
          <xdr:colOff>518160</xdr:colOff>
          <xdr:row>173</xdr:row>
          <xdr:rowOff>533400</xdr:rowOff>
        </xdr:to>
        <xdr:sp macro="" textlink="">
          <xdr:nvSpPr>
            <xdr:cNvPr id="2244" name="Check Box 196" hidden="1">
              <a:extLst>
                <a:ext uri="{63B3BB69-23CF-44E3-9099-C40C66FF867C}">
                  <a14:compatExt spid="_x0000_s2244"/>
                </a:ext>
                <a:ext uri="{FF2B5EF4-FFF2-40B4-BE49-F238E27FC236}">
                  <a16:creationId xmlns:a16="http://schemas.microsoft.com/office/drawing/2014/main" id="{00000000-0008-0000-0100-0000C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174</xdr:row>
          <xdr:rowOff>198120</xdr:rowOff>
        </xdr:from>
        <xdr:to>
          <xdr:col>4</xdr:col>
          <xdr:colOff>518160</xdr:colOff>
          <xdr:row>174</xdr:row>
          <xdr:rowOff>533400</xdr:rowOff>
        </xdr:to>
        <xdr:sp macro="" textlink="">
          <xdr:nvSpPr>
            <xdr:cNvPr id="2245" name="Check Box 197" hidden="1">
              <a:extLst>
                <a:ext uri="{63B3BB69-23CF-44E3-9099-C40C66FF867C}">
                  <a14:compatExt spid="_x0000_s2245"/>
                </a:ext>
                <a:ext uri="{FF2B5EF4-FFF2-40B4-BE49-F238E27FC236}">
                  <a16:creationId xmlns:a16="http://schemas.microsoft.com/office/drawing/2014/main" id="{00000000-0008-0000-0100-0000C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174</xdr:row>
          <xdr:rowOff>198120</xdr:rowOff>
        </xdr:from>
        <xdr:to>
          <xdr:col>4</xdr:col>
          <xdr:colOff>518160</xdr:colOff>
          <xdr:row>174</xdr:row>
          <xdr:rowOff>533400</xdr:rowOff>
        </xdr:to>
        <xdr:sp macro="" textlink="">
          <xdr:nvSpPr>
            <xdr:cNvPr id="2246" name="Check Box 198" hidden="1">
              <a:extLst>
                <a:ext uri="{63B3BB69-23CF-44E3-9099-C40C66FF867C}">
                  <a14:compatExt spid="_x0000_s2246"/>
                </a:ext>
                <a:ext uri="{FF2B5EF4-FFF2-40B4-BE49-F238E27FC236}">
                  <a16:creationId xmlns:a16="http://schemas.microsoft.com/office/drawing/2014/main" id="{00000000-0008-0000-0100-0000C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176</xdr:row>
          <xdr:rowOff>198120</xdr:rowOff>
        </xdr:from>
        <xdr:to>
          <xdr:col>4</xdr:col>
          <xdr:colOff>518160</xdr:colOff>
          <xdr:row>176</xdr:row>
          <xdr:rowOff>533400</xdr:rowOff>
        </xdr:to>
        <xdr:sp macro="" textlink="">
          <xdr:nvSpPr>
            <xdr:cNvPr id="2247" name="Check Box 199" hidden="1">
              <a:extLst>
                <a:ext uri="{63B3BB69-23CF-44E3-9099-C40C66FF867C}">
                  <a14:compatExt spid="_x0000_s2247"/>
                </a:ext>
                <a:ext uri="{FF2B5EF4-FFF2-40B4-BE49-F238E27FC236}">
                  <a16:creationId xmlns:a16="http://schemas.microsoft.com/office/drawing/2014/main" id="{00000000-0008-0000-0100-0000C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176</xdr:row>
          <xdr:rowOff>198120</xdr:rowOff>
        </xdr:from>
        <xdr:to>
          <xdr:col>4</xdr:col>
          <xdr:colOff>518160</xdr:colOff>
          <xdr:row>176</xdr:row>
          <xdr:rowOff>533400</xdr:rowOff>
        </xdr:to>
        <xdr:sp macro="" textlink="">
          <xdr:nvSpPr>
            <xdr:cNvPr id="2248" name="Check Box 200" hidden="1">
              <a:extLst>
                <a:ext uri="{63B3BB69-23CF-44E3-9099-C40C66FF867C}">
                  <a14:compatExt spid="_x0000_s2248"/>
                </a:ext>
                <a:ext uri="{FF2B5EF4-FFF2-40B4-BE49-F238E27FC236}">
                  <a16:creationId xmlns:a16="http://schemas.microsoft.com/office/drawing/2014/main" id="{00000000-0008-0000-0100-0000C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177</xdr:row>
          <xdr:rowOff>198120</xdr:rowOff>
        </xdr:from>
        <xdr:to>
          <xdr:col>4</xdr:col>
          <xdr:colOff>518160</xdr:colOff>
          <xdr:row>177</xdr:row>
          <xdr:rowOff>533400</xdr:rowOff>
        </xdr:to>
        <xdr:sp macro="" textlink="">
          <xdr:nvSpPr>
            <xdr:cNvPr id="2249" name="Check Box 201" hidden="1">
              <a:extLst>
                <a:ext uri="{63B3BB69-23CF-44E3-9099-C40C66FF867C}">
                  <a14:compatExt spid="_x0000_s2249"/>
                </a:ext>
                <a:ext uri="{FF2B5EF4-FFF2-40B4-BE49-F238E27FC236}">
                  <a16:creationId xmlns:a16="http://schemas.microsoft.com/office/drawing/2014/main" id="{00000000-0008-0000-0100-0000C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178</xdr:row>
          <xdr:rowOff>198120</xdr:rowOff>
        </xdr:from>
        <xdr:to>
          <xdr:col>4</xdr:col>
          <xdr:colOff>518160</xdr:colOff>
          <xdr:row>178</xdr:row>
          <xdr:rowOff>533400</xdr:rowOff>
        </xdr:to>
        <xdr:sp macro="" textlink="">
          <xdr:nvSpPr>
            <xdr:cNvPr id="2250" name="Check Box 202" hidden="1">
              <a:extLst>
                <a:ext uri="{63B3BB69-23CF-44E3-9099-C40C66FF867C}">
                  <a14:compatExt spid="_x0000_s2250"/>
                </a:ext>
                <a:ext uri="{FF2B5EF4-FFF2-40B4-BE49-F238E27FC236}">
                  <a16:creationId xmlns:a16="http://schemas.microsoft.com/office/drawing/2014/main" id="{00000000-0008-0000-0100-0000C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178</xdr:row>
          <xdr:rowOff>198120</xdr:rowOff>
        </xdr:from>
        <xdr:to>
          <xdr:col>4</xdr:col>
          <xdr:colOff>518160</xdr:colOff>
          <xdr:row>178</xdr:row>
          <xdr:rowOff>533400</xdr:rowOff>
        </xdr:to>
        <xdr:sp macro="" textlink="">
          <xdr:nvSpPr>
            <xdr:cNvPr id="2251" name="Check Box 203" hidden="1">
              <a:extLst>
                <a:ext uri="{63B3BB69-23CF-44E3-9099-C40C66FF867C}">
                  <a14:compatExt spid="_x0000_s2251"/>
                </a:ext>
                <a:ext uri="{FF2B5EF4-FFF2-40B4-BE49-F238E27FC236}">
                  <a16:creationId xmlns:a16="http://schemas.microsoft.com/office/drawing/2014/main" id="{00000000-0008-0000-0100-0000C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180</xdr:row>
          <xdr:rowOff>198120</xdr:rowOff>
        </xdr:from>
        <xdr:to>
          <xdr:col>4</xdr:col>
          <xdr:colOff>518160</xdr:colOff>
          <xdr:row>180</xdr:row>
          <xdr:rowOff>533400</xdr:rowOff>
        </xdr:to>
        <xdr:sp macro="" textlink="">
          <xdr:nvSpPr>
            <xdr:cNvPr id="2252" name="Check Box 204" hidden="1">
              <a:extLst>
                <a:ext uri="{63B3BB69-23CF-44E3-9099-C40C66FF867C}">
                  <a14:compatExt spid="_x0000_s2252"/>
                </a:ext>
                <a:ext uri="{FF2B5EF4-FFF2-40B4-BE49-F238E27FC236}">
                  <a16:creationId xmlns:a16="http://schemas.microsoft.com/office/drawing/2014/main" id="{00000000-0008-0000-0100-0000C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180</xdr:row>
          <xdr:rowOff>198120</xdr:rowOff>
        </xdr:from>
        <xdr:to>
          <xdr:col>4</xdr:col>
          <xdr:colOff>518160</xdr:colOff>
          <xdr:row>180</xdr:row>
          <xdr:rowOff>533400</xdr:rowOff>
        </xdr:to>
        <xdr:sp macro="" textlink="">
          <xdr:nvSpPr>
            <xdr:cNvPr id="2253" name="Check Box 205" hidden="1">
              <a:extLst>
                <a:ext uri="{63B3BB69-23CF-44E3-9099-C40C66FF867C}">
                  <a14:compatExt spid="_x0000_s2253"/>
                </a:ext>
                <a:ext uri="{FF2B5EF4-FFF2-40B4-BE49-F238E27FC236}">
                  <a16:creationId xmlns:a16="http://schemas.microsoft.com/office/drawing/2014/main" id="{00000000-0008-0000-0100-0000C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181</xdr:row>
          <xdr:rowOff>198120</xdr:rowOff>
        </xdr:from>
        <xdr:to>
          <xdr:col>4</xdr:col>
          <xdr:colOff>518160</xdr:colOff>
          <xdr:row>181</xdr:row>
          <xdr:rowOff>533400</xdr:rowOff>
        </xdr:to>
        <xdr:sp macro="" textlink="">
          <xdr:nvSpPr>
            <xdr:cNvPr id="2254" name="Check Box 206" hidden="1">
              <a:extLst>
                <a:ext uri="{63B3BB69-23CF-44E3-9099-C40C66FF867C}">
                  <a14:compatExt spid="_x0000_s2254"/>
                </a:ext>
                <a:ext uri="{FF2B5EF4-FFF2-40B4-BE49-F238E27FC236}">
                  <a16:creationId xmlns:a16="http://schemas.microsoft.com/office/drawing/2014/main" id="{00000000-0008-0000-0100-0000C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182</xdr:row>
          <xdr:rowOff>198120</xdr:rowOff>
        </xdr:from>
        <xdr:to>
          <xdr:col>4</xdr:col>
          <xdr:colOff>518160</xdr:colOff>
          <xdr:row>182</xdr:row>
          <xdr:rowOff>533400</xdr:rowOff>
        </xdr:to>
        <xdr:sp macro="" textlink="">
          <xdr:nvSpPr>
            <xdr:cNvPr id="2255" name="Check Box 207" hidden="1">
              <a:extLst>
                <a:ext uri="{63B3BB69-23CF-44E3-9099-C40C66FF867C}">
                  <a14:compatExt spid="_x0000_s2255"/>
                </a:ext>
                <a:ext uri="{FF2B5EF4-FFF2-40B4-BE49-F238E27FC236}">
                  <a16:creationId xmlns:a16="http://schemas.microsoft.com/office/drawing/2014/main" id="{00000000-0008-0000-0100-0000C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182</xdr:row>
          <xdr:rowOff>198120</xdr:rowOff>
        </xdr:from>
        <xdr:to>
          <xdr:col>4</xdr:col>
          <xdr:colOff>518160</xdr:colOff>
          <xdr:row>182</xdr:row>
          <xdr:rowOff>533400</xdr:rowOff>
        </xdr:to>
        <xdr:sp macro="" textlink="">
          <xdr:nvSpPr>
            <xdr:cNvPr id="2256" name="Check Box 208" hidden="1">
              <a:extLst>
                <a:ext uri="{63B3BB69-23CF-44E3-9099-C40C66FF867C}">
                  <a14:compatExt spid="_x0000_s2256"/>
                </a:ext>
                <a:ext uri="{FF2B5EF4-FFF2-40B4-BE49-F238E27FC236}">
                  <a16:creationId xmlns:a16="http://schemas.microsoft.com/office/drawing/2014/main" id="{00000000-0008-0000-0100-0000D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187</xdr:row>
          <xdr:rowOff>198120</xdr:rowOff>
        </xdr:from>
        <xdr:to>
          <xdr:col>4</xdr:col>
          <xdr:colOff>518160</xdr:colOff>
          <xdr:row>187</xdr:row>
          <xdr:rowOff>533400</xdr:rowOff>
        </xdr:to>
        <xdr:sp macro="" textlink="">
          <xdr:nvSpPr>
            <xdr:cNvPr id="2257" name="Check Box 209" hidden="1">
              <a:extLst>
                <a:ext uri="{63B3BB69-23CF-44E3-9099-C40C66FF867C}">
                  <a14:compatExt spid="_x0000_s2257"/>
                </a:ext>
                <a:ext uri="{FF2B5EF4-FFF2-40B4-BE49-F238E27FC236}">
                  <a16:creationId xmlns:a16="http://schemas.microsoft.com/office/drawing/2014/main" id="{00000000-0008-0000-0100-0000D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187</xdr:row>
          <xdr:rowOff>198120</xdr:rowOff>
        </xdr:from>
        <xdr:to>
          <xdr:col>4</xdr:col>
          <xdr:colOff>518160</xdr:colOff>
          <xdr:row>187</xdr:row>
          <xdr:rowOff>533400</xdr:rowOff>
        </xdr:to>
        <xdr:sp macro="" textlink="">
          <xdr:nvSpPr>
            <xdr:cNvPr id="2258" name="Check Box 210" hidden="1">
              <a:extLst>
                <a:ext uri="{63B3BB69-23CF-44E3-9099-C40C66FF867C}">
                  <a14:compatExt spid="_x0000_s2258"/>
                </a:ext>
                <a:ext uri="{FF2B5EF4-FFF2-40B4-BE49-F238E27FC236}">
                  <a16:creationId xmlns:a16="http://schemas.microsoft.com/office/drawing/2014/main" id="{00000000-0008-0000-0100-0000D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188</xdr:row>
          <xdr:rowOff>198120</xdr:rowOff>
        </xdr:from>
        <xdr:to>
          <xdr:col>4</xdr:col>
          <xdr:colOff>518160</xdr:colOff>
          <xdr:row>188</xdr:row>
          <xdr:rowOff>533400</xdr:rowOff>
        </xdr:to>
        <xdr:sp macro="" textlink="">
          <xdr:nvSpPr>
            <xdr:cNvPr id="2259" name="Check Box 211" hidden="1">
              <a:extLst>
                <a:ext uri="{63B3BB69-23CF-44E3-9099-C40C66FF867C}">
                  <a14:compatExt spid="_x0000_s2259"/>
                </a:ext>
                <a:ext uri="{FF2B5EF4-FFF2-40B4-BE49-F238E27FC236}">
                  <a16:creationId xmlns:a16="http://schemas.microsoft.com/office/drawing/2014/main" id="{00000000-0008-0000-0100-0000D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189</xdr:row>
          <xdr:rowOff>198120</xdr:rowOff>
        </xdr:from>
        <xdr:to>
          <xdr:col>4</xdr:col>
          <xdr:colOff>518160</xdr:colOff>
          <xdr:row>189</xdr:row>
          <xdr:rowOff>533400</xdr:rowOff>
        </xdr:to>
        <xdr:sp macro="" textlink="">
          <xdr:nvSpPr>
            <xdr:cNvPr id="2260" name="Check Box 212" hidden="1">
              <a:extLst>
                <a:ext uri="{63B3BB69-23CF-44E3-9099-C40C66FF867C}">
                  <a14:compatExt spid="_x0000_s2260"/>
                </a:ext>
                <a:ext uri="{FF2B5EF4-FFF2-40B4-BE49-F238E27FC236}">
                  <a16:creationId xmlns:a16="http://schemas.microsoft.com/office/drawing/2014/main" id="{00000000-0008-0000-0100-0000D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189</xdr:row>
          <xdr:rowOff>198120</xdr:rowOff>
        </xdr:from>
        <xdr:to>
          <xdr:col>4</xdr:col>
          <xdr:colOff>518160</xdr:colOff>
          <xdr:row>189</xdr:row>
          <xdr:rowOff>533400</xdr:rowOff>
        </xdr:to>
        <xdr:sp macro="" textlink="">
          <xdr:nvSpPr>
            <xdr:cNvPr id="2261" name="Check Box 213" hidden="1">
              <a:extLst>
                <a:ext uri="{63B3BB69-23CF-44E3-9099-C40C66FF867C}">
                  <a14:compatExt spid="_x0000_s2261"/>
                </a:ext>
                <a:ext uri="{FF2B5EF4-FFF2-40B4-BE49-F238E27FC236}">
                  <a16:creationId xmlns:a16="http://schemas.microsoft.com/office/drawing/2014/main" id="{00000000-0008-0000-0100-0000D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190</xdr:row>
          <xdr:rowOff>198120</xdr:rowOff>
        </xdr:from>
        <xdr:to>
          <xdr:col>4</xdr:col>
          <xdr:colOff>518160</xdr:colOff>
          <xdr:row>190</xdr:row>
          <xdr:rowOff>533400</xdr:rowOff>
        </xdr:to>
        <xdr:sp macro="" textlink="">
          <xdr:nvSpPr>
            <xdr:cNvPr id="2262" name="Check Box 214" hidden="1">
              <a:extLst>
                <a:ext uri="{63B3BB69-23CF-44E3-9099-C40C66FF867C}">
                  <a14:compatExt spid="_x0000_s2262"/>
                </a:ext>
                <a:ext uri="{FF2B5EF4-FFF2-40B4-BE49-F238E27FC236}">
                  <a16:creationId xmlns:a16="http://schemas.microsoft.com/office/drawing/2014/main" id="{00000000-0008-0000-0100-0000D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192</xdr:row>
          <xdr:rowOff>198120</xdr:rowOff>
        </xdr:from>
        <xdr:to>
          <xdr:col>4</xdr:col>
          <xdr:colOff>518160</xdr:colOff>
          <xdr:row>192</xdr:row>
          <xdr:rowOff>533400</xdr:rowOff>
        </xdr:to>
        <xdr:sp macro="" textlink="">
          <xdr:nvSpPr>
            <xdr:cNvPr id="2263" name="Check Box 215" hidden="1">
              <a:extLst>
                <a:ext uri="{63B3BB69-23CF-44E3-9099-C40C66FF867C}">
                  <a14:compatExt spid="_x0000_s2263"/>
                </a:ext>
                <a:ext uri="{FF2B5EF4-FFF2-40B4-BE49-F238E27FC236}">
                  <a16:creationId xmlns:a16="http://schemas.microsoft.com/office/drawing/2014/main" id="{00000000-0008-0000-0100-0000D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192</xdr:row>
          <xdr:rowOff>198120</xdr:rowOff>
        </xdr:from>
        <xdr:to>
          <xdr:col>4</xdr:col>
          <xdr:colOff>518160</xdr:colOff>
          <xdr:row>192</xdr:row>
          <xdr:rowOff>533400</xdr:rowOff>
        </xdr:to>
        <xdr:sp macro="" textlink="">
          <xdr:nvSpPr>
            <xdr:cNvPr id="2264" name="Check Box 216" hidden="1">
              <a:extLst>
                <a:ext uri="{63B3BB69-23CF-44E3-9099-C40C66FF867C}">
                  <a14:compatExt spid="_x0000_s2264"/>
                </a:ext>
                <a:ext uri="{FF2B5EF4-FFF2-40B4-BE49-F238E27FC236}">
                  <a16:creationId xmlns:a16="http://schemas.microsoft.com/office/drawing/2014/main" id="{00000000-0008-0000-0100-0000D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193</xdr:row>
          <xdr:rowOff>198120</xdr:rowOff>
        </xdr:from>
        <xdr:to>
          <xdr:col>4</xdr:col>
          <xdr:colOff>518160</xdr:colOff>
          <xdr:row>193</xdr:row>
          <xdr:rowOff>533400</xdr:rowOff>
        </xdr:to>
        <xdr:sp macro="" textlink="">
          <xdr:nvSpPr>
            <xdr:cNvPr id="2265" name="Check Box 217" hidden="1">
              <a:extLst>
                <a:ext uri="{63B3BB69-23CF-44E3-9099-C40C66FF867C}">
                  <a14:compatExt spid="_x0000_s2265"/>
                </a:ext>
                <a:ext uri="{FF2B5EF4-FFF2-40B4-BE49-F238E27FC236}">
                  <a16:creationId xmlns:a16="http://schemas.microsoft.com/office/drawing/2014/main" id="{00000000-0008-0000-0100-0000D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194</xdr:row>
          <xdr:rowOff>198120</xdr:rowOff>
        </xdr:from>
        <xdr:to>
          <xdr:col>4</xdr:col>
          <xdr:colOff>518160</xdr:colOff>
          <xdr:row>194</xdr:row>
          <xdr:rowOff>533400</xdr:rowOff>
        </xdr:to>
        <xdr:sp macro="" textlink="">
          <xdr:nvSpPr>
            <xdr:cNvPr id="2266" name="Check Box 218" hidden="1">
              <a:extLst>
                <a:ext uri="{63B3BB69-23CF-44E3-9099-C40C66FF867C}">
                  <a14:compatExt spid="_x0000_s2266"/>
                </a:ext>
                <a:ext uri="{FF2B5EF4-FFF2-40B4-BE49-F238E27FC236}">
                  <a16:creationId xmlns:a16="http://schemas.microsoft.com/office/drawing/2014/main" id="{00000000-0008-0000-0100-0000D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194</xdr:row>
          <xdr:rowOff>198120</xdr:rowOff>
        </xdr:from>
        <xdr:to>
          <xdr:col>4</xdr:col>
          <xdr:colOff>518160</xdr:colOff>
          <xdr:row>194</xdr:row>
          <xdr:rowOff>533400</xdr:rowOff>
        </xdr:to>
        <xdr:sp macro="" textlink="">
          <xdr:nvSpPr>
            <xdr:cNvPr id="2267" name="Check Box 219" hidden="1">
              <a:extLst>
                <a:ext uri="{63B3BB69-23CF-44E3-9099-C40C66FF867C}">
                  <a14:compatExt spid="_x0000_s2267"/>
                </a:ext>
                <a:ext uri="{FF2B5EF4-FFF2-40B4-BE49-F238E27FC236}">
                  <a16:creationId xmlns:a16="http://schemas.microsoft.com/office/drawing/2014/main" id="{00000000-0008-0000-0100-0000D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195</xdr:row>
          <xdr:rowOff>198120</xdr:rowOff>
        </xdr:from>
        <xdr:to>
          <xdr:col>4</xdr:col>
          <xdr:colOff>518160</xdr:colOff>
          <xdr:row>195</xdr:row>
          <xdr:rowOff>533400</xdr:rowOff>
        </xdr:to>
        <xdr:sp macro="" textlink="">
          <xdr:nvSpPr>
            <xdr:cNvPr id="2268" name="Check Box 220" hidden="1">
              <a:extLst>
                <a:ext uri="{63B3BB69-23CF-44E3-9099-C40C66FF867C}">
                  <a14:compatExt spid="_x0000_s2268"/>
                </a:ext>
                <a:ext uri="{FF2B5EF4-FFF2-40B4-BE49-F238E27FC236}">
                  <a16:creationId xmlns:a16="http://schemas.microsoft.com/office/drawing/2014/main" id="{00000000-0008-0000-0100-0000D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196</xdr:row>
          <xdr:rowOff>198120</xdr:rowOff>
        </xdr:from>
        <xdr:to>
          <xdr:col>4</xdr:col>
          <xdr:colOff>518160</xdr:colOff>
          <xdr:row>196</xdr:row>
          <xdr:rowOff>533400</xdr:rowOff>
        </xdr:to>
        <xdr:sp macro="" textlink="">
          <xdr:nvSpPr>
            <xdr:cNvPr id="2269" name="Check Box 221" hidden="1">
              <a:extLst>
                <a:ext uri="{63B3BB69-23CF-44E3-9099-C40C66FF867C}">
                  <a14:compatExt spid="_x0000_s2269"/>
                </a:ext>
                <a:ext uri="{FF2B5EF4-FFF2-40B4-BE49-F238E27FC236}">
                  <a16:creationId xmlns:a16="http://schemas.microsoft.com/office/drawing/2014/main" id="{00000000-0008-0000-0100-0000D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196</xdr:row>
          <xdr:rowOff>198120</xdr:rowOff>
        </xdr:from>
        <xdr:to>
          <xdr:col>4</xdr:col>
          <xdr:colOff>518160</xdr:colOff>
          <xdr:row>196</xdr:row>
          <xdr:rowOff>533400</xdr:rowOff>
        </xdr:to>
        <xdr:sp macro="" textlink="">
          <xdr:nvSpPr>
            <xdr:cNvPr id="2270" name="Check Box 222" hidden="1">
              <a:extLst>
                <a:ext uri="{63B3BB69-23CF-44E3-9099-C40C66FF867C}">
                  <a14:compatExt spid="_x0000_s2270"/>
                </a:ext>
                <a:ext uri="{FF2B5EF4-FFF2-40B4-BE49-F238E27FC236}">
                  <a16:creationId xmlns:a16="http://schemas.microsoft.com/office/drawing/2014/main" id="{00000000-0008-0000-0100-0000D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197</xdr:row>
          <xdr:rowOff>198120</xdr:rowOff>
        </xdr:from>
        <xdr:to>
          <xdr:col>4</xdr:col>
          <xdr:colOff>518160</xdr:colOff>
          <xdr:row>197</xdr:row>
          <xdr:rowOff>533400</xdr:rowOff>
        </xdr:to>
        <xdr:sp macro="" textlink="">
          <xdr:nvSpPr>
            <xdr:cNvPr id="2271" name="Check Box 223" hidden="1">
              <a:extLst>
                <a:ext uri="{63B3BB69-23CF-44E3-9099-C40C66FF867C}">
                  <a14:compatExt spid="_x0000_s2271"/>
                </a:ext>
                <a:ext uri="{FF2B5EF4-FFF2-40B4-BE49-F238E27FC236}">
                  <a16:creationId xmlns:a16="http://schemas.microsoft.com/office/drawing/2014/main" id="{00000000-0008-0000-0100-0000D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198</xdr:row>
          <xdr:rowOff>198120</xdr:rowOff>
        </xdr:from>
        <xdr:to>
          <xdr:col>4</xdr:col>
          <xdr:colOff>518160</xdr:colOff>
          <xdr:row>198</xdr:row>
          <xdr:rowOff>533400</xdr:rowOff>
        </xdr:to>
        <xdr:sp macro="" textlink="">
          <xdr:nvSpPr>
            <xdr:cNvPr id="2272" name="Check Box 224" hidden="1">
              <a:extLst>
                <a:ext uri="{63B3BB69-23CF-44E3-9099-C40C66FF867C}">
                  <a14:compatExt spid="_x0000_s2272"/>
                </a:ext>
                <a:ext uri="{FF2B5EF4-FFF2-40B4-BE49-F238E27FC236}">
                  <a16:creationId xmlns:a16="http://schemas.microsoft.com/office/drawing/2014/main" id="{00000000-0008-0000-0100-0000E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198</xdr:row>
          <xdr:rowOff>198120</xdr:rowOff>
        </xdr:from>
        <xdr:to>
          <xdr:col>4</xdr:col>
          <xdr:colOff>518160</xdr:colOff>
          <xdr:row>198</xdr:row>
          <xdr:rowOff>533400</xdr:rowOff>
        </xdr:to>
        <xdr:sp macro="" textlink="">
          <xdr:nvSpPr>
            <xdr:cNvPr id="2273" name="Check Box 225" hidden="1">
              <a:extLst>
                <a:ext uri="{63B3BB69-23CF-44E3-9099-C40C66FF867C}">
                  <a14:compatExt spid="_x0000_s2273"/>
                </a:ext>
                <a:ext uri="{FF2B5EF4-FFF2-40B4-BE49-F238E27FC236}">
                  <a16:creationId xmlns:a16="http://schemas.microsoft.com/office/drawing/2014/main" id="{00000000-0008-0000-0100-0000E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199</xdr:row>
          <xdr:rowOff>198120</xdr:rowOff>
        </xdr:from>
        <xdr:to>
          <xdr:col>4</xdr:col>
          <xdr:colOff>518160</xdr:colOff>
          <xdr:row>199</xdr:row>
          <xdr:rowOff>533400</xdr:rowOff>
        </xdr:to>
        <xdr:sp macro="" textlink="">
          <xdr:nvSpPr>
            <xdr:cNvPr id="2274" name="Check Box 226" hidden="1">
              <a:extLst>
                <a:ext uri="{63B3BB69-23CF-44E3-9099-C40C66FF867C}">
                  <a14:compatExt spid="_x0000_s2274"/>
                </a:ext>
                <a:ext uri="{FF2B5EF4-FFF2-40B4-BE49-F238E27FC236}">
                  <a16:creationId xmlns:a16="http://schemas.microsoft.com/office/drawing/2014/main" id="{00000000-0008-0000-0100-0000E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201</xdr:row>
          <xdr:rowOff>198120</xdr:rowOff>
        </xdr:from>
        <xdr:to>
          <xdr:col>4</xdr:col>
          <xdr:colOff>518160</xdr:colOff>
          <xdr:row>201</xdr:row>
          <xdr:rowOff>533400</xdr:rowOff>
        </xdr:to>
        <xdr:sp macro="" textlink="">
          <xdr:nvSpPr>
            <xdr:cNvPr id="2275" name="Check Box 227" hidden="1">
              <a:extLst>
                <a:ext uri="{63B3BB69-23CF-44E3-9099-C40C66FF867C}">
                  <a14:compatExt spid="_x0000_s2275"/>
                </a:ext>
                <a:ext uri="{FF2B5EF4-FFF2-40B4-BE49-F238E27FC236}">
                  <a16:creationId xmlns:a16="http://schemas.microsoft.com/office/drawing/2014/main" id="{00000000-0008-0000-0100-0000E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201</xdr:row>
          <xdr:rowOff>198120</xdr:rowOff>
        </xdr:from>
        <xdr:to>
          <xdr:col>4</xdr:col>
          <xdr:colOff>518160</xdr:colOff>
          <xdr:row>201</xdr:row>
          <xdr:rowOff>533400</xdr:rowOff>
        </xdr:to>
        <xdr:sp macro="" textlink="">
          <xdr:nvSpPr>
            <xdr:cNvPr id="2276" name="Check Box 228" hidden="1">
              <a:extLst>
                <a:ext uri="{63B3BB69-23CF-44E3-9099-C40C66FF867C}">
                  <a14:compatExt spid="_x0000_s2276"/>
                </a:ext>
                <a:ext uri="{FF2B5EF4-FFF2-40B4-BE49-F238E27FC236}">
                  <a16:creationId xmlns:a16="http://schemas.microsoft.com/office/drawing/2014/main" id="{00000000-0008-0000-0100-0000E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202</xdr:row>
          <xdr:rowOff>198120</xdr:rowOff>
        </xdr:from>
        <xdr:to>
          <xdr:col>4</xdr:col>
          <xdr:colOff>518160</xdr:colOff>
          <xdr:row>202</xdr:row>
          <xdr:rowOff>533400</xdr:rowOff>
        </xdr:to>
        <xdr:sp macro="" textlink="">
          <xdr:nvSpPr>
            <xdr:cNvPr id="2277" name="Check Box 229" hidden="1">
              <a:extLst>
                <a:ext uri="{63B3BB69-23CF-44E3-9099-C40C66FF867C}">
                  <a14:compatExt spid="_x0000_s2277"/>
                </a:ext>
                <a:ext uri="{FF2B5EF4-FFF2-40B4-BE49-F238E27FC236}">
                  <a16:creationId xmlns:a16="http://schemas.microsoft.com/office/drawing/2014/main" id="{00000000-0008-0000-0100-0000E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203</xdr:row>
          <xdr:rowOff>198120</xdr:rowOff>
        </xdr:from>
        <xdr:to>
          <xdr:col>4</xdr:col>
          <xdr:colOff>518160</xdr:colOff>
          <xdr:row>203</xdr:row>
          <xdr:rowOff>533400</xdr:rowOff>
        </xdr:to>
        <xdr:sp macro="" textlink="">
          <xdr:nvSpPr>
            <xdr:cNvPr id="2278" name="Check Box 230" hidden="1">
              <a:extLst>
                <a:ext uri="{63B3BB69-23CF-44E3-9099-C40C66FF867C}">
                  <a14:compatExt spid="_x0000_s2278"/>
                </a:ext>
                <a:ext uri="{FF2B5EF4-FFF2-40B4-BE49-F238E27FC236}">
                  <a16:creationId xmlns:a16="http://schemas.microsoft.com/office/drawing/2014/main" id="{00000000-0008-0000-0100-0000E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203</xdr:row>
          <xdr:rowOff>198120</xdr:rowOff>
        </xdr:from>
        <xdr:to>
          <xdr:col>4</xdr:col>
          <xdr:colOff>518160</xdr:colOff>
          <xdr:row>203</xdr:row>
          <xdr:rowOff>533400</xdr:rowOff>
        </xdr:to>
        <xdr:sp macro="" textlink="">
          <xdr:nvSpPr>
            <xdr:cNvPr id="2279" name="Check Box 231" hidden="1">
              <a:extLst>
                <a:ext uri="{63B3BB69-23CF-44E3-9099-C40C66FF867C}">
                  <a14:compatExt spid="_x0000_s2279"/>
                </a:ext>
                <a:ext uri="{FF2B5EF4-FFF2-40B4-BE49-F238E27FC236}">
                  <a16:creationId xmlns:a16="http://schemas.microsoft.com/office/drawing/2014/main" id="{00000000-0008-0000-0100-0000E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204</xdr:row>
          <xdr:rowOff>198120</xdr:rowOff>
        </xdr:from>
        <xdr:to>
          <xdr:col>4</xdr:col>
          <xdr:colOff>518160</xdr:colOff>
          <xdr:row>204</xdr:row>
          <xdr:rowOff>533400</xdr:rowOff>
        </xdr:to>
        <xdr:sp macro="" textlink="">
          <xdr:nvSpPr>
            <xdr:cNvPr id="2280" name="Check Box 232" hidden="1">
              <a:extLst>
                <a:ext uri="{63B3BB69-23CF-44E3-9099-C40C66FF867C}">
                  <a14:compatExt spid="_x0000_s2280"/>
                </a:ext>
                <a:ext uri="{FF2B5EF4-FFF2-40B4-BE49-F238E27FC236}">
                  <a16:creationId xmlns:a16="http://schemas.microsoft.com/office/drawing/2014/main" id="{00000000-0008-0000-0100-0000E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205</xdr:row>
          <xdr:rowOff>198120</xdr:rowOff>
        </xdr:from>
        <xdr:to>
          <xdr:col>4</xdr:col>
          <xdr:colOff>518160</xdr:colOff>
          <xdr:row>205</xdr:row>
          <xdr:rowOff>533400</xdr:rowOff>
        </xdr:to>
        <xdr:sp macro="" textlink="">
          <xdr:nvSpPr>
            <xdr:cNvPr id="2281" name="Check Box 233" hidden="1">
              <a:extLst>
                <a:ext uri="{63B3BB69-23CF-44E3-9099-C40C66FF867C}">
                  <a14:compatExt spid="_x0000_s2281"/>
                </a:ext>
                <a:ext uri="{FF2B5EF4-FFF2-40B4-BE49-F238E27FC236}">
                  <a16:creationId xmlns:a16="http://schemas.microsoft.com/office/drawing/2014/main" id="{00000000-0008-0000-0100-0000E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205</xdr:row>
          <xdr:rowOff>198120</xdr:rowOff>
        </xdr:from>
        <xdr:to>
          <xdr:col>4</xdr:col>
          <xdr:colOff>518160</xdr:colOff>
          <xdr:row>205</xdr:row>
          <xdr:rowOff>533400</xdr:rowOff>
        </xdr:to>
        <xdr:sp macro="" textlink="">
          <xdr:nvSpPr>
            <xdr:cNvPr id="2282" name="Check Box 234" hidden="1">
              <a:extLst>
                <a:ext uri="{63B3BB69-23CF-44E3-9099-C40C66FF867C}">
                  <a14:compatExt spid="_x0000_s2282"/>
                </a:ext>
                <a:ext uri="{FF2B5EF4-FFF2-40B4-BE49-F238E27FC236}">
                  <a16:creationId xmlns:a16="http://schemas.microsoft.com/office/drawing/2014/main" id="{00000000-0008-0000-0100-0000E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206</xdr:row>
          <xdr:rowOff>198120</xdr:rowOff>
        </xdr:from>
        <xdr:to>
          <xdr:col>4</xdr:col>
          <xdr:colOff>518160</xdr:colOff>
          <xdr:row>206</xdr:row>
          <xdr:rowOff>533400</xdr:rowOff>
        </xdr:to>
        <xdr:sp macro="" textlink="">
          <xdr:nvSpPr>
            <xdr:cNvPr id="2283" name="Check Box 235" hidden="1">
              <a:extLst>
                <a:ext uri="{63B3BB69-23CF-44E3-9099-C40C66FF867C}">
                  <a14:compatExt spid="_x0000_s2283"/>
                </a:ext>
                <a:ext uri="{FF2B5EF4-FFF2-40B4-BE49-F238E27FC236}">
                  <a16:creationId xmlns:a16="http://schemas.microsoft.com/office/drawing/2014/main" id="{00000000-0008-0000-0100-0000E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208</xdr:row>
          <xdr:rowOff>198120</xdr:rowOff>
        </xdr:from>
        <xdr:to>
          <xdr:col>4</xdr:col>
          <xdr:colOff>518160</xdr:colOff>
          <xdr:row>208</xdr:row>
          <xdr:rowOff>533400</xdr:rowOff>
        </xdr:to>
        <xdr:sp macro="" textlink="">
          <xdr:nvSpPr>
            <xdr:cNvPr id="2284" name="Check Box 236" hidden="1">
              <a:extLst>
                <a:ext uri="{63B3BB69-23CF-44E3-9099-C40C66FF867C}">
                  <a14:compatExt spid="_x0000_s2284"/>
                </a:ext>
                <a:ext uri="{FF2B5EF4-FFF2-40B4-BE49-F238E27FC236}">
                  <a16:creationId xmlns:a16="http://schemas.microsoft.com/office/drawing/2014/main" id="{00000000-0008-0000-0100-0000E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208</xdr:row>
          <xdr:rowOff>198120</xdr:rowOff>
        </xdr:from>
        <xdr:to>
          <xdr:col>4</xdr:col>
          <xdr:colOff>518160</xdr:colOff>
          <xdr:row>208</xdr:row>
          <xdr:rowOff>533400</xdr:rowOff>
        </xdr:to>
        <xdr:sp macro="" textlink="">
          <xdr:nvSpPr>
            <xdr:cNvPr id="2285" name="Check Box 237" hidden="1">
              <a:extLst>
                <a:ext uri="{63B3BB69-23CF-44E3-9099-C40C66FF867C}">
                  <a14:compatExt spid="_x0000_s2285"/>
                </a:ext>
                <a:ext uri="{FF2B5EF4-FFF2-40B4-BE49-F238E27FC236}">
                  <a16:creationId xmlns:a16="http://schemas.microsoft.com/office/drawing/2014/main" id="{00000000-0008-0000-0100-0000E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209</xdr:row>
          <xdr:rowOff>198120</xdr:rowOff>
        </xdr:from>
        <xdr:to>
          <xdr:col>4</xdr:col>
          <xdr:colOff>518160</xdr:colOff>
          <xdr:row>209</xdr:row>
          <xdr:rowOff>533400</xdr:rowOff>
        </xdr:to>
        <xdr:sp macro="" textlink="">
          <xdr:nvSpPr>
            <xdr:cNvPr id="2286" name="Check Box 238" hidden="1">
              <a:extLst>
                <a:ext uri="{63B3BB69-23CF-44E3-9099-C40C66FF867C}">
                  <a14:compatExt spid="_x0000_s2286"/>
                </a:ext>
                <a:ext uri="{FF2B5EF4-FFF2-40B4-BE49-F238E27FC236}">
                  <a16:creationId xmlns:a16="http://schemas.microsoft.com/office/drawing/2014/main" id="{00000000-0008-0000-0100-0000E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210</xdr:row>
          <xdr:rowOff>198120</xdr:rowOff>
        </xdr:from>
        <xdr:to>
          <xdr:col>4</xdr:col>
          <xdr:colOff>518160</xdr:colOff>
          <xdr:row>210</xdr:row>
          <xdr:rowOff>533400</xdr:rowOff>
        </xdr:to>
        <xdr:sp macro="" textlink="">
          <xdr:nvSpPr>
            <xdr:cNvPr id="2287" name="Check Box 239" hidden="1">
              <a:extLst>
                <a:ext uri="{63B3BB69-23CF-44E3-9099-C40C66FF867C}">
                  <a14:compatExt spid="_x0000_s2287"/>
                </a:ext>
                <a:ext uri="{FF2B5EF4-FFF2-40B4-BE49-F238E27FC236}">
                  <a16:creationId xmlns:a16="http://schemas.microsoft.com/office/drawing/2014/main" id="{00000000-0008-0000-0100-0000E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210</xdr:row>
          <xdr:rowOff>198120</xdr:rowOff>
        </xdr:from>
        <xdr:to>
          <xdr:col>4</xdr:col>
          <xdr:colOff>518160</xdr:colOff>
          <xdr:row>210</xdr:row>
          <xdr:rowOff>533400</xdr:rowOff>
        </xdr:to>
        <xdr:sp macro="" textlink="">
          <xdr:nvSpPr>
            <xdr:cNvPr id="2288" name="Check Box 240" hidden="1">
              <a:extLst>
                <a:ext uri="{63B3BB69-23CF-44E3-9099-C40C66FF867C}">
                  <a14:compatExt spid="_x0000_s2288"/>
                </a:ext>
                <a:ext uri="{FF2B5EF4-FFF2-40B4-BE49-F238E27FC236}">
                  <a16:creationId xmlns:a16="http://schemas.microsoft.com/office/drawing/2014/main" id="{00000000-0008-0000-0100-0000F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211</xdr:row>
          <xdr:rowOff>198120</xdr:rowOff>
        </xdr:from>
        <xdr:to>
          <xdr:col>4</xdr:col>
          <xdr:colOff>518160</xdr:colOff>
          <xdr:row>211</xdr:row>
          <xdr:rowOff>533400</xdr:rowOff>
        </xdr:to>
        <xdr:sp macro="" textlink="">
          <xdr:nvSpPr>
            <xdr:cNvPr id="2289" name="Check Box 241" hidden="1">
              <a:extLst>
                <a:ext uri="{63B3BB69-23CF-44E3-9099-C40C66FF867C}">
                  <a14:compatExt spid="_x0000_s2289"/>
                </a:ext>
                <a:ext uri="{FF2B5EF4-FFF2-40B4-BE49-F238E27FC236}">
                  <a16:creationId xmlns:a16="http://schemas.microsoft.com/office/drawing/2014/main" id="{00000000-0008-0000-0100-0000F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212</xdr:row>
          <xdr:rowOff>198120</xdr:rowOff>
        </xdr:from>
        <xdr:to>
          <xdr:col>4</xdr:col>
          <xdr:colOff>518160</xdr:colOff>
          <xdr:row>212</xdr:row>
          <xdr:rowOff>533400</xdr:rowOff>
        </xdr:to>
        <xdr:sp macro="" textlink="">
          <xdr:nvSpPr>
            <xdr:cNvPr id="2290" name="Check Box 242" hidden="1">
              <a:extLst>
                <a:ext uri="{63B3BB69-23CF-44E3-9099-C40C66FF867C}">
                  <a14:compatExt spid="_x0000_s2290"/>
                </a:ext>
                <a:ext uri="{FF2B5EF4-FFF2-40B4-BE49-F238E27FC236}">
                  <a16:creationId xmlns:a16="http://schemas.microsoft.com/office/drawing/2014/main" id="{00000000-0008-0000-0100-0000F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212</xdr:row>
          <xdr:rowOff>198120</xdr:rowOff>
        </xdr:from>
        <xdr:to>
          <xdr:col>4</xdr:col>
          <xdr:colOff>518160</xdr:colOff>
          <xdr:row>212</xdr:row>
          <xdr:rowOff>533400</xdr:rowOff>
        </xdr:to>
        <xdr:sp macro="" textlink="">
          <xdr:nvSpPr>
            <xdr:cNvPr id="2291" name="Check Box 243" hidden="1">
              <a:extLst>
                <a:ext uri="{63B3BB69-23CF-44E3-9099-C40C66FF867C}">
                  <a14:compatExt spid="_x0000_s2291"/>
                </a:ext>
                <a:ext uri="{FF2B5EF4-FFF2-40B4-BE49-F238E27FC236}">
                  <a16:creationId xmlns:a16="http://schemas.microsoft.com/office/drawing/2014/main" id="{00000000-0008-0000-0100-0000F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215</xdr:row>
          <xdr:rowOff>198120</xdr:rowOff>
        </xdr:from>
        <xdr:to>
          <xdr:col>4</xdr:col>
          <xdr:colOff>518160</xdr:colOff>
          <xdr:row>215</xdr:row>
          <xdr:rowOff>533400</xdr:rowOff>
        </xdr:to>
        <xdr:sp macro="" textlink="">
          <xdr:nvSpPr>
            <xdr:cNvPr id="2292" name="Check Box 244" hidden="1">
              <a:extLst>
                <a:ext uri="{63B3BB69-23CF-44E3-9099-C40C66FF867C}">
                  <a14:compatExt spid="_x0000_s2292"/>
                </a:ext>
                <a:ext uri="{FF2B5EF4-FFF2-40B4-BE49-F238E27FC236}">
                  <a16:creationId xmlns:a16="http://schemas.microsoft.com/office/drawing/2014/main" id="{00000000-0008-0000-0100-0000F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215</xdr:row>
          <xdr:rowOff>198120</xdr:rowOff>
        </xdr:from>
        <xdr:to>
          <xdr:col>4</xdr:col>
          <xdr:colOff>518160</xdr:colOff>
          <xdr:row>215</xdr:row>
          <xdr:rowOff>533400</xdr:rowOff>
        </xdr:to>
        <xdr:sp macro="" textlink="">
          <xdr:nvSpPr>
            <xdr:cNvPr id="2293" name="Check Box 245" hidden="1">
              <a:extLst>
                <a:ext uri="{63B3BB69-23CF-44E3-9099-C40C66FF867C}">
                  <a14:compatExt spid="_x0000_s2293"/>
                </a:ext>
                <a:ext uri="{FF2B5EF4-FFF2-40B4-BE49-F238E27FC236}">
                  <a16:creationId xmlns:a16="http://schemas.microsoft.com/office/drawing/2014/main" id="{00000000-0008-0000-0100-0000F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216</xdr:row>
          <xdr:rowOff>198120</xdr:rowOff>
        </xdr:from>
        <xdr:to>
          <xdr:col>4</xdr:col>
          <xdr:colOff>518160</xdr:colOff>
          <xdr:row>216</xdr:row>
          <xdr:rowOff>533400</xdr:rowOff>
        </xdr:to>
        <xdr:sp macro="" textlink="">
          <xdr:nvSpPr>
            <xdr:cNvPr id="2294" name="Check Box 246" hidden="1">
              <a:extLst>
                <a:ext uri="{63B3BB69-23CF-44E3-9099-C40C66FF867C}">
                  <a14:compatExt spid="_x0000_s2294"/>
                </a:ext>
                <a:ext uri="{FF2B5EF4-FFF2-40B4-BE49-F238E27FC236}">
                  <a16:creationId xmlns:a16="http://schemas.microsoft.com/office/drawing/2014/main" id="{00000000-0008-0000-0100-0000F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217</xdr:row>
          <xdr:rowOff>198120</xdr:rowOff>
        </xdr:from>
        <xdr:to>
          <xdr:col>4</xdr:col>
          <xdr:colOff>518160</xdr:colOff>
          <xdr:row>217</xdr:row>
          <xdr:rowOff>533400</xdr:rowOff>
        </xdr:to>
        <xdr:sp macro="" textlink="">
          <xdr:nvSpPr>
            <xdr:cNvPr id="2295" name="Check Box 247" hidden="1">
              <a:extLst>
                <a:ext uri="{63B3BB69-23CF-44E3-9099-C40C66FF867C}">
                  <a14:compatExt spid="_x0000_s2295"/>
                </a:ext>
                <a:ext uri="{FF2B5EF4-FFF2-40B4-BE49-F238E27FC236}">
                  <a16:creationId xmlns:a16="http://schemas.microsoft.com/office/drawing/2014/main" id="{00000000-0008-0000-0100-0000F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217</xdr:row>
          <xdr:rowOff>198120</xdr:rowOff>
        </xdr:from>
        <xdr:to>
          <xdr:col>4</xdr:col>
          <xdr:colOff>518160</xdr:colOff>
          <xdr:row>217</xdr:row>
          <xdr:rowOff>533400</xdr:rowOff>
        </xdr:to>
        <xdr:sp macro="" textlink="">
          <xdr:nvSpPr>
            <xdr:cNvPr id="2296" name="Check Box 248" hidden="1">
              <a:extLst>
                <a:ext uri="{63B3BB69-23CF-44E3-9099-C40C66FF867C}">
                  <a14:compatExt spid="_x0000_s2296"/>
                </a:ext>
                <a:ext uri="{FF2B5EF4-FFF2-40B4-BE49-F238E27FC236}">
                  <a16:creationId xmlns:a16="http://schemas.microsoft.com/office/drawing/2014/main" id="{00000000-0008-0000-0100-0000F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218</xdr:row>
          <xdr:rowOff>198120</xdr:rowOff>
        </xdr:from>
        <xdr:to>
          <xdr:col>4</xdr:col>
          <xdr:colOff>518160</xdr:colOff>
          <xdr:row>218</xdr:row>
          <xdr:rowOff>533400</xdr:rowOff>
        </xdr:to>
        <xdr:sp macro="" textlink="">
          <xdr:nvSpPr>
            <xdr:cNvPr id="2297" name="Check Box 249" hidden="1">
              <a:extLst>
                <a:ext uri="{63B3BB69-23CF-44E3-9099-C40C66FF867C}">
                  <a14:compatExt spid="_x0000_s2297"/>
                </a:ext>
                <a:ext uri="{FF2B5EF4-FFF2-40B4-BE49-F238E27FC236}">
                  <a16:creationId xmlns:a16="http://schemas.microsoft.com/office/drawing/2014/main" id="{00000000-0008-0000-0100-0000F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219</xdr:row>
          <xdr:rowOff>198120</xdr:rowOff>
        </xdr:from>
        <xdr:to>
          <xdr:col>4</xdr:col>
          <xdr:colOff>518160</xdr:colOff>
          <xdr:row>219</xdr:row>
          <xdr:rowOff>533400</xdr:rowOff>
        </xdr:to>
        <xdr:sp macro="" textlink="">
          <xdr:nvSpPr>
            <xdr:cNvPr id="2298" name="Check Box 250" hidden="1">
              <a:extLst>
                <a:ext uri="{63B3BB69-23CF-44E3-9099-C40C66FF867C}">
                  <a14:compatExt spid="_x0000_s2298"/>
                </a:ext>
                <a:ext uri="{FF2B5EF4-FFF2-40B4-BE49-F238E27FC236}">
                  <a16:creationId xmlns:a16="http://schemas.microsoft.com/office/drawing/2014/main" id="{00000000-0008-0000-0100-0000F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219</xdr:row>
          <xdr:rowOff>198120</xdr:rowOff>
        </xdr:from>
        <xdr:to>
          <xdr:col>4</xdr:col>
          <xdr:colOff>518160</xdr:colOff>
          <xdr:row>219</xdr:row>
          <xdr:rowOff>533400</xdr:rowOff>
        </xdr:to>
        <xdr:sp macro="" textlink="">
          <xdr:nvSpPr>
            <xdr:cNvPr id="2299" name="Check Box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220</xdr:row>
          <xdr:rowOff>198120</xdr:rowOff>
        </xdr:from>
        <xdr:to>
          <xdr:col>4</xdr:col>
          <xdr:colOff>518160</xdr:colOff>
          <xdr:row>220</xdr:row>
          <xdr:rowOff>533400</xdr:rowOff>
        </xdr:to>
        <xdr:sp macro="" textlink="">
          <xdr:nvSpPr>
            <xdr:cNvPr id="2300" name="Check Box 252" hidden="1">
              <a:extLst>
                <a:ext uri="{63B3BB69-23CF-44E3-9099-C40C66FF867C}">
                  <a14:compatExt spid="_x0000_s2300"/>
                </a:ext>
                <a:ext uri="{FF2B5EF4-FFF2-40B4-BE49-F238E27FC236}">
                  <a16:creationId xmlns:a16="http://schemas.microsoft.com/office/drawing/2014/main" id="{00000000-0008-0000-0100-0000F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221</xdr:row>
          <xdr:rowOff>198120</xdr:rowOff>
        </xdr:from>
        <xdr:to>
          <xdr:col>4</xdr:col>
          <xdr:colOff>518160</xdr:colOff>
          <xdr:row>221</xdr:row>
          <xdr:rowOff>533400</xdr:rowOff>
        </xdr:to>
        <xdr:sp macro="" textlink="">
          <xdr:nvSpPr>
            <xdr:cNvPr id="2301" name="Check Box 253" hidden="1">
              <a:extLst>
                <a:ext uri="{63B3BB69-23CF-44E3-9099-C40C66FF867C}">
                  <a14:compatExt spid="_x0000_s2301"/>
                </a:ext>
                <a:ext uri="{FF2B5EF4-FFF2-40B4-BE49-F238E27FC236}">
                  <a16:creationId xmlns:a16="http://schemas.microsoft.com/office/drawing/2014/main" id="{00000000-0008-0000-0100-0000F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221</xdr:row>
          <xdr:rowOff>198120</xdr:rowOff>
        </xdr:from>
        <xdr:to>
          <xdr:col>4</xdr:col>
          <xdr:colOff>518160</xdr:colOff>
          <xdr:row>221</xdr:row>
          <xdr:rowOff>533400</xdr:rowOff>
        </xdr:to>
        <xdr:sp macro="" textlink="">
          <xdr:nvSpPr>
            <xdr:cNvPr id="2302" name="Check Box 254" hidden="1">
              <a:extLst>
                <a:ext uri="{63B3BB69-23CF-44E3-9099-C40C66FF867C}">
                  <a14:compatExt spid="_x0000_s2302"/>
                </a:ext>
                <a:ext uri="{FF2B5EF4-FFF2-40B4-BE49-F238E27FC236}">
                  <a16:creationId xmlns:a16="http://schemas.microsoft.com/office/drawing/2014/main" id="{00000000-0008-0000-0100-0000F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222</xdr:row>
          <xdr:rowOff>198120</xdr:rowOff>
        </xdr:from>
        <xdr:to>
          <xdr:col>4</xdr:col>
          <xdr:colOff>518160</xdr:colOff>
          <xdr:row>222</xdr:row>
          <xdr:rowOff>533400</xdr:rowOff>
        </xdr:to>
        <xdr:sp macro="" textlink="">
          <xdr:nvSpPr>
            <xdr:cNvPr id="2303" name="Check Box 255" hidden="1">
              <a:extLst>
                <a:ext uri="{63B3BB69-23CF-44E3-9099-C40C66FF867C}">
                  <a14:compatExt spid="_x0000_s2303"/>
                </a:ext>
                <a:ext uri="{FF2B5EF4-FFF2-40B4-BE49-F238E27FC236}">
                  <a16:creationId xmlns:a16="http://schemas.microsoft.com/office/drawing/2014/main" id="{00000000-0008-0000-0100-0000F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223</xdr:row>
          <xdr:rowOff>198120</xdr:rowOff>
        </xdr:from>
        <xdr:to>
          <xdr:col>4</xdr:col>
          <xdr:colOff>518160</xdr:colOff>
          <xdr:row>223</xdr:row>
          <xdr:rowOff>533400</xdr:rowOff>
        </xdr:to>
        <xdr:sp macro="" textlink="">
          <xdr:nvSpPr>
            <xdr:cNvPr id="2304" name="Check Box 256" hidden="1">
              <a:extLst>
                <a:ext uri="{63B3BB69-23CF-44E3-9099-C40C66FF867C}">
                  <a14:compatExt spid="_x0000_s2304"/>
                </a:ext>
                <a:ext uri="{FF2B5EF4-FFF2-40B4-BE49-F238E27FC236}">
                  <a16:creationId xmlns:a16="http://schemas.microsoft.com/office/drawing/2014/main" id="{00000000-0008-0000-0100-00000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223</xdr:row>
          <xdr:rowOff>198120</xdr:rowOff>
        </xdr:from>
        <xdr:to>
          <xdr:col>4</xdr:col>
          <xdr:colOff>518160</xdr:colOff>
          <xdr:row>223</xdr:row>
          <xdr:rowOff>533400</xdr:rowOff>
        </xdr:to>
        <xdr:sp macro="" textlink="">
          <xdr:nvSpPr>
            <xdr:cNvPr id="2305" name="Check Box 257" hidden="1">
              <a:extLst>
                <a:ext uri="{63B3BB69-23CF-44E3-9099-C40C66FF867C}">
                  <a14:compatExt spid="_x0000_s2305"/>
                </a:ext>
                <a:ext uri="{FF2B5EF4-FFF2-40B4-BE49-F238E27FC236}">
                  <a16:creationId xmlns:a16="http://schemas.microsoft.com/office/drawing/2014/main" id="{00000000-0008-0000-0100-00000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224</xdr:row>
          <xdr:rowOff>198120</xdr:rowOff>
        </xdr:from>
        <xdr:to>
          <xdr:col>4</xdr:col>
          <xdr:colOff>518160</xdr:colOff>
          <xdr:row>224</xdr:row>
          <xdr:rowOff>533400</xdr:rowOff>
        </xdr:to>
        <xdr:sp macro="" textlink="">
          <xdr:nvSpPr>
            <xdr:cNvPr id="2306" name="Check Box 258" hidden="1">
              <a:extLst>
                <a:ext uri="{63B3BB69-23CF-44E3-9099-C40C66FF867C}">
                  <a14:compatExt spid="_x0000_s2306"/>
                </a:ext>
                <a:ext uri="{FF2B5EF4-FFF2-40B4-BE49-F238E27FC236}">
                  <a16:creationId xmlns:a16="http://schemas.microsoft.com/office/drawing/2014/main" id="{00000000-0008-0000-0100-00000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225</xdr:row>
          <xdr:rowOff>198120</xdr:rowOff>
        </xdr:from>
        <xdr:to>
          <xdr:col>4</xdr:col>
          <xdr:colOff>518160</xdr:colOff>
          <xdr:row>225</xdr:row>
          <xdr:rowOff>533400</xdr:rowOff>
        </xdr:to>
        <xdr:sp macro="" textlink="">
          <xdr:nvSpPr>
            <xdr:cNvPr id="2307" name="Check Box 259" hidden="1">
              <a:extLst>
                <a:ext uri="{63B3BB69-23CF-44E3-9099-C40C66FF867C}">
                  <a14:compatExt spid="_x0000_s2307"/>
                </a:ext>
                <a:ext uri="{FF2B5EF4-FFF2-40B4-BE49-F238E27FC236}">
                  <a16:creationId xmlns:a16="http://schemas.microsoft.com/office/drawing/2014/main" id="{00000000-0008-0000-0100-00000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225</xdr:row>
          <xdr:rowOff>198120</xdr:rowOff>
        </xdr:from>
        <xdr:to>
          <xdr:col>4</xdr:col>
          <xdr:colOff>518160</xdr:colOff>
          <xdr:row>225</xdr:row>
          <xdr:rowOff>533400</xdr:rowOff>
        </xdr:to>
        <xdr:sp macro="" textlink="">
          <xdr:nvSpPr>
            <xdr:cNvPr id="2308" name="Check Box 260" hidden="1">
              <a:extLst>
                <a:ext uri="{63B3BB69-23CF-44E3-9099-C40C66FF867C}">
                  <a14:compatExt spid="_x0000_s2308"/>
                </a:ext>
                <a:ext uri="{FF2B5EF4-FFF2-40B4-BE49-F238E27FC236}">
                  <a16:creationId xmlns:a16="http://schemas.microsoft.com/office/drawing/2014/main" id="{00000000-0008-0000-0100-00000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226</xdr:row>
          <xdr:rowOff>198120</xdr:rowOff>
        </xdr:from>
        <xdr:to>
          <xdr:col>4</xdr:col>
          <xdr:colOff>518160</xdr:colOff>
          <xdr:row>226</xdr:row>
          <xdr:rowOff>533400</xdr:rowOff>
        </xdr:to>
        <xdr:sp macro="" textlink="">
          <xdr:nvSpPr>
            <xdr:cNvPr id="2309" name="Check Box 261" hidden="1">
              <a:extLst>
                <a:ext uri="{63B3BB69-23CF-44E3-9099-C40C66FF867C}">
                  <a14:compatExt spid="_x0000_s2309"/>
                </a:ext>
                <a:ext uri="{FF2B5EF4-FFF2-40B4-BE49-F238E27FC236}">
                  <a16:creationId xmlns:a16="http://schemas.microsoft.com/office/drawing/2014/main" id="{00000000-0008-0000-0100-00000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228</xdr:row>
          <xdr:rowOff>198120</xdr:rowOff>
        </xdr:from>
        <xdr:to>
          <xdr:col>4</xdr:col>
          <xdr:colOff>518160</xdr:colOff>
          <xdr:row>228</xdr:row>
          <xdr:rowOff>533400</xdr:rowOff>
        </xdr:to>
        <xdr:sp macro="" textlink="">
          <xdr:nvSpPr>
            <xdr:cNvPr id="2310" name="Check Box 262" hidden="1">
              <a:extLst>
                <a:ext uri="{63B3BB69-23CF-44E3-9099-C40C66FF867C}">
                  <a14:compatExt spid="_x0000_s2310"/>
                </a:ext>
                <a:ext uri="{FF2B5EF4-FFF2-40B4-BE49-F238E27FC236}">
                  <a16:creationId xmlns:a16="http://schemas.microsoft.com/office/drawing/2014/main" id="{00000000-0008-0000-0100-00000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228</xdr:row>
          <xdr:rowOff>198120</xdr:rowOff>
        </xdr:from>
        <xdr:to>
          <xdr:col>4</xdr:col>
          <xdr:colOff>518160</xdr:colOff>
          <xdr:row>228</xdr:row>
          <xdr:rowOff>533400</xdr:rowOff>
        </xdr:to>
        <xdr:sp macro="" textlink="">
          <xdr:nvSpPr>
            <xdr:cNvPr id="2311" name="Check Box 263" hidden="1">
              <a:extLst>
                <a:ext uri="{63B3BB69-23CF-44E3-9099-C40C66FF867C}">
                  <a14:compatExt spid="_x0000_s2311"/>
                </a:ext>
                <a:ext uri="{FF2B5EF4-FFF2-40B4-BE49-F238E27FC236}">
                  <a16:creationId xmlns:a16="http://schemas.microsoft.com/office/drawing/2014/main" id="{00000000-0008-0000-0100-00000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229</xdr:row>
          <xdr:rowOff>198120</xdr:rowOff>
        </xdr:from>
        <xdr:to>
          <xdr:col>4</xdr:col>
          <xdr:colOff>518160</xdr:colOff>
          <xdr:row>229</xdr:row>
          <xdr:rowOff>533400</xdr:rowOff>
        </xdr:to>
        <xdr:sp macro="" textlink="">
          <xdr:nvSpPr>
            <xdr:cNvPr id="2312" name="Check Box 264" hidden="1">
              <a:extLst>
                <a:ext uri="{63B3BB69-23CF-44E3-9099-C40C66FF867C}">
                  <a14:compatExt spid="_x0000_s2312"/>
                </a:ext>
                <a:ext uri="{FF2B5EF4-FFF2-40B4-BE49-F238E27FC236}">
                  <a16:creationId xmlns:a16="http://schemas.microsoft.com/office/drawing/2014/main" id="{00000000-0008-0000-0100-00000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230</xdr:row>
          <xdr:rowOff>198120</xdr:rowOff>
        </xdr:from>
        <xdr:to>
          <xdr:col>4</xdr:col>
          <xdr:colOff>518160</xdr:colOff>
          <xdr:row>230</xdr:row>
          <xdr:rowOff>533400</xdr:rowOff>
        </xdr:to>
        <xdr:sp macro="" textlink="">
          <xdr:nvSpPr>
            <xdr:cNvPr id="2313" name="Check Box 265" hidden="1">
              <a:extLst>
                <a:ext uri="{63B3BB69-23CF-44E3-9099-C40C66FF867C}">
                  <a14:compatExt spid="_x0000_s2313"/>
                </a:ext>
                <a:ext uri="{FF2B5EF4-FFF2-40B4-BE49-F238E27FC236}">
                  <a16:creationId xmlns:a16="http://schemas.microsoft.com/office/drawing/2014/main" id="{00000000-0008-0000-0100-00000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230</xdr:row>
          <xdr:rowOff>198120</xdr:rowOff>
        </xdr:from>
        <xdr:to>
          <xdr:col>4</xdr:col>
          <xdr:colOff>518160</xdr:colOff>
          <xdr:row>230</xdr:row>
          <xdr:rowOff>533400</xdr:rowOff>
        </xdr:to>
        <xdr:sp macro="" textlink="">
          <xdr:nvSpPr>
            <xdr:cNvPr id="2314" name="Check Box 266" hidden="1">
              <a:extLst>
                <a:ext uri="{63B3BB69-23CF-44E3-9099-C40C66FF867C}">
                  <a14:compatExt spid="_x0000_s2314"/>
                </a:ext>
                <a:ext uri="{FF2B5EF4-FFF2-40B4-BE49-F238E27FC236}">
                  <a16:creationId xmlns:a16="http://schemas.microsoft.com/office/drawing/2014/main" id="{00000000-0008-0000-0100-00000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231</xdr:row>
          <xdr:rowOff>198120</xdr:rowOff>
        </xdr:from>
        <xdr:to>
          <xdr:col>4</xdr:col>
          <xdr:colOff>518160</xdr:colOff>
          <xdr:row>231</xdr:row>
          <xdr:rowOff>533400</xdr:rowOff>
        </xdr:to>
        <xdr:sp macro="" textlink="">
          <xdr:nvSpPr>
            <xdr:cNvPr id="2315" name="Check Box 267" hidden="1">
              <a:extLst>
                <a:ext uri="{63B3BB69-23CF-44E3-9099-C40C66FF867C}">
                  <a14:compatExt spid="_x0000_s2315"/>
                </a:ext>
                <a:ext uri="{FF2B5EF4-FFF2-40B4-BE49-F238E27FC236}">
                  <a16:creationId xmlns:a16="http://schemas.microsoft.com/office/drawing/2014/main" id="{00000000-0008-0000-0100-00000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232</xdr:row>
          <xdr:rowOff>198120</xdr:rowOff>
        </xdr:from>
        <xdr:to>
          <xdr:col>4</xdr:col>
          <xdr:colOff>518160</xdr:colOff>
          <xdr:row>232</xdr:row>
          <xdr:rowOff>533400</xdr:rowOff>
        </xdr:to>
        <xdr:sp macro="" textlink="">
          <xdr:nvSpPr>
            <xdr:cNvPr id="2316" name="Check Box 268" hidden="1">
              <a:extLst>
                <a:ext uri="{63B3BB69-23CF-44E3-9099-C40C66FF867C}">
                  <a14:compatExt spid="_x0000_s2316"/>
                </a:ext>
                <a:ext uri="{FF2B5EF4-FFF2-40B4-BE49-F238E27FC236}">
                  <a16:creationId xmlns:a16="http://schemas.microsoft.com/office/drawing/2014/main" id="{00000000-0008-0000-0100-00000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232</xdr:row>
          <xdr:rowOff>198120</xdr:rowOff>
        </xdr:from>
        <xdr:to>
          <xdr:col>4</xdr:col>
          <xdr:colOff>518160</xdr:colOff>
          <xdr:row>232</xdr:row>
          <xdr:rowOff>533400</xdr:rowOff>
        </xdr:to>
        <xdr:sp macro="" textlink="">
          <xdr:nvSpPr>
            <xdr:cNvPr id="2317" name="Check Box 269" hidden="1">
              <a:extLst>
                <a:ext uri="{63B3BB69-23CF-44E3-9099-C40C66FF867C}">
                  <a14:compatExt spid="_x0000_s2317"/>
                </a:ext>
                <a:ext uri="{FF2B5EF4-FFF2-40B4-BE49-F238E27FC236}">
                  <a16:creationId xmlns:a16="http://schemas.microsoft.com/office/drawing/2014/main" id="{00000000-0008-0000-0100-00000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233</xdr:row>
          <xdr:rowOff>198120</xdr:rowOff>
        </xdr:from>
        <xdr:to>
          <xdr:col>4</xdr:col>
          <xdr:colOff>518160</xdr:colOff>
          <xdr:row>233</xdr:row>
          <xdr:rowOff>533400</xdr:rowOff>
        </xdr:to>
        <xdr:sp macro="" textlink="">
          <xdr:nvSpPr>
            <xdr:cNvPr id="2318" name="Check Box 270" hidden="1">
              <a:extLst>
                <a:ext uri="{63B3BB69-23CF-44E3-9099-C40C66FF867C}">
                  <a14:compatExt spid="_x0000_s2318"/>
                </a:ext>
                <a:ext uri="{FF2B5EF4-FFF2-40B4-BE49-F238E27FC236}">
                  <a16:creationId xmlns:a16="http://schemas.microsoft.com/office/drawing/2014/main" id="{00000000-0008-0000-0100-00000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234</xdr:row>
          <xdr:rowOff>198120</xdr:rowOff>
        </xdr:from>
        <xdr:to>
          <xdr:col>4</xdr:col>
          <xdr:colOff>518160</xdr:colOff>
          <xdr:row>234</xdr:row>
          <xdr:rowOff>533400</xdr:rowOff>
        </xdr:to>
        <xdr:sp macro="" textlink="">
          <xdr:nvSpPr>
            <xdr:cNvPr id="2319" name="Check Box 271" hidden="1">
              <a:extLst>
                <a:ext uri="{63B3BB69-23CF-44E3-9099-C40C66FF867C}">
                  <a14:compatExt spid="_x0000_s2319"/>
                </a:ext>
                <a:ext uri="{FF2B5EF4-FFF2-40B4-BE49-F238E27FC236}">
                  <a16:creationId xmlns:a16="http://schemas.microsoft.com/office/drawing/2014/main" id="{00000000-0008-0000-0100-00000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234</xdr:row>
          <xdr:rowOff>198120</xdr:rowOff>
        </xdr:from>
        <xdr:to>
          <xdr:col>4</xdr:col>
          <xdr:colOff>518160</xdr:colOff>
          <xdr:row>234</xdr:row>
          <xdr:rowOff>533400</xdr:rowOff>
        </xdr:to>
        <xdr:sp macro="" textlink="">
          <xdr:nvSpPr>
            <xdr:cNvPr id="2320" name="Check Box 272" hidden="1">
              <a:extLst>
                <a:ext uri="{63B3BB69-23CF-44E3-9099-C40C66FF867C}">
                  <a14:compatExt spid="_x0000_s2320"/>
                </a:ext>
                <a:ext uri="{FF2B5EF4-FFF2-40B4-BE49-F238E27FC236}">
                  <a16:creationId xmlns:a16="http://schemas.microsoft.com/office/drawing/2014/main" id="{00000000-0008-0000-0100-00001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235</xdr:row>
          <xdr:rowOff>198120</xdr:rowOff>
        </xdr:from>
        <xdr:to>
          <xdr:col>4</xdr:col>
          <xdr:colOff>518160</xdr:colOff>
          <xdr:row>235</xdr:row>
          <xdr:rowOff>533400</xdr:rowOff>
        </xdr:to>
        <xdr:sp macro="" textlink="">
          <xdr:nvSpPr>
            <xdr:cNvPr id="2321" name="Check Box 273" hidden="1">
              <a:extLst>
                <a:ext uri="{63B3BB69-23CF-44E3-9099-C40C66FF867C}">
                  <a14:compatExt spid="_x0000_s2321"/>
                </a:ext>
                <a:ext uri="{FF2B5EF4-FFF2-40B4-BE49-F238E27FC236}">
                  <a16:creationId xmlns:a16="http://schemas.microsoft.com/office/drawing/2014/main" id="{00000000-0008-0000-0100-00001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236</xdr:row>
          <xdr:rowOff>198120</xdr:rowOff>
        </xdr:from>
        <xdr:to>
          <xdr:col>4</xdr:col>
          <xdr:colOff>518160</xdr:colOff>
          <xdr:row>236</xdr:row>
          <xdr:rowOff>533400</xdr:rowOff>
        </xdr:to>
        <xdr:sp macro="" textlink="">
          <xdr:nvSpPr>
            <xdr:cNvPr id="2322" name="Check Box 274" hidden="1">
              <a:extLst>
                <a:ext uri="{63B3BB69-23CF-44E3-9099-C40C66FF867C}">
                  <a14:compatExt spid="_x0000_s2322"/>
                </a:ext>
                <a:ext uri="{FF2B5EF4-FFF2-40B4-BE49-F238E27FC236}">
                  <a16:creationId xmlns:a16="http://schemas.microsoft.com/office/drawing/2014/main" id="{00000000-0008-0000-0100-00001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236</xdr:row>
          <xdr:rowOff>198120</xdr:rowOff>
        </xdr:from>
        <xdr:to>
          <xdr:col>4</xdr:col>
          <xdr:colOff>518160</xdr:colOff>
          <xdr:row>236</xdr:row>
          <xdr:rowOff>533400</xdr:rowOff>
        </xdr:to>
        <xdr:sp macro="" textlink="">
          <xdr:nvSpPr>
            <xdr:cNvPr id="2323" name="Check Box 275" hidden="1">
              <a:extLst>
                <a:ext uri="{63B3BB69-23CF-44E3-9099-C40C66FF867C}">
                  <a14:compatExt spid="_x0000_s2323"/>
                </a:ext>
                <a:ext uri="{FF2B5EF4-FFF2-40B4-BE49-F238E27FC236}">
                  <a16:creationId xmlns:a16="http://schemas.microsoft.com/office/drawing/2014/main" id="{00000000-0008-0000-0100-00001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237</xdr:row>
          <xdr:rowOff>198120</xdr:rowOff>
        </xdr:from>
        <xdr:to>
          <xdr:col>4</xdr:col>
          <xdr:colOff>518160</xdr:colOff>
          <xdr:row>237</xdr:row>
          <xdr:rowOff>533400</xdr:rowOff>
        </xdr:to>
        <xdr:sp macro="" textlink="">
          <xdr:nvSpPr>
            <xdr:cNvPr id="2324" name="Check Box 276" hidden="1">
              <a:extLst>
                <a:ext uri="{63B3BB69-23CF-44E3-9099-C40C66FF867C}">
                  <a14:compatExt spid="_x0000_s2324"/>
                </a:ext>
                <a:ext uri="{FF2B5EF4-FFF2-40B4-BE49-F238E27FC236}">
                  <a16:creationId xmlns:a16="http://schemas.microsoft.com/office/drawing/2014/main" id="{00000000-0008-0000-0100-00001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238</xdr:row>
          <xdr:rowOff>198120</xdr:rowOff>
        </xdr:from>
        <xdr:to>
          <xdr:col>4</xdr:col>
          <xdr:colOff>518160</xdr:colOff>
          <xdr:row>238</xdr:row>
          <xdr:rowOff>533400</xdr:rowOff>
        </xdr:to>
        <xdr:sp macro="" textlink="">
          <xdr:nvSpPr>
            <xdr:cNvPr id="2325" name="Check Box 277" hidden="1">
              <a:extLst>
                <a:ext uri="{63B3BB69-23CF-44E3-9099-C40C66FF867C}">
                  <a14:compatExt spid="_x0000_s2325"/>
                </a:ext>
                <a:ext uri="{FF2B5EF4-FFF2-40B4-BE49-F238E27FC236}">
                  <a16:creationId xmlns:a16="http://schemas.microsoft.com/office/drawing/2014/main" id="{00000000-0008-0000-0100-00001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238</xdr:row>
          <xdr:rowOff>198120</xdr:rowOff>
        </xdr:from>
        <xdr:to>
          <xdr:col>4</xdr:col>
          <xdr:colOff>518160</xdr:colOff>
          <xdr:row>238</xdr:row>
          <xdr:rowOff>533400</xdr:rowOff>
        </xdr:to>
        <xdr:sp macro="" textlink="">
          <xdr:nvSpPr>
            <xdr:cNvPr id="2326" name="Check Box 278" hidden="1">
              <a:extLst>
                <a:ext uri="{63B3BB69-23CF-44E3-9099-C40C66FF867C}">
                  <a14:compatExt spid="_x0000_s2326"/>
                </a:ext>
                <a:ext uri="{FF2B5EF4-FFF2-40B4-BE49-F238E27FC236}">
                  <a16:creationId xmlns:a16="http://schemas.microsoft.com/office/drawing/2014/main" id="{00000000-0008-0000-0100-00001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240</xdr:row>
          <xdr:rowOff>198120</xdr:rowOff>
        </xdr:from>
        <xdr:to>
          <xdr:col>4</xdr:col>
          <xdr:colOff>518160</xdr:colOff>
          <xdr:row>240</xdr:row>
          <xdr:rowOff>533400</xdr:rowOff>
        </xdr:to>
        <xdr:sp macro="" textlink="">
          <xdr:nvSpPr>
            <xdr:cNvPr id="2327" name="Check Box 279" hidden="1">
              <a:extLst>
                <a:ext uri="{63B3BB69-23CF-44E3-9099-C40C66FF867C}">
                  <a14:compatExt spid="_x0000_s2327"/>
                </a:ext>
                <a:ext uri="{FF2B5EF4-FFF2-40B4-BE49-F238E27FC236}">
                  <a16:creationId xmlns:a16="http://schemas.microsoft.com/office/drawing/2014/main" id="{00000000-0008-0000-0100-00001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240</xdr:row>
          <xdr:rowOff>198120</xdr:rowOff>
        </xdr:from>
        <xdr:to>
          <xdr:col>4</xdr:col>
          <xdr:colOff>518160</xdr:colOff>
          <xdr:row>240</xdr:row>
          <xdr:rowOff>533400</xdr:rowOff>
        </xdr:to>
        <xdr:sp macro="" textlink="">
          <xdr:nvSpPr>
            <xdr:cNvPr id="2328" name="Check Box 280" hidden="1">
              <a:extLst>
                <a:ext uri="{63B3BB69-23CF-44E3-9099-C40C66FF867C}">
                  <a14:compatExt spid="_x0000_s2328"/>
                </a:ext>
                <a:ext uri="{FF2B5EF4-FFF2-40B4-BE49-F238E27FC236}">
                  <a16:creationId xmlns:a16="http://schemas.microsoft.com/office/drawing/2014/main" id="{00000000-0008-0000-0100-00001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241</xdr:row>
          <xdr:rowOff>198120</xdr:rowOff>
        </xdr:from>
        <xdr:to>
          <xdr:col>4</xdr:col>
          <xdr:colOff>518160</xdr:colOff>
          <xdr:row>241</xdr:row>
          <xdr:rowOff>533400</xdr:rowOff>
        </xdr:to>
        <xdr:sp macro="" textlink="">
          <xdr:nvSpPr>
            <xdr:cNvPr id="2329" name="Check Box 281" hidden="1">
              <a:extLst>
                <a:ext uri="{63B3BB69-23CF-44E3-9099-C40C66FF867C}">
                  <a14:compatExt spid="_x0000_s2329"/>
                </a:ext>
                <a:ext uri="{FF2B5EF4-FFF2-40B4-BE49-F238E27FC236}">
                  <a16:creationId xmlns:a16="http://schemas.microsoft.com/office/drawing/2014/main" id="{00000000-0008-0000-0100-00001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242</xdr:row>
          <xdr:rowOff>198120</xdr:rowOff>
        </xdr:from>
        <xdr:to>
          <xdr:col>4</xdr:col>
          <xdr:colOff>518160</xdr:colOff>
          <xdr:row>242</xdr:row>
          <xdr:rowOff>533400</xdr:rowOff>
        </xdr:to>
        <xdr:sp macro="" textlink="">
          <xdr:nvSpPr>
            <xdr:cNvPr id="2330" name="Check Box 282" hidden="1">
              <a:extLst>
                <a:ext uri="{63B3BB69-23CF-44E3-9099-C40C66FF867C}">
                  <a14:compatExt spid="_x0000_s2330"/>
                </a:ext>
                <a:ext uri="{FF2B5EF4-FFF2-40B4-BE49-F238E27FC236}">
                  <a16:creationId xmlns:a16="http://schemas.microsoft.com/office/drawing/2014/main" id="{00000000-0008-0000-0100-00001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242</xdr:row>
          <xdr:rowOff>198120</xdr:rowOff>
        </xdr:from>
        <xdr:to>
          <xdr:col>4</xdr:col>
          <xdr:colOff>518160</xdr:colOff>
          <xdr:row>242</xdr:row>
          <xdr:rowOff>533400</xdr:rowOff>
        </xdr:to>
        <xdr:sp macro="" textlink="">
          <xdr:nvSpPr>
            <xdr:cNvPr id="2331" name="Check Box 283" hidden="1">
              <a:extLst>
                <a:ext uri="{63B3BB69-23CF-44E3-9099-C40C66FF867C}">
                  <a14:compatExt spid="_x0000_s2331"/>
                </a:ext>
                <a:ext uri="{FF2B5EF4-FFF2-40B4-BE49-F238E27FC236}">
                  <a16:creationId xmlns:a16="http://schemas.microsoft.com/office/drawing/2014/main" id="{00000000-0008-0000-0100-00001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243</xdr:row>
          <xdr:rowOff>198120</xdr:rowOff>
        </xdr:from>
        <xdr:to>
          <xdr:col>4</xdr:col>
          <xdr:colOff>518160</xdr:colOff>
          <xdr:row>243</xdr:row>
          <xdr:rowOff>533400</xdr:rowOff>
        </xdr:to>
        <xdr:sp macro="" textlink="">
          <xdr:nvSpPr>
            <xdr:cNvPr id="2332" name="Check Box 284" hidden="1">
              <a:extLst>
                <a:ext uri="{63B3BB69-23CF-44E3-9099-C40C66FF867C}">
                  <a14:compatExt spid="_x0000_s2332"/>
                </a:ext>
                <a:ext uri="{FF2B5EF4-FFF2-40B4-BE49-F238E27FC236}">
                  <a16:creationId xmlns:a16="http://schemas.microsoft.com/office/drawing/2014/main" id="{00000000-0008-0000-0100-00001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244</xdr:row>
          <xdr:rowOff>198120</xdr:rowOff>
        </xdr:from>
        <xdr:to>
          <xdr:col>4</xdr:col>
          <xdr:colOff>518160</xdr:colOff>
          <xdr:row>244</xdr:row>
          <xdr:rowOff>533400</xdr:rowOff>
        </xdr:to>
        <xdr:sp macro="" textlink="">
          <xdr:nvSpPr>
            <xdr:cNvPr id="2333" name="Check Box 285" hidden="1">
              <a:extLst>
                <a:ext uri="{63B3BB69-23CF-44E3-9099-C40C66FF867C}">
                  <a14:compatExt spid="_x0000_s2333"/>
                </a:ext>
                <a:ext uri="{FF2B5EF4-FFF2-40B4-BE49-F238E27FC236}">
                  <a16:creationId xmlns:a16="http://schemas.microsoft.com/office/drawing/2014/main" id="{00000000-0008-0000-0100-00001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244</xdr:row>
          <xdr:rowOff>198120</xdr:rowOff>
        </xdr:from>
        <xdr:to>
          <xdr:col>4</xdr:col>
          <xdr:colOff>518160</xdr:colOff>
          <xdr:row>244</xdr:row>
          <xdr:rowOff>533400</xdr:rowOff>
        </xdr:to>
        <xdr:sp macro="" textlink="">
          <xdr:nvSpPr>
            <xdr:cNvPr id="2334" name="Check Box 286" hidden="1">
              <a:extLst>
                <a:ext uri="{63B3BB69-23CF-44E3-9099-C40C66FF867C}">
                  <a14:compatExt spid="_x0000_s2334"/>
                </a:ext>
                <a:ext uri="{FF2B5EF4-FFF2-40B4-BE49-F238E27FC236}">
                  <a16:creationId xmlns:a16="http://schemas.microsoft.com/office/drawing/2014/main" id="{00000000-0008-0000-0100-00001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245</xdr:row>
          <xdr:rowOff>198120</xdr:rowOff>
        </xdr:from>
        <xdr:to>
          <xdr:col>4</xdr:col>
          <xdr:colOff>518160</xdr:colOff>
          <xdr:row>245</xdr:row>
          <xdr:rowOff>533400</xdr:rowOff>
        </xdr:to>
        <xdr:sp macro="" textlink="">
          <xdr:nvSpPr>
            <xdr:cNvPr id="2335" name="Check Box 287" hidden="1">
              <a:extLst>
                <a:ext uri="{63B3BB69-23CF-44E3-9099-C40C66FF867C}">
                  <a14:compatExt spid="_x0000_s2335"/>
                </a:ext>
                <a:ext uri="{FF2B5EF4-FFF2-40B4-BE49-F238E27FC236}">
                  <a16:creationId xmlns:a16="http://schemas.microsoft.com/office/drawing/2014/main" id="{00000000-0008-0000-0100-00001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246</xdr:row>
          <xdr:rowOff>198120</xdr:rowOff>
        </xdr:from>
        <xdr:to>
          <xdr:col>4</xdr:col>
          <xdr:colOff>518160</xdr:colOff>
          <xdr:row>246</xdr:row>
          <xdr:rowOff>533400</xdr:rowOff>
        </xdr:to>
        <xdr:sp macro="" textlink="">
          <xdr:nvSpPr>
            <xdr:cNvPr id="2336" name="Check Box 288" hidden="1">
              <a:extLst>
                <a:ext uri="{63B3BB69-23CF-44E3-9099-C40C66FF867C}">
                  <a14:compatExt spid="_x0000_s2336"/>
                </a:ext>
                <a:ext uri="{FF2B5EF4-FFF2-40B4-BE49-F238E27FC236}">
                  <a16:creationId xmlns:a16="http://schemas.microsoft.com/office/drawing/2014/main" id="{00000000-0008-0000-0100-00002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246</xdr:row>
          <xdr:rowOff>198120</xdr:rowOff>
        </xdr:from>
        <xdr:to>
          <xdr:col>4</xdr:col>
          <xdr:colOff>518160</xdr:colOff>
          <xdr:row>246</xdr:row>
          <xdr:rowOff>533400</xdr:rowOff>
        </xdr:to>
        <xdr:sp macro="" textlink="">
          <xdr:nvSpPr>
            <xdr:cNvPr id="2337" name="Check Box 289" hidden="1">
              <a:extLst>
                <a:ext uri="{63B3BB69-23CF-44E3-9099-C40C66FF867C}">
                  <a14:compatExt spid="_x0000_s2337"/>
                </a:ext>
                <a:ext uri="{FF2B5EF4-FFF2-40B4-BE49-F238E27FC236}">
                  <a16:creationId xmlns:a16="http://schemas.microsoft.com/office/drawing/2014/main" id="{00000000-0008-0000-0100-00002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248</xdr:row>
          <xdr:rowOff>198120</xdr:rowOff>
        </xdr:from>
        <xdr:to>
          <xdr:col>4</xdr:col>
          <xdr:colOff>518160</xdr:colOff>
          <xdr:row>248</xdr:row>
          <xdr:rowOff>533400</xdr:rowOff>
        </xdr:to>
        <xdr:sp macro="" textlink="">
          <xdr:nvSpPr>
            <xdr:cNvPr id="2338" name="Check Box 290" hidden="1">
              <a:extLst>
                <a:ext uri="{63B3BB69-23CF-44E3-9099-C40C66FF867C}">
                  <a14:compatExt spid="_x0000_s2338"/>
                </a:ext>
                <a:ext uri="{FF2B5EF4-FFF2-40B4-BE49-F238E27FC236}">
                  <a16:creationId xmlns:a16="http://schemas.microsoft.com/office/drawing/2014/main" id="{00000000-0008-0000-0100-00002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248</xdr:row>
          <xdr:rowOff>198120</xdr:rowOff>
        </xdr:from>
        <xdr:to>
          <xdr:col>4</xdr:col>
          <xdr:colOff>518160</xdr:colOff>
          <xdr:row>248</xdr:row>
          <xdr:rowOff>533400</xdr:rowOff>
        </xdr:to>
        <xdr:sp macro="" textlink="">
          <xdr:nvSpPr>
            <xdr:cNvPr id="2339" name="Check Box 291" hidden="1">
              <a:extLst>
                <a:ext uri="{63B3BB69-23CF-44E3-9099-C40C66FF867C}">
                  <a14:compatExt spid="_x0000_s2339"/>
                </a:ext>
                <a:ext uri="{FF2B5EF4-FFF2-40B4-BE49-F238E27FC236}">
                  <a16:creationId xmlns:a16="http://schemas.microsoft.com/office/drawing/2014/main" id="{00000000-0008-0000-0100-00002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249</xdr:row>
          <xdr:rowOff>198120</xdr:rowOff>
        </xdr:from>
        <xdr:to>
          <xdr:col>4</xdr:col>
          <xdr:colOff>518160</xdr:colOff>
          <xdr:row>249</xdr:row>
          <xdr:rowOff>533400</xdr:rowOff>
        </xdr:to>
        <xdr:sp macro="" textlink="">
          <xdr:nvSpPr>
            <xdr:cNvPr id="2340" name="Check Box 292" hidden="1">
              <a:extLst>
                <a:ext uri="{63B3BB69-23CF-44E3-9099-C40C66FF867C}">
                  <a14:compatExt spid="_x0000_s2340"/>
                </a:ext>
                <a:ext uri="{FF2B5EF4-FFF2-40B4-BE49-F238E27FC236}">
                  <a16:creationId xmlns:a16="http://schemas.microsoft.com/office/drawing/2014/main" id="{00000000-0008-0000-0100-00002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250</xdr:row>
          <xdr:rowOff>198120</xdr:rowOff>
        </xdr:from>
        <xdr:to>
          <xdr:col>4</xdr:col>
          <xdr:colOff>518160</xdr:colOff>
          <xdr:row>250</xdr:row>
          <xdr:rowOff>533400</xdr:rowOff>
        </xdr:to>
        <xdr:sp macro="" textlink="">
          <xdr:nvSpPr>
            <xdr:cNvPr id="2341" name="Check Box 293" hidden="1">
              <a:extLst>
                <a:ext uri="{63B3BB69-23CF-44E3-9099-C40C66FF867C}">
                  <a14:compatExt spid="_x0000_s2341"/>
                </a:ext>
                <a:ext uri="{FF2B5EF4-FFF2-40B4-BE49-F238E27FC236}">
                  <a16:creationId xmlns:a16="http://schemas.microsoft.com/office/drawing/2014/main" id="{00000000-0008-0000-0100-00002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250</xdr:row>
          <xdr:rowOff>198120</xdr:rowOff>
        </xdr:from>
        <xdr:to>
          <xdr:col>4</xdr:col>
          <xdr:colOff>518160</xdr:colOff>
          <xdr:row>250</xdr:row>
          <xdr:rowOff>533400</xdr:rowOff>
        </xdr:to>
        <xdr:sp macro="" textlink="">
          <xdr:nvSpPr>
            <xdr:cNvPr id="2342" name="Check Box 294" hidden="1">
              <a:extLst>
                <a:ext uri="{63B3BB69-23CF-44E3-9099-C40C66FF867C}">
                  <a14:compatExt spid="_x0000_s2342"/>
                </a:ext>
                <a:ext uri="{FF2B5EF4-FFF2-40B4-BE49-F238E27FC236}">
                  <a16:creationId xmlns:a16="http://schemas.microsoft.com/office/drawing/2014/main" id="{00000000-0008-0000-0100-00002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251</xdr:row>
          <xdr:rowOff>198120</xdr:rowOff>
        </xdr:from>
        <xdr:to>
          <xdr:col>4</xdr:col>
          <xdr:colOff>518160</xdr:colOff>
          <xdr:row>251</xdr:row>
          <xdr:rowOff>533400</xdr:rowOff>
        </xdr:to>
        <xdr:sp macro="" textlink="">
          <xdr:nvSpPr>
            <xdr:cNvPr id="2343" name="Check Box 295" hidden="1">
              <a:extLst>
                <a:ext uri="{63B3BB69-23CF-44E3-9099-C40C66FF867C}">
                  <a14:compatExt spid="_x0000_s2343"/>
                </a:ext>
                <a:ext uri="{FF2B5EF4-FFF2-40B4-BE49-F238E27FC236}">
                  <a16:creationId xmlns:a16="http://schemas.microsoft.com/office/drawing/2014/main" id="{00000000-0008-0000-0100-00002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252</xdr:row>
          <xdr:rowOff>198120</xdr:rowOff>
        </xdr:from>
        <xdr:to>
          <xdr:col>4</xdr:col>
          <xdr:colOff>518160</xdr:colOff>
          <xdr:row>252</xdr:row>
          <xdr:rowOff>533400</xdr:rowOff>
        </xdr:to>
        <xdr:sp macro="" textlink="">
          <xdr:nvSpPr>
            <xdr:cNvPr id="2344" name="Check Box 296" hidden="1">
              <a:extLst>
                <a:ext uri="{63B3BB69-23CF-44E3-9099-C40C66FF867C}">
                  <a14:compatExt spid="_x0000_s2344"/>
                </a:ext>
                <a:ext uri="{FF2B5EF4-FFF2-40B4-BE49-F238E27FC236}">
                  <a16:creationId xmlns:a16="http://schemas.microsoft.com/office/drawing/2014/main" id="{00000000-0008-0000-0100-00002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252</xdr:row>
          <xdr:rowOff>198120</xdr:rowOff>
        </xdr:from>
        <xdr:to>
          <xdr:col>4</xdr:col>
          <xdr:colOff>518160</xdr:colOff>
          <xdr:row>252</xdr:row>
          <xdr:rowOff>533400</xdr:rowOff>
        </xdr:to>
        <xdr:sp macro="" textlink="">
          <xdr:nvSpPr>
            <xdr:cNvPr id="2345" name="Check Box 297" hidden="1">
              <a:extLst>
                <a:ext uri="{63B3BB69-23CF-44E3-9099-C40C66FF867C}">
                  <a14:compatExt spid="_x0000_s2345"/>
                </a:ext>
                <a:ext uri="{FF2B5EF4-FFF2-40B4-BE49-F238E27FC236}">
                  <a16:creationId xmlns:a16="http://schemas.microsoft.com/office/drawing/2014/main" id="{00000000-0008-0000-0100-00002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253</xdr:row>
          <xdr:rowOff>198120</xdr:rowOff>
        </xdr:from>
        <xdr:to>
          <xdr:col>4</xdr:col>
          <xdr:colOff>518160</xdr:colOff>
          <xdr:row>253</xdr:row>
          <xdr:rowOff>533400</xdr:rowOff>
        </xdr:to>
        <xdr:sp macro="" textlink="">
          <xdr:nvSpPr>
            <xdr:cNvPr id="2346" name="Check Box 298" hidden="1">
              <a:extLst>
                <a:ext uri="{63B3BB69-23CF-44E3-9099-C40C66FF867C}">
                  <a14:compatExt spid="_x0000_s2346"/>
                </a:ext>
                <a:ext uri="{FF2B5EF4-FFF2-40B4-BE49-F238E27FC236}">
                  <a16:creationId xmlns:a16="http://schemas.microsoft.com/office/drawing/2014/main" id="{00000000-0008-0000-0100-00002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254</xdr:row>
          <xdr:rowOff>198120</xdr:rowOff>
        </xdr:from>
        <xdr:to>
          <xdr:col>4</xdr:col>
          <xdr:colOff>518160</xdr:colOff>
          <xdr:row>254</xdr:row>
          <xdr:rowOff>533400</xdr:rowOff>
        </xdr:to>
        <xdr:sp macro="" textlink="">
          <xdr:nvSpPr>
            <xdr:cNvPr id="2347" name="Check Box 299" hidden="1">
              <a:extLst>
                <a:ext uri="{63B3BB69-23CF-44E3-9099-C40C66FF867C}">
                  <a14:compatExt spid="_x0000_s2347"/>
                </a:ext>
                <a:ext uri="{FF2B5EF4-FFF2-40B4-BE49-F238E27FC236}">
                  <a16:creationId xmlns:a16="http://schemas.microsoft.com/office/drawing/2014/main" id="{00000000-0008-0000-0100-00002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254</xdr:row>
          <xdr:rowOff>198120</xdr:rowOff>
        </xdr:from>
        <xdr:to>
          <xdr:col>4</xdr:col>
          <xdr:colOff>518160</xdr:colOff>
          <xdr:row>254</xdr:row>
          <xdr:rowOff>533400</xdr:rowOff>
        </xdr:to>
        <xdr:sp macro="" textlink="">
          <xdr:nvSpPr>
            <xdr:cNvPr id="2348" name="Check Box 300" hidden="1">
              <a:extLst>
                <a:ext uri="{63B3BB69-23CF-44E3-9099-C40C66FF867C}">
                  <a14:compatExt spid="_x0000_s2348"/>
                </a:ext>
                <a:ext uri="{FF2B5EF4-FFF2-40B4-BE49-F238E27FC236}">
                  <a16:creationId xmlns:a16="http://schemas.microsoft.com/office/drawing/2014/main" id="{00000000-0008-0000-0100-00002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255</xdr:row>
          <xdr:rowOff>198120</xdr:rowOff>
        </xdr:from>
        <xdr:to>
          <xdr:col>4</xdr:col>
          <xdr:colOff>518160</xdr:colOff>
          <xdr:row>255</xdr:row>
          <xdr:rowOff>533400</xdr:rowOff>
        </xdr:to>
        <xdr:sp macro="" textlink="">
          <xdr:nvSpPr>
            <xdr:cNvPr id="2349" name="Check Box 301" hidden="1">
              <a:extLst>
                <a:ext uri="{63B3BB69-23CF-44E3-9099-C40C66FF867C}">
                  <a14:compatExt spid="_x0000_s2349"/>
                </a:ext>
                <a:ext uri="{FF2B5EF4-FFF2-40B4-BE49-F238E27FC236}">
                  <a16:creationId xmlns:a16="http://schemas.microsoft.com/office/drawing/2014/main" id="{00000000-0008-0000-0100-00002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257</xdr:row>
          <xdr:rowOff>198120</xdr:rowOff>
        </xdr:from>
        <xdr:to>
          <xdr:col>4</xdr:col>
          <xdr:colOff>518160</xdr:colOff>
          <xdr:row>257</xdr:row>
          <xdr:rowOff>533400</xdr:rowOff>
        </xdr:to>
        <xdr:sp macro="" textlink="">
          <xdr:nvSpPr>
            <xdr:cNvPr id="2350" name="Check Box 302" hidden="1">
              <a:extLst>
                <a:ext uri="{63B3BB69-23CF-44E3-9099-C40C66FF867C}">
                  <a14:compatExt spid="_x0000_s2350"/>
                </a:ext>
                <a:ext uri="{FF2B5EF4-FFF2-40B4-BE49-F238E27FC236}">
                  <a16:creationId xmlns:a16="http://schemas.microsoft.com/office/drawing/2014/main" id="{00000000-0008-0000-0100-00002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257</xdr:row>
          <xdr:rowOff>198120</xdr:rowOff>
        </xdr:from>
        <xdr:to>
          <xdr:col>4</xdr:col>
          <xdr:colOff>518160</xdr:colOff>
          <xdr:row>257</xdr:row>
          <xdr:rowOff>533400</xdr:rowOff>
        </xdr:to>
        <xdr:sp macro="" textlink="">
          <xdr:nvSpPr>
            <xdr:cNvPr id="2351" name="Check Box 303" hidden="1">
              <a:extLst>
                <a:ext uri="{63B3BB69-23CF-44E3-9099-C40C66FF867C}">
                  <a14:compatExt spid="_x0000_s2351"/>
                </a:ext>
                <a:ext uri="{FF2B5EF4-FFF2-40B4-BE49-F238E27FC236}">
                  <a16:creationId xmlns:a16="http://schemas.microsoft.com/office/drawing/2014/main" id="{00000000-0008-0000-0100-00002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258</xdr:row>
          <xdr:rowOff>198120</xdr:rowOff>
        </xdr:from>
        <xdr:to>
          <xdr:col>4</xdr:col>
          <xdr:colOff>518160</xdr:colOff>
          <xdr:row>258</xdr:row>
          <xdr:rowOff>533400</xdr:rowOff>
        </xdr:to>
        <xdr:sp macro="" textlink="">
          <xdr:nvSpPr>
            <xdr:cNvPr id="2352" name="Check Box 304" hidden="1">
              <a:extLst>
                <a:ext uri="{63B3BB69-23CF-44E3-9099-C40C66FF867C}">
                  <a14:compatExt spid="_x0000_s2352"/>
                </a:ext>
                <a:ext uri="{FF2B5EF4-FFF2-40B4-BE49-F238E27FC236}">
                  <a16:creationId xmlns:a16="http://schemas.microsoft.com/office/drawing/2014/main" id="{00000000-0008-0000-0100-00003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259</xdr:row>
          <xdr:rowOff>198120</xdr:rowOff>
        </xdr:from>
        <xdr:to>
          <xdr:col>4</xdr:col>
          <xdr:colOff>518160</xdr:colOff>
          <xdr:row>259</xdr:row>
          <xdr:rowOff>533400</xdr:rowOff>
        </xdr:to>
        <xdr:sp macro="" textlink="">
          <xdr:nvSpPr>
            <xdr:cNvPr id="2353" name="Check Box 305" hidden="1">
              <a:extLst>
                <a:ext uri="{63B3BB69-23CF-44E3-9099-C40C66FF867C}">
                  <a14:compatExt spid="_x0000_s2353"/>
                </a:ext>
                <a:ext uri="{FF2B5EF4-FFF2-40B4-BE49-F238E27FC236}">
                  <a16:creationId xmlns:a16="http://schemas.microsoft.com/office/drawing/2014/main" id="{00000000-0008-0000-0100-00003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259</xdr:row>
          <xdr:rowOff>198120</xdr:rowOff>
        </xdr:from>
        <xdr:to>
          <xdr:col>4</xdr:col>
          <xdr:colOff>518160</xdr:colOff>
          <xdr:row>259</xdr:row>
          <xdr:rowOff>533400</xdr:rowOff>
        </xdr:to>
        <xdr:sp macro="" textlink="">
          <xdr:nvSpPr>
            <xdr:cNvPr id="2354" name="Check Box 306" hidden="1">
              <a:extLst>
                <a:ext uri="{63B3BB69-23CF-44E3-9099-C40C66FF867C}">
                  <a14:compatExt spid="_x0000_s2354"/>
                </a:ext>
                <a:ext uri="{FF2B5EF4-FFF2-40B4-BE49-F238E27FC236}">
                  <a16:creationId xmlns:a16="http://schemas.microsoft.com/office/drawing/2014/main" id="{00000000-0008-0000-0100-00003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260</xdr:row>
          <xdr:rowOff>198120</xdr:rowOff>
        </xdr:from>
        <xdr:to>
          <xdr:col>4</xdr:col>
          <xdr:colOff>518160</xdr:colOff>
          <xdr:row>260</xdr:row>
          <xdr:rowOff>533400</xdr:rowOff>
        </xdr:to>
        <xdr:sp macro="" textlink="">
          <xdr:nvSpPr>
            <xdr:cNvPr id="2355" name="Check Box 307" hidden="1">
              <a:extLst>
                <a:ext uri="{63B3BB69-23CF-44E3-9099-C40C66FF867C}">
                  <a14:compatExt spid="_x0000_s2355"/>
                </a:ext>
                <a:ext uri="{FF2B5EF4-FFF2-40B4-BE49-F238E27FC236}">
                  <a16:creationId xmlns:a16="http://schemas.microsoft.com/office/drawing/2014/main" id="{00000000-0008-0000-0100-00003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261</xdr:row>
          <xdr:rowOff>198120</xdr:rowOff>
        </xdr:from>
        <xdr:to>
          <xdr:col>4</xdr:col>
          <xdr:colOff>518160</xdr:colOff>
          <xdr:row>261</xdr:row>
          <xdr:rowOff>533400</xdr:rowOff>
        </xdr:to>
        <xdr:sp macro="" textlink="">
          <xdr:nvSpPr>
            <xdr:cNvPr id="2356" name="Check Box 308" hidden="1">
              <a:extLst>
                <a:ext uri="{63B3BB69-23CF-44E3-9099-C40C66FF867C}">
                  <a14:compatExt spid="_x0000_s2356"/>
                </a:ext>
                <a:ext uri="{FF2B5EF4-FFF2-40B4-BE49-F238E27FC236}">
                  <a16:creationId xmlns:a16="http://schemas.microsoft.com/office/drawing/2014/main" id="{00000000-0008-0000-0100-00003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261</xdr:row>
          <xdr:rowOff>198120</xdr:rowOff>
        </xdr:from>
        <xdr:to>
          <xdr:col>4</xdr:col>
          <xdr:colOff>518160</xdr:colOff>
          <xdr:row>261</xdr:row>
          <xdr:rowOff>533400</xdr:rowOff>
        </xdr:to>
        <xdr:sp macro="" textlink="">
          <xdr:nvSpPr>
            <xdr:cNvPr id="2357" name="Check Box 309" hidden="1">
              <a:extLst>
                <a:ext uri="{63B3BB69-23CF-44E3-9099-C40C66FF867C}">
                  <a14:compatExt spid="_x0000_s2357"/>
                </a:ext>
                <a:ext uri="{FF2B5EF4-FFF2-40B4-BE49-F238E27FC236}">
                  <a16:creationId xmlns:a16="http://schemas.microsoft.com/office/drawing/2014/main" id="{00000000-0008-0000-0100-00003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263</xdr:row>
          <xdr:rowOff>198120</xdr:rowOff>
        </xdr:from>
        <xdr:to>
          <xdr:col>4</xdr:col>
          <xdr:colOff>518160</xdr:colOff>
          <xdr:row>263</xdr:row>
          <xdr:rowOff>533400</xdr:rowOff>
        </xdr:to>
        <xdr:sp macro="" textlink="">
          <xdr:nvSpPr>
            <xdr:cNvPr id="2358" name="Check Box 310" hidden="1">
              <a:extLst>
                <a:ext uri="{63B3BB69-23CF-44E3-9099-C40C66FF867C}">
                  <a14:compatExt spid="_x0000_s2358"/>
                </a:ext>
                <a:ext uri="{FF2B5EF4-FFF2-40B4-BE49-F238E27FC236}">
                  <a16:creationId xmlns:a16="http://schemas.microsoft.com/office/drawing/2014/main" id="{00000000-0008-0000-0100-00003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263</xdr:row>
          <xdr:rowOff>198120</xdr:rowOff>
        </xdr:from>
        <xdr:to>
          <xdr:col>4</xdr:col>
          <xdr:colOff>518160</xdr:colOff>
          <xdr:row>263</xdr:row>
          <xdr:rowOff>533400</xdr:rowOff>
        </xdr:to>
        <xdr:sp macro="" textlink="">
          <xdr:nvSpPr>
            <xdr:cNvPr id="2359" name="Check Box 311" hidden="1">
              <a:extLst>
                <a:ext uri="{63B3BB69-23CF-44E3-9099-C40C66FF867C}">
                  <a14:compatExt spid="_x0000_s2359"/>
                </a:ext>
                <a:ext uri="{FF2B5EF4-FFF2-40B4-BE49-F238E27FC236}">
                  <a16:creationId xmlns:a16="http://schemas.microsoft.com/office/drawing/2014/main" id="{00000000-0008-0000-0100-00003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264</xdr:row>
          <xdr:rowOff>198120</xdr:rowOff>
        </xdr:from>
        <xdr:to>
          <xdr:col>4</xdr:col>
          <xdr:colOff>518160</xdr:colOff>
          <xdr:row>264</xdr:row>
          <xdr:rowOff>533400</xdr:rowOff>
        </xdr:to>
        <xdr:sp macro="" textlink="">
          <xdr:nvSpPr>
            <xdr:cNvPr id="2360" name="Check Box 312" hidden="1">
              <a:extLst>
                <a:ext uri="{63B3BB69-23CF-44E3-9099-C40C66FF867C}">
                  <a14:compatExt spid="_x0000_s2360"/>
                </a:ext>
                <a:ext uri="{FF2B5EF4-FFF2-40B4-BE49-F238E27FC236}">
                  <a16:creationId xmlns:a16="http://schemas.microsoft.com/office/drawing/2014/main" id="{00000000-0008-0000-0100-00003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265</xdr:row>
          <xdr:rowOff>198120</xdr:rowOff>
        </xdr:from>
        <xdr:to>
          <xdr:col>4</xdr:col>
          <xdr:colOff>518160</xdr:colOff>
          <xdr:row>265</xdr:row>
          <xdr:rowOff>533400</xdr:rowOff>
        </xdr:to>
        <xdr:sp macro="" textlink="">
          <xdr:nvSpPr>
            <xdr:cNvPr id="2361" name="Check Box 313" hidden="1">
              <a:extLst>
                <a:ext uri="{63B3BB69-23CF-44E3-9099-C40C66FF867C}">
                  <a14:compatExt spid="_x0000_s2361"/>
                </a:ext>
                <a:ext uri="{FF2B5EF4-FFF2-40B4-BE49-F238E27FC236}">
                  <a16:creationId xmlns:a16="http://schemas.microsoft.com/office/drawing/2014/main" id="{00000000-0008-0000-0100-00003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265</xdr:row>
          <xdr:rowOff>198120</xdr:rowOff>
        </xdr:from>
        <xdr:to>
          <xdr:col>4</xdr:col>
          <xdr:colOff>518160</xdr:colOff>
          <xdr:row>265</xdr:row>
          <xdr:rowOff>533400</xdr:rowOff>
        </xdr:to>
        <xdr:sp macro="" textlink="">
          <xdr:nvSpPr>
            <xdr:cNvPr id="2362" name="Check Box 314" hidden="1">
              <a:extLst>
                <a:ext uri="{63B3BB69-23CF-44E3-9099-C40C66FF867C}">
                  <a14:compatExt spid="_x0000_s2362"/>
                </a:ext>
                <a:ext uri="{FF2B5EF4-FFF2-40B4-BE49-F238E27FC236}">
                  <a16:creationId xmlns:a16="http://schemas.microsoft.com/office/drawing/2014/main" id="{00000000-0008-0000-0100-00003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266</xdr:row>
          <xdr:rowOff>198120</xdr:rowOff>
        </xdr:from>
        <xdr:to>
          <xdr:col>4</xdr:col>
          <xdr:colOff>518160</xdr:colOff>
          <xdr:row>266</xdr:row>
          <xdr:rowOff>533400</xdr:rowOff>
        </xdr:to>
        <xdr:sp macro="" textlink="">
          <xdr:nvSpPr>
            <xdr:cNvPr id="2363" name="Check Box 315" hidden="1">
              <a:extLst>
                <a:ext uri="{63B3BB69-23CF-44E3-9099-C40C66FF867C}">
                  <a14:compatExt spid="_x0000_s2363"/>
                </a:ext>
                <a:ext uri="{FF2B5EF4-FFF2-40B4-BE49-F238E27FC236}">
                  <a16:creationId xmlns:a16="http://schemas.microsoft.com/office/drawing/2014/main" id="{00000000-0008-0000-0100-00003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267</xdr:row>
          <xdr:rowOff>198120</xdr:rowOff>
        </xdr:from>
        <xdr:to>
          <xdr:col>4</xdr:col>
          <xdr:colOff>518160</xdr:colOff>
          <xdr:row>267</xdr:row>
          <xdr:rowOff>533400</xdr:rowOff>
        </xdr:to>
        <xdr:sp macro="" textlink="">
          <xdr:nvSpPr>
            <xdr:cNvPr id="2364" name="Check Box 316" hidden="1">
              <a:extLst>
                <a:ext uri="{63B3BB69-23CF-44E3-9099-C40C66FF867C}">
                  <a14:compatExt spid="_x0000_s2364"/>
                </a:ext>
                <a:ext uri="{FF2B5EF4-FFF2-40B4-BE49-F238E27FC236}">
                  <a16:creationId xmlns:a16="http://schemas.microsoft.com/office/drawing/2014/main" id="{00000000-0008-0000-0100-00003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267</xdr:row>
          <xdr:rowOff>198120</xdr:rowOff>
        </xdr:from>
        <xdr:to>
          <xdr:col>4</xdr:col>
          <xdr:colOff>518160</xdr:colOff>
          <xdr:row>267</xdr:row>
          <xdr:rowOff>533400</xdr:rowOff>
        </xdr:to>
        <xdr:sp macro="" textlink="">
          <xdr:nvSpPr>
            <xdr:cNvPr id="2365" name="Check Box 317" hidden="1">
              <a:extLst>
                <a:ext uri="{63B3BB69-23CF-44E3-9099-C40C66FF867C}">
                  <a14:compatExt spid="_x0000_s2365"/>
                </a:ext>
                <a:ext uri="{FF2B5EF4-FFF2-40B4-BE49-F238E27FC236}">
                  <a16:creationId xmlns:a16="http://schemas.microsoft.com/office/drawing/2014/main" id="{00000000-0008-0000-0100-00003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269</xdr:row>
          <xdr:rowOff>198120</xdr:rowOff>
        </xdr:from>
        <xdr:to>
          <xdr:col>4</xdr:col>
          <xdr:colOff>518160</xdr:colOff>
          <xdr:row>269</xdr:row>
          <xdr:rowOff>533400</xdr:rowOff>
        </xdr:to>
        <xdr:sp macro="" textlink="">
          <xdr:nvSpPr>
            <xdr:cNvPr id="2366" name="Check Box 318" hidden="1">
              <a:extLst>
                <a:ext uri="{63B3BB69-23CF-44E3-9099-C40C66FF867C}">
                  <a14:compatExt spid="_x0000_s2366"/>
                </a:ext>
                <a:ext uri="{FF2B5EF4-FFF2-40B4-BE49-F238E27FC236}">
                  <a16:creationId xmlns:a16="http://schemas.microsoft.com/office/drawing/2014/main" id="{00000000-0008-0000-0100-00003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269</xdr:row>
          <xdr:rowOff>198120</xdr:rowOff>
        </xdr:from>
        <xdr:to>
          <xdr:col>4</xdr:col>
          <xdr:colOff>518160</xdr:colOff>
          <xdr:row>269</xdr:row>
          <xdr:rowOff>533400</xdr:rowOff>
        </xdr:to>
        <xdr:sp macro="" textlink="">
          <xdr:nvSpPr>
            <xdr:cNvPr id="2367" name="Check Box 319" hidden="1">
              <a:extLst>
                <a:ext uri="{63B3BB69-23CF-44E3-9099-C40C66FF867C}">
                  <a14:compatExt spid="_x0000_s2367"/>
                </a:ext>
                <a:ext uri="{FF2B5EF4-FFF2-40B4-BE49-F238E27FC236}">
                  <a16:creationId xmlns:a16="http://schemas.microsoft.com/office/drawing/2014/main" id="{00000000-0008-0000-0100-00003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270</xdr:row>
          <xdr:rowOff>198120</xdr:rowOff>
        </xdr:from>
        <xdr:to>
          <xdr:col>4</xdr:col>
          <xdr:colOff>518160</xdr:colOff>
          <xdr:row>270</xdr:row>
          <xdr:rowOff>533400</xdr:rowOff>
        </xdr:to>
        <xdr:sp macro="" textlink="">
          <xdr:nvSpPr>
            <xdr:cNvPr id="2368" name="Check Box 320" hidden="1">
              <a:extLst>
                <a:ext uri="{63B3BB69-23CF-44E3-9099-C40C66FF867C}">
                  <a14:compatExt spid="_x0000_s2368"/>
                </a:ext>
                <a:ext uri="{FF2B5EF4-FFF2-40B4-BE49-F238E27FC236}">
                  <a16:creationId xmlns:a16="http://schemas.microsoft.com/office/drawing/2014/main" id="{00000000-0008-0000-0100-00004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271</xdr:row>
          <xdr:rowOff>198120</xdr:rowOff>
        </xdr:from>
        <xdr:to>
          <xdr:col>4</xdr:col>
          <xdr:colOff>518160</xdr:colOff>
          <xdr:row>271</xdr:row>
          <xdr:rowOff>533400</xdr:rowOff>
        </xdr:to>
        <xdr:sp macro="" textlink="">
          <xdr:nvSpPr>
            <xdr:cNvPr id="2369" name="Check Box 321" hidden="1">
              <a:extLst>
                <a:ext uri="{63B3BB69-23CF-44E3-9099-C40C66FF867C}">
                  <a14:compatExt spid="_x0000_s2369"/>
                </a:ext>
                <a:ext uri="{FF2B5EF4-FFF2-40B4-BE49-F238E27FC236}">
                  <a16:creationId xmlns:a16="http://schemas.microsoft.com/office/drawing/2014/main" id="{00000000-0008-0000-0100-00004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271</xdr:row>
          <xdr:rowOff>198120</xdr:rowOff>
        </xdr:from>
        <xdr:to>
          <xdr:col>4</xdr:col>
          <xdr:colOff>518160</xdr:colOff>
          <xdr:row>271</xdr:row>
          <xdr:rowOff>533400</xdr:rowOff>
        </xdr:to>
        <xdr:sp macro="" textlink="">
          <xdr:nvSpPr>
            <xdr:cNvPr id="2370" name="Check Box 322" hidden="1">
              <a:extLst>
                <a:ext uri="{63B3BB69-23CF-44E3-9099-C40C66FF867C}">
                  <a14:compatExt spid="_x0000_s2370"/>
                </a:ext>
                <a:ext uri="{FF2B5EF4-FFF2-40B4-BE49-F238E27FC236}">
                  <a16:creationId xmlns:a16="http://schemas.microsoft.com/office/drawing/2014/main" id="{00000000-0008-0000-0100-00004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272</xdr:row>
          <xdr:rowOff>198120</xdr:rowOff>
        </xdr:from>
        <xdr:to>
          <xdr:col>4</xdr:col>
          <xdr:colOff>518160</xdr:colOff>
          <xdr:row>272</xdr:row>
          <xdr:rowOff>533400</xdr:rowOff>
        </xdr:to>
        <xdr:sp macro="" textlink="">
          <xdr:nvSpPr>
            <xdr:cNvPr id="2371" name="Check Box 323" hidden="1">
              <a:extLst>
                <a:ext uri="{63B3BB69-23CF-44E3-9099-C40C66FF867C}">
                  <a14:compatExt spid="_x0000_s2371"/>
                </a:ext>
                <a:ext uri="{FF2B5EF4-FFF2-40B4-BE49-F238E27FC236}">
                  <a16:creationId xmlns:a16="http://schemas.microsoft.com/office/drawing/2014/main" id="{00000000-0008-0000-0100-00004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273</xdr:row>
          <xdr:rowOff>198120</xdr:rowOff>
        </xdr:from>
        <xdr:to>
          <xdr:col>4</xdr:col>
          <xdr:colOff>518160</xdr:colOff>
          <xdr:row>273</xdr:row>
          <xdr:rowOff>533400</xdr:rowOff>
        </xdr:to>
        <xdr:sp macro="" textlink="">
          <xdr:nvSpPr>
            <xdr:cNvPr id="2372" name="Check Box 324" hidden="1">
              <a:extLst>
                <a:ext uri="{63B3BB69-23CF-44E3-9099-C40C66FF867C}">
                  <a14:compatExt spid="_x0000_s2372"/>
                </a:ext>
                <a:ext uri="{FF2B5EF4-FFF2-40B4-BE49-F238E27FC236}">
                  <a16:creationId xmlns:a16="http://schemas.microsoft.com/office/drawing/2014/main" id="{00000000-0008-0000-0100-00004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273</xdr:row>
          <xdr:rowOff>198120</xdr:rowOff>
        </xdr:from>
        <xdr:to>
          <xdr:col>4</xdr:col>
          <xdr:colOff>518160</xdr:colOff>
          <xdr:row>273</xdr:row>
          <xdr:rowOff>533400</xdr:rowOff>
        </xdr:to>
        <xdr:sp macro="" textlink="">
          <xdr:nvSpPr>
            <xdr:cNvPr id="2373" name="Check Box 325" hidden="1">
              <a:extLst>
                <a:ext uri="{63B3BB69-23CF-44E3-9099-C40C66FF867C}">
                  <a14:compatExt spid="_x0000_s2373"/>
                </a:ext>
                <a:ext uri="{FF2B5EF4-FFF2-40B4-BE49-F238E27FC236}">
                  <a16:creationId xmlns:a16="http://schemas.microsoft.com/office/drawing/2014/main" id="{00000000-0008-0000-0100-00004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275</xdr:row>
          <xdr:rowOff>198120</xdr:rowOff>
        </xdr:from>
        <xdr:to>
          <xdr:col>4</xdr:col>
          <xdr:colOff>518160</xdr:colOff>
          <xdr:row>275</xdr:row>
          <xdr:rowOff>533400</xdr:rowOff>
        </xdr:to>
        <xdr:sp macro="" textlink="">
          <xdr:nvSpPr>
            <xdr:cNvPr id="2374" name="Check Box 326" hidden="1">
              <a:extLst>
                <a:ext uri="{63B3BB69-23CF-44E3-9099-C40C66FF867C}">
                  <a14:compatExt spid="_x0000_s2374"/>
                </a:ext>
                <a:ext uri="{FF2B5EF4-FFF2-40B4-BE49-F238E27FC236}">
                  <a16:creationId xmlns:a16="http://schemas.microsoft.com/office/drawing/2014/main" id="{00000000-0008-0000-0100-00004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275</xdr:row>
          <xdr:rowOff>198120</xdr:rowOff>
        </xdr:from>
        <xdr:to>
          <xdr:col>4</xdr:col>
          <xdr:colOff>518160</xdr:colOff>
          <xdr:row>275</xdr:row>
          <xdr:rowOff>533400</xdr:rowOff>
        </xdr:to>
        <xdr:sp macro="" textlink="">
          <xdr:nvSpPr>
            <xdr:cNvPr id="2375" name="Check Box 327" hidden="1">
              <a:extLst>
                <a:ext uri="{63B3BB69-23CF-44E3-9099-C40C66FF867C}">
                  <a14:compatExt spid="_x0000_s2375"/>
                </a:ext>
                <a:ext uri="{FF2B5EF4-FFF2-40B4-BE49-F238E27FC236}">
                  <a16:creationId xmlns:a16="http://schemas.microsoft.com/office/drawing/2014/main" id="{00000000-0008-0000-0100-00004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276</xdr:row>
          <xdr:rowOff>198120</xdr:rowOff>
        </xdr:from>
        <xdr:to>
          <xdr:col>4</xdr:col>
          <xdr:colOff>518160</xdr:colOff>
          <xdr:row>276</xdr:row>
          <xdr:rowOff>533400</xdr:rowOff>
        </xdr:to>
        <xdr:sp macro="" textlink="">
          <xdr:nvSpPr>
            <xdr:cNvPr id="2376" name="Check Box 328" hidden="1">
              <a:extLst>
                <a:ext uri="{63B3BB69-23CF-44E3-9099-C40C66FF867C}">
                  <a14:compatExt spid="_x0000_s2376"/>
                </a:ext>
                <a:ext uri="{FF2B5EF4-FFF2-40B4-BE49-F238E27FC236}">
                  <a16:creationId xmlns:a16="http://schemas.microsoft.com/office/drawing/2014/main" id="{00000000-0008-0000-0100-00004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277</xdr:row>
          <xdr:rowOff>198120</xdr:rowOff>
        </xdr:from>
        <xdr:to>
          <xdr:col>4</xdr:col>
          <xdr:colOff>518160</xdr:colOff>
          <xdr:row>277</xdr:row>
          <xdr:rowOff>533400</xdr:rowOff>
        </xdr:to>
        <xdr:sp macro="" textlink="">
          <xdr:nvSpPr>
            <xdr:cNvPr id="2377" name="Check Box 329" hidden="1">
              <a:extLst>
                <a:ext uri="{63B3BB69-23CF-44E3-9099-C40C66FF867C}">
                  <a14:compatExt spid="_x0000_s2377"/>
                </a:ext>
                <a:ext uri="{FF2B5EF4-FFF2-40B4-BE49-F238E27FC236}">
                  <a16:creationId xmlns:a16="http://schemas.microsoft.com/office/drawing/2014/main" id="{00000000-0008-0000-0100-00004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277</xdr:row>
          <xdr:rowOff>198120</xdr:rowOff>
        </xdr:from>
        <xdr:to>
          <xdr:col>4</xdr:col>
          <xdr:colOff>518160</xdr:colOff>
          <xdr:row>277</xdr:row>
          <xdr:rowOff>533400</xdr:rowOff>
        </xdr:to>
        <xdr:sp macro="" textlink="">
          <xdr:nvSpPr>
            <xdr:cNvPr id="2378" name="Check Box 330" hidden="1">
              <a:extLst>
                <a:ext uri="{63B3BB69-23CF-44E3-9099-C40C66FF867C}">
                  <a14:compatExt spid="_x0000_s2378"/>
                </a:ext>
                <a:ext uri="{FF2B5EF4-FFF2-40B4-BE49-F238E27FC236}">
                  <a16:creationId xmlns:a16="http://schemas.microsoft.com/office/drawing/2014/main" id="{00000000-0008-0000-0100-00004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278</xdr:row>
          <xdr:rowOff>198120</xdr:rowOff>
        </xdr:from>
        <xdr:to>
          <xdr:col>4</xdr:col>
          <xdr:colOff>518160</xdr:colOff>
          <xdr:row>278</xdr:row>
          <xdr:rowOff>533400</xdr:rowOff>
        </xdr:to>
        <xdr:sp macro="" textlink="">
          <xdr:nvSpPr>
            <xdr:cNvPr id="2379" name="Check Box 331" hidden="1">
              <a:extLst>
                <a:ext uri="{63B3BB69-23CF-44E3-9099-C40C66FF867C}">
                  <a14:compatExt spid="_x0000_s2379"/>
                </a:ext>
                <a:ext uri="{FF2B5EF4-FFF2-40B4-BE49-F238E27FC236}">
                  <a16:creationId xmlns:a16="http://schemas.microsoft.com/office/drawing/2014/main" id="{00000000-0008-0000-0100-00004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279</xdr:row>
          <xdr:rowOff>198120</xdr:rowOff>
        </xdr:from>
        <xdr:to>
          <xdr:col>4</xdr:col>
          <xdr:colOff>518160</xdr:colOff>
          <xdr:row>279</xdr:row>
          <xdr:rowOff>533400</xdr:rowOff>
        </xdr:to>
        <xdr:sp macro="" textlink="">
          <xdr:nvSpPr>
            <xdr:cNvPr id="2380" name="Check Box 332" hidden="1">
              <a:extLst>
                <a:ext uri="{63B3BB69-23CF-44E3-9099-C40C66FF867C}">
                  <a14:compatExt spid="_x0000_s2380"/>
                </a:ext>
                <a:ext uri="{FF2B5EF4-FFF2-40B4-BE49-F238E27FC236}">
                  <a16:creationId xmlns:a16="http://schemas.microsoft.com/office/drawing/2014/main" id="{00000000-0008-0000-0100-00004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279</xdr:row>
          <xdr:rowOff>198120</xdr:rowOff>
        </xdr:from>
        <xdr:to>
          <xdr:col>4</xdr:col>
          <xdr:colOff>518160</xdr:colOff>
          <xdr:row>279</xdr:row>
          <xdr:rowOff>533400</xdr:rowOff>
        </xdr:to>
        <xdr:sp macro="" textlink="">
          <xdr:nvSpPr>
            <xdr:cNvPr id="2381" name="Check Box 333" hidden="1">
              <a:extLst>
                <a:ext uri="{63B3BB69-23CF-44E3-9099-C40C66FF867C}">
                  <a14:compatExt spid="_x0000_s2381"/>
                </a:ext>
                <a:ext uri="{FF2B5EF4-FFF2-40B4-BE49-F238E27FC236}">
                  <a16:creationId xmlns:a16="http://schemas.microsoft.com/office/drawing/2014/main" id="{00000000-0008-0000-0100-00004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280</xdr:row>
          <xdr:rowOff>198120</xdr:rowOff>
        </xdr:from>
        <xdr:to>
          <xdr:col>4</xdr:col>
          <xdr:colOff>518160</xdr:colOff>
          <xdr:row>280</xdr:row>
          <xdr:rowOff>533400</xdr:rowOff>
        </xdr:to>
        <xdr:sp macro="" textlink="">
          <xdr:nvSpPr>
            <xdr:cNvPr id="2382" name="Check Box 334" hidden="1">
              <a:extLst>
                <a:ext uri="{63B3BB69-23CF-44E3-9099-C40C66FF867C}">
                  <a14:compatExt spid="_x0000_s2382"/>
                </a:ext>
                <a:ext uri="{FF2B5EF4-FFF2-40B4-BE49-F238E27FC236}">
                  <a16:creationId xmlns:a16="http://schemas.microsoft.com/office/drawing/2014/main" id="{00000000-0008-0000-0100-00004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280</xdr:row>
          <xdr:rowOff>198120</xdr:rowOff>
        </xdr:from>
        <xdr:to>
          <xdr:col>4</xdr:col>
          <xdr:colOff>518160</xdr:colOff>
          <xdr:row>280</xdr:row>
          <xdr:rowOff>533400</xdr:rowOff>
        </xdr:to>
        <xdr:sp macro="" textlink="">
          <xdr:nvSpPr>
            <xdr:cNvPr id="2383" name="Check Box 335" hidden="1">
              <a:extLst>
                <a:ext uri="{63B3BB69-23CF-44E3-9099-C40C66FF867C}">
                  <a14:compatExt spid="_x0000_s2383"/>
                </a:ext>
                <a:ext uri="{FF2B5EF4-FFF2-40B4-BE49-F238E27FC236}">
                  <a16:creationId xmlns:a16="http://schemas.microsoft.com/office/drawing/2014/main" id="{00000000-0008-0000-0100-00004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281</xdr:row>
          <xdr:rowOff>198120</xdr:rowOff>
        </xdr:from>
        <xdr:to>
          <xdr:col>4</xdr:col>
          <xdr:colOff>518160</xdr:colOff>
          <xdr:row>281</xdr:row>
          <xdr:rowOff>533400</xdr:rowOff>
        </xdr:to>
        <xdr:sp macro="" textlink="">
          <xdr:nvSpPr>
            <xdr:cNvPr id="2384" name="Check Box 336" hidden="1">
              <a:extLst>
                <a:ext uri="{63B3BB69-23CF-44E3-9099-C40C66FF867C}">
                  <a14:compatExt spid="_x0000_s2384"/>
                </a:ext>
                <a:ext uri="{FF2B5EF4-FFF2-40B4-BE49-F238E27FC236}">
                  <a16:creationId xmlns:a16="http://schemas.microsoft.com/office/drawing/2014/main" id="{00000000-0008-0000-0100-00005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282</xdr:row>
          <xdr:rowOff>198120</xdr:rowOff>
        </xdr:from>
        <xdr:to>
          <xdr:col>4</xdr:col>
          <xdr:colOff>518160</xdr:colOff>
          <xdr:row>282</xdr:row>
          <xdr:rowOff>533400</xdr:rowOff>
        </xdr:to>
        <xdr:sp macro="" textlink="">
          <xdr:nvSpPr>
            <xdr:cNvPr id="2385" name="Check Box 337" hidden="1">
              <a:extLst>
                <a:ext uri="{63B3BB69-23CF-44E3-9099-C40C66FF867C}">
                  <a14:compatExt spid="_x0000_s2385"/>
                </a:ext>
                <a:ext uri="{FF2B5EF4-FFF2-40B4-BE49-F238E27FC236}">
                  <a16:creationId xmlns:a16="http://schemas.microsoft.com/office/drawing/2014/main" id="{00000000-0008-0000-0100-00005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282</xdr:row>
          <xdr:rowOff>198120</xdr:rowOff>
        </xdr:from>
        <xdr:to>
          <xdr:col>4</xdr:col>
          <xdr:colOff>518160</xdr:colOff>
          <xdr:row>282</xdr:row>
          <xdr:rowOff>533400</xdr:rowOff>
        </xdr:to>
        <xdr:sp macro="" textlink="">
          <xdr:nvSpPr>
            <xdr:cNvPr id="2386" name="Check Box 338" hidden="1">
              <a:extLst>
                <a:ext uri="{63B3BB69-23CF-44E3-9099-C40C66FF867C}">
                  <a14:compatExt spid="_x0000_s2386"/>
                </a:ext>
                <a:ext uri="{FF2B5EF4-FFF2-40B4-BE49-F238E27FC236}">
                  <a16:creationId xmlns:a16="http://schemas.microsoft.com/office/drawing/2014/main" id="{00000000-0008-0000-0100-00005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283</xdr:row>
          <xdr:rowOff>198120</xdr:rowOff>
        </xdr:from>
        <xdr:to>
          <xdr:col>4</xdr:col>
          <xdr:colOff>518160</xdr:colOff>
          <xdr:row>283</xdr:row>
          <xdr:rowOff>533400</xdr:rowOff>
        </xdr:to>
        <xdr:sp macro="" textlink="">
          <xdr:nvSpPr>
            <xdr:cNvPr id="2387" name="Check Box 339" hidden="1">
              <a:extLst>
                <a:ext uri="{63B3BB69-23CF-44E3-9099-C40C66FF867C}">
                  <a14:compatExt spid="_x0000_s2387"/>
                </a:ext>
                <a:ext uri="{FF2B5EF4-FFF2-40B4-BE49-F238E27FC236}">
                  <a16:creationId xmlns:a16="http://schemas.microsoft.com/office/drawing/2014/main" id="{00000000-0008-0000-0100-00005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284</xdr:row>
          <xdr:rowOff>198120</xdr:rowOff>
        </xdr:from>
        <xdr:to>
          <xdr:col>4</xdr:col>
          <xdr:colOff>518160</xdr:colOff>
          <xdr:row>284</xdr:row>
          <xdr:rowOff>533400</xdr:rowOff>
        </xdr:to>
        <xdr:sp macro="" textlink="">
          <xdr:nvSpPr>
            <xdr:cNvPr id="2388" name="Check Box 340" hidden="1">
              <a:extLst>
                <a:ext uri="{63B3BB69-23CF-44E3-9099-C40C66FF867C}">
                  <a14:compatExt spid="_x0000_s2388"/>
                </a:ext>
                <a:ext uri="{FF2B5EF4-FFF2-40B4-BE49-F238E27FC236}">
                  <a16:creationId xmlns:a16="http://schemas.microsoft.com/office/drawing/2014/main" id="{00000000-0008-0000-0100-00005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284</xdr:row>
          <xdr:rowOff>198120</xdr:rowOff>
        </xdr:from>
        <xdr:to>
          <xdr:col>4</xdr:col>
          <xdr:colOff>518160</xdr:colOff>
          <xdr:row>284</xdr:row>
          <xdr:rowOff>533400</xdr:rowOff>
        </xdr:to>
        <xdr:sp macro="" textlink="">
          <xdr:nvSpPr>
            <xdr:cNvPr id="2389" name="Check Box 341" hidden="1">
              <a:extLst>
                <a:ext uri="{63B3BB69-23CF-44E3-9099-C40C66FF867C}">
                  <a14:compatExt spid="_x0000_s2389"/>
                </a:ext>
                <a:ext uri="{FF2B5EF4-FFF2-40B4-BE49-F238E27FC236}">
                  <a16:creationId xmlns:a16="http://schemas.microsoft.com/office/drawing/2014/main" id="{00000000-0008-0000-0100-00005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285</xdr:row>
          <xdr:rowOff>198120</xdr:rowOff>
        </xdr:from>
        <xdr:to>
          <xdr:col>4</xdr:col>
          <xdr:colOff>518160</xdr:colOff>
          <xdr:row>285</xdr:row>
          <xdr:rowOff>533400</xdr:rowOff>
        </xdr:to>
        <xdr:sp macro="" textlink="">
          <xdr:nvSpPr>
            <xdr:cNvPr id="2390" name="Check Box 342" hidden="1">
              <a:extLst>
                <a:ext uri="{63B3BB69-23CF-44E3-9099-C40C66FF867C}">
                  <a14:compatExt spid="_x0000_s2390"/>
                </a:ext>
                <a:ext uri="{FF2B5EF4-FFF2-40B4-BE49-F238E27FC236}">
                  <a16:creationId xmlns:a16="http://schemas.microsoft.com/office/drawing/2014/main" id="{00000000-0008-0000-0100-00005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285</xdr:row>
          <xdr:rowOff>198120</xdr:rowOff>
        </xdr:from>
        <xdr:to>
          <xdr:col>4</xdr:col>
          <xdr:colOff>518160</xdr:colOff>
          <xdr:row>285</xdr:row>
          <xdr:rowOff>533400</xdr:rowOff>
        </xdr:to>
        <xdr:sp macro="" textlink="">
          <xdr:nvSpPr>
            <xdr:cNvPr id="2391" name="Check Box 343" hidden="1">
              <a:extLst>
                <a:ext uri="{63B3BB69-23CF-44E3-9099-C40C66FF867C}">
                  <a14:compatExt spid="_x0000_s2391"/>
                </a:ext>
                <a:ext uri="{FF2B5EF4-FFF2-40B4-BE49-F238E27FC236}">
                  <a16:creationId xmlns:a16="http://schemas.microsoft.com/office/drawing/2014/main" id="{00000000-0008-0000-0100-00005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286</xdr:row>
          <xdr:rowOff>198120</xdr:rowOff>
        </xdr:from>
        <xdr:to>
          <xdr:col>4</xdr:col>
          <xdr:colOff>518160</xdr:colOff>
          <xdr:row>286</xdr:row>
          <xdr:rowOff>533400</xdr:rowOff>
        </xdr:to>
        <xdr:sp macro="" textlink="">
          <xdr:nvSpPr>
            <xdr:cNvPr id="2392" name="Check Box 344" hidden="1">
              <a:extLst>
                <a:ext uri="{63B3BB69-23CF-44E3-9099-C40C66FF867C}">
                  <a14:compatExt spid="_x0000_s2392"/>
                </a:ext>
                <a:ext uri="{FF2B5EF4-FFF2-40B4-BE49-F238E27FC236}">
                  <a16:creationId xmlns:a16="http://schemas.microsoft.com/office/drawing/2014/main" id="{00000000-0008-0000-0100-00005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286</xdr:row>
          <xdr:rowOff>198120</xdr:rowOff>
        </xdr:from>
        <xdr:to>
          <xdr:col>4</xdr:col>
          <xdr:colOff>518160</xdr:colOff>
          <xdr:row>286</xdr:row>
          <xdr:rowOff>533400</xdr:rowOff>
        </xdr:to>
        <xdr:sp macro="" textlink="">
          <xdr:nvSpPr>
            <xdr:cNvPr id="2393" name="Check Box 345" hidden="1">
              <a:extLst>
                <a:ext uri="{63B3BB69-23CF-44E3-9099-C40C66FF867C}">
                  <a14:compatExt spid="_x0000_s2393"/>
                </a:ext>
                <a:ext uri="{FF2B5EF4-FFF2-40B4-BE49-F238E27FC236}">
                  <a16:creationId xmlns:a16="http://schemas.microsoft.com/office/drawing/2014/main" id="{00000000-0008-0000-0100-00005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287</xdr:row>
          <xdr:rowOff>198120</xdr:rowOff>
        </xdr:from>
        <xdr:to>
          <xdr:col>4</xdr:col>
          <xdr:colOff>518160</xdr:colOff>
          <xdr:row>287</xdr:row>
          <xdr:rowOff>533400</xdr:rowOff>
        </xdr:to>
        <xdr:sp macro="" textlink="">
          <xdr:nvSpPr>
            <xdr:cNvPr id="2394" name="Check Box 346" hidden="1">
              <a:extLst>
                <a:ext uri="{63B3BB69-23CF-44E3-9099-C40C66FF867C}">
                  <a14:compatExt spid="_x0000_s2394"/>
                </a:ext>
                <a:ext uri="{FF2B5EF4-FFF2-40B4-BE49-F238E27FC236}">
                  <a16:creationId xmlns:a16="http://schemas.microsoft.com/office/drawing/2014/main" id="{00000000-0008-0000-0100-00005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287</xdr:row>
          <xdr:rowOff>198120</xdr:rowOff>
        </xdr:from>
        <xdr:to>
          <xdr:col>4</xdr:col>
          <xdr:colOff>518160</xdr:colOff>
          <xdr:row>287</xdr:row>
          <xdr:rowOff>533400</xdr:rowOff>
        </xdr:to>
        <xdr:sp macro="" textlink="">
          <xdr:nvSpPr>
            <xdr:cNvPr id="2395" name="Check Box 347" hidden="1">
              <a:extLst>
                <a:ext uri="{63B3BB69-23CF-44E3-9099-C40C66FF867C}">
                  <a14:compatExt spid="_x0000_s2395"/>
                </a:ext>
                <a:ext uri="{FF2B5EF4-FFF2-40B4-BE49-F238E27FC236}">
                  <a16:creationId xmlns:a16="http://schemas.microsoft.com/office/drawing/2014/main" id="{00000000-0008-0000-0100-00005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292</xdr:row>
          <xdr:rowOff>198120</xdr:rowOff>
        </xdr:from>
        <xdr:to>
          <xdr:col>4</xdr:col>
          <xdr:colOff>518160</xdr:colOff>
          <xdr:row>292</xdr:row>
          <xdr:rowOff>533400</xdr:rowOff>
        </xdr:to>
        <xdr:sp macro="" textlink="">
          <xdr:nvSpPr>
            <xdr:cNvPr id="2396" name="Check Box 348" hidden="1">
              <a:extLst>
                <a:ext uri="{63B3BB69-23CF-44E3-9099-C40C66FF867C}">
                  <a14:compatExt spid="_x0000_s2396"/>
                </a:ext>
                <a:ext uri="{FF2B5EF4-FFF2-40B4-BE49-F238E27FC236}">
                  <a16:creationId xmlns:a16="http://schemas.microsoft.com/office/drawing/2014/main" id="{00000000-0008-0000-0100-00005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292</xdr:row>
          <xdr:rowOff>198120</xdr:rowOff>
        </xdr:from>
        <xdr:to>
          <xdr:col>4</xdr:col>
          <xdr:colOff>518160</xdr:colOff>
          <xdr:row>292</xdr:row>
          <xdr:rowOff>533400</xdr:rowOff>
        </xdr:to>
        <xdr:sp macro="" textlink="">
          <xdr:nvSpPr>
            <xdr:cNvPr id="2397" name="Check Box 349" hidden="1">
              <a:extLst>
                <a:ext uri="{63B3BB69-23CF-44E3-9099-C40C66FF867C}">
                  <a14:compatExt spid="_x0000_s2397"/>
                </a:ext>
                <a:ext uri="{FF2B5EF4-FFF2-40B4-BE49-F238E27FC236}">
                  <a16:creationId xmlns:a16="http://schemas.microsoft.com/office/drawing/2014/main" id="{00000000-0008-0000-0100-00005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293</xdr:row>
          <xdr:rowOff>198120</xdr:rowOff>
        </xdr:from>
        <xdr:to>
          <xdr:col>4</xdr:col>
          <xdr:colOff>518160</xdr:colOff>
          <xdr:row>293</xdr:row>
          <xdr:rowOff>533400</xdr:rowOff>
        </xdr:to>
        <xdr:sp macro="" textlink="">
          <xdr:nvSpPr>
            <xdr:cNvPr id="2398" name="Check Box 350" hidden="1">
              <a:extLst>
                <a:ext uri="{63B3BB69-23CF-44E3-9099-C40C66FF867C}">
                  <a14:compatExt spid="_x0000_s2398"/>
                </a:ext>
                <a:ext uri="{FF2B5EF4-FFF2-40B4-BE49-F238E27FC236}">
                  <a16:creationId xmlns:a16="http://schemas.microsoft.com/office/drawing/2014/main" id="{00000000-0008-0000-0100-00005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293</xdr:row>
          <xdr:rowOff>198120</xdr:rowOff>
        </xdr:from>
        <xdr:to>
          <xdr:col>4</xdr:col>
          <xdr:colOff>518160</xdr:colOff>
          <xdr:row>293</xdr:row>
          <xdr:rowOff>533400</xdr:rowOff>
        </xdr:to>
        <xdr:sp macro="" textlink="">
          <xdr:nvSpPr>
            <xdr:cNvPr id="2399" name="Check Box 351" hidden="1">
              <a:extLst>
                <a:ext uri="{63B3BB69-23CF-44E3-9099-C40C66FF867C}">
                  <a14:compatExt spid="_x0000_s2399"/>
                </a:ext>
                <a:ext uri="{FF2B5EF4-FFF2-40B4-BE49-F238E27FC236}">
                  <a16:creationId xmlns:a16="http://schemas.microsoft.com/office/drawing/2014/main" id="{00000000-0008-0000-0100-00005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295</xdr:row>
          <xdr:rowOff>198120</xdr:rowOff>
        </xdr:from>
        <xdr:to>
          <xdr:col>4</xdr:col>
          <xdr:colOff>518160</xdr:colOff>
          <xdr:row>295</xdr:row>
          <xdr:rowOff>533400</xdr:rowOff>
        </xdr:to>
        <xdr:sp macro="" textlink="">
          <xdr:nvSpPr>
            <xdr:cNvPr id="2400" name="Check Box 352" hidden="1">
              <a:extLst>
                <a:ext uri="{63B3BB69-23CF-44E3-9099-C40C66FF867C}">
                  <a14:compatExt spid="_x0000_s2400"/>
                </a:ext>
                <a:ext uri="{FF2B5EF4-FFF2-40B4-BE49-F238E27FC236}">
                  <a16:creationId xmlns:a16="http://schemas.microsoft.com/office/drawing/2014/main" id="{00000000-0008-0000-0100-00006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295</xdr:row>
          <xdr:rowOff>198120</xdr:rowOff>
        </xdr:from>
        <xdr:to>
          <xdr:col>4</xdr:col>
          <xdr:colOff>518160</xdr:colOff>
          <xdr:row>295</xdr:row>
          <xdr:rowOff>533400</xdr:rowOff>
        </xdr:to>
        <xdr:sp macro="" textlink="">
          <xdr:nvSpPr>
            <xdr:cNvPr id="2401" name="Check Box 353" hidden="1">
              <a:extLst>
                <a:ext uri="{63B3BB69-23CF-44E3-9099-C40C66FF867C}">
                  <a14:compatExt spid="_x0000_s2401"/>
                </a:ext>
                <a:ext uri="{FF2B5EF4-FFF2-40B4-BE49-F238E27FC236}">
                  <a16:creationId xmlns:a16="http://schemas.microsoft.com/office/drawing/2014/main" id="{00000000-0008-0000-0100-00006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296</xdr:row>
          <xdr:rowOff>198120</xdr:rowOff>
        </xdr:from>
        <xdr:to>
          <xdr:col>4</xdr:col>
          <xdr:colOff>518160</xdr:colOff>
          <xdr:row>296</xdr:row>
          <xdr:rowOff>533400</xdr:rowOff>
        </xdr:to>
        <xdr:sp macro="" textlink="">
          <xdr:nvSpPr>
            <xdr:cNvPr id="2402" name="Check Box 354" hidden="1">
              <a:extLst>
                <a:ext uri="{63B3BB69-23CF-44E3-9099-C40C66FF867C}">
                  <a14:compatExt spid="_x0000_s2402"/>
                </a:ext>
                <a:ext uri="{FF2B5EF4-FFF2-40B4-BE49-F238E27FC236}">
                  <a16:creationId xmlns:a16="http://schemas.microsoft.com/office/drawing/2014/main" id="{00000000-0008-0000-0100-00006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296</xdr:row>
          <xdr:rowOff>198120</xdr:rowOff>
        </xdr:from>
        <xdr:to>
          <xdr:col>4</xdr:col>
          <xdr:colOff>518160</xdr:colOff>
          <xdr:row>296</xdr:row>
          <xdr:rowOff>533400</xdr:rowOff>
        </xdr:to>
        <xdr:sp macro="" textlink="">
          <xdr:nvSpPr>
            <xdr:cNvPr id="2403" name="Check Box 355" hidden="1">
              <a:extLst>
                <a:ext uri="{63B3BB69-23CF-44E3-9099-C40C66FF867C}">
                  <a14:compatExt spid="_x0000_s2403"/>
                </a:ext>
                <a:ext uri="{FF2B5EF4-FFF2-40B4-BE49-F238E27FC236}">
                  <a16:creationId xmlns:a16="http://schemas.microsoft.com/office/drawing/2014/main" id="{00000000-0008-0000-0100-00006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298</xdr:row>
          <xdr:rowOff>198120</xdr:rowOff>
        </xdr:from>
        <xdr:to>
          <xdr:col>4</xdr:col>
          <xdr:colOff>518160</xdr:colOff>
          <xdr:row>298</xdr:row>
          <xdr:rowOff>533400</xdr:rowOff>
        </xdr:to>
        <xdr:sp macro="" textlink="">
          <xdr:nvSpPr>
            <xdr:cNvPr id="2404" name="Check Box 356" hidden="1">
              <a:extLst>
                <a:ext uri="{63B3BB69-23CF-44E3-9099-C40C66FF867C}">
                  <a14:compatExt spid="_x0000_s2404"/>
                </a:ext>
                <a:ext uri="{FF2B5EF4-FFF2-40B4-BE49-F238E27FC236}">
                  <a16:creationId xmlns:a16="http://schemas.microsoft.com/office/drawing/2014/main" id="{00000000-0008-0000-0100-00006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298</xdr:row>
          <xdr:rowOff>198120</xdr:rowOff>
        </xdr:from>
        <xdr:to>
          <xdr:col>4</xdr:col>
          <xdr:colOff>518160</xdr:colOff>
          <xdr:row>298</xdr:row>
          <xdr:rowOff>533400</xdr:rowOff>
        </xdr:to>
        <xdr:sp macro="" textlink="">
          <xdr:nvSpPr>
            <xdr:cNvPr id="2405" name="Check Box 357" hidden="1">
              <a:extLst>
                <a:ext uri="{63B3BB69-23CF-44E3-9099-C40C66FF867C}">
                  <a14:compatExt spid="_x0000_s2405"/>
                </a:ext>
                <a:ext uri="{FF2B5EF4-FFF2-40B4-BE49-F238E27FC236}">
                  <a16:creationId xmlns:a16="http://schemas.microsoft.com/office/drawing/2014/main" id="{00000000-0008-0000-0100-00006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299</xdr:row>
          <xdr:rowOff>198120</xdr:rowOff>
        </xdr:from>
        <xdr:to>
          <xdr:col>4</xdr:col>
          <xdr:colOff>518160</xdr:colOff>
          <xdr:row>299</xdr:row>
          <xdr:rowOff>533400</xdr:rowOff>
        </xdr:to>
        <xdr:sp macro="" textlink="">
          <xdr:nvSpPr>
            <xdr:cNvPr id="2406" name="Check Box 358" hidden="1">
              <a:extLst>
                <a:ext uri="{63B3BB69-23CF-44E3-9099-C40C66FF867C}">
                  <a14:compatExt spid="_x0000_s2406"/>
                </a:ext>
                <a:ext uri="{FF2B5EF4-FFF2-40B4-BE49-F238E27FC236}">
                  <a16:creationId xmlns:a16="http://schemas.microsoft.com/office/drawing/2014/main" id="{00000000-0008-0000-0100-00006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299</xdr:row>
          <xdr:rowOff>198120</xdr:rowOff>
        </xdr:from>
        <xdr:to>
          <xdr:col>4</xdr:col>
          <xdr:colOff>518160</xdr:colOff>
          <xdr:row>299</xdr:row>
          <xdr:rowOff>533400</xdr:rowOff>
        </xdr:to>
        <xdr:sp macro="" textlink="">
          <xdr:nvSpPr>
            <xdr:cNvPr id="2407" name="Check Box 359" hidden="1">
              <a:extLst>
                <a:ext uri="{63B3BB69-23CF-44E3-9099-C40C66FF867C}">
                  <a14:compatExt spid="_x0000_s2407"/>
                </a:ext>
                <a:ext uri="{FF2B5EF4-FFF2-40B4-BE49-F238E27FC236}">
                  <a16:creationId xmlns:a16="http://schemas.microsoft.com/office/drawing/2014/main" id="{00000000-0008-0000-0100-00006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300</xdr:row>
          <xdr:rowOff>198120</xdr:rowOff>
        </xdr:from>
        <xdr:to>
          <xdr:col>4</xdr:col>
          <xdr:colOff>518160</xdr:colOff>
          <xdr:row>300</xdr:row>
          <xdr:rowOff>533400</xdr:rowOff>
        </xdr:to>
        <xdr:sp macro="" textlink="">
          <xdr:nvSpPr>
            <xdr:cNvPr id="2408" name="Check Box 360" hidden="1">
              <a:extLst>
                <a:ext uri="{63B3BB69-23CF-44E3-9099-C40C66FF867C}">
                  <a14:compatExt spid="_x0000_s2408"/>
                </a:ext>
                <a:ext uri="{FF2B5EF4-FFF2-40B4-BE49-F238E27FC236}">
                  <a16:creationId xmlns:a16="http://schemas.microsoft.com/office/drawing/2014/main" id="{00000000-0008-0000-0100-00006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300</xdr:row>
          <xdr:rowOff>198120</xdr:rowOff>
        </xdr:from>
        <xdr:to>
          <xdr:col>4</xdr:col>
          <xdr:colOff>518160</xdr:colOff>
          <xdr:row>300</xdr:row>
          <xdr:rowOff>533400</xdr:rowOff>
        </xdr:to>
        <xdr:sp macro="" textlink="">
          <xdr:nvSpPr>
            <xdr:cNvPr id="2409" name="Check Box 361" hidden="1">
              <a:extLst>
                <a:ext uri="{63B3BB69-23CF-44E3-9099-C40C66FF867C}">
                  <a14:compatExt spid="_x0000_s2409"/>
                </a:ext>
                <a:ext uri="{FF2B5EF4-FFF2-40B4-BE49-F238E27FC236}">
                  <a16:creationId xmlns:a16="http://schemas.microsoft.com/office/drawing/2014/main" id="{00000000-0008-0000-0100-00006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302</xdr:row>
          <xdr:rowOff>198120</xdr:rowOff>
        </xdr:from>
        <xdr:to>
          <xdr:col>4</xdr:col>
          <xdr:colOff>518160</xdr:colOff>
          <xdr:row>302</xdr:row>
          <xdr:rowOff>533400</xdr:rowOff>
        </xdr:to>
        <xdr:sp macro="" textlink="">
          <xdr:nvSpPr>
            <xdr:cNvPr id="2410" name="Check Box 362" hidden="1">
              <a:extLst>
                <a:ext uri="{63B3BB69-23CF-44E3-9099-C40C66FF867C}">
                  <a14:compatExt spid="_x0000_s2410"/>
                </a:ext>
                <a:ext uri="{FF2B5EF4-FFF2-40B4-BE49-F238E27FC236}">
                  <a16:creationId xmlns:a16="http://schemas.microsoft.com/office/drawing/2014/main" id="{00000000-0008-0000-0100-00006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302</xdr:row>
          <xdr:rowOff>198120</xdr:rowOff>
        </xdr:from>
        <xdr:to>
          <xdr:col>4</xdr:col>
          <xdr:colOff>518160</xdr:colOff>
          <xdr:row>302</xdr:row>
          <xdr:rowOff>533400</xdr:rowOff>
        </xdr:to>
        <xdr:sp macro="" textlink="">
          <xdr:nvSpPr>
            <xdr:cNvPr id="2411" name="Check Box 363" hidden="1">
              <a:extLst>
                <a:ext uri="{63B3BB69-23CF-44E3-9099-C40C66FF867C}">
                  <a14:compatExt spid="_x0000_s2411"/>
                </a:ext>
                <a:ext uri="{FF2B5EF4-FFF2-40B4-BE49-F238E27FC236}">
                  <a16:creationId xmlns:a16="http://schemas.microsoft.com/office/drawing/2014/main" id="{00000000-0008-0000-0100-00006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303</xdr:row>
          <xdr:rowOff>198120</xdr:rowOff>
        </xdr:from>
        <xdr:to>
          <xdr:col>4</xdr:col>
          <xdr:colOff>518160</xdr:colOff>
          <xdr:row>303</xdr:row>
          <xdr:rowOff>533400</xdr:rowOff>
        </xdr:to>
        <xdr:sp macro="" textlink="">
          <xdr:nvSpPr>
            <xdr:cNvPr id="2412" name="Check Box 364" hidden="1">
              <a:extLst>
                <a:ext uri="{63B3BB69-23CF-44E3-9099-C40C66FF867C}">
                  <a14:compatExt spid="_x0000_s2412"/>
                </a:ext>
                <a:ext uri="{FF2B5EF4-FFF2-40B4-BE49-F238E27FC236}">
                  <a16:creationId xmlns:a16="http://schemas.microsoft.com/office/drawing/2014/main" id="{00000000-0008-0000-0100-00006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303</xdr:row>
          <xdr:rowOff>198120</xdr:rowOff>
        </xdr:from>
        <xdr:to>
          <xdr:col>4</xdr:col>
          <xdr:colOff>518160</xdr:colOff>
          <xdr:row>303</xdr:row>
          <xdr:rowOff>533400</xdr:rowOff>
        </xdr:to>
        <xdr:sp macro="" textlink="">
          <xdr:nvSpPr>
            <xdr:cNvPr id="2413" name="Check Box 365" hidden="1">
              <a:extLst>
                <a:ext uri="{63B3BB69-23CF-44E3-9099-C40C66FF867C}">
                  <a14:compatExt spid="_x0000_s2413"/>
                </a:ext>
                <a:ext uri="{FF2B5EF4-FFF2-40B4-BE49-F238E27FC236}">
                  <a16:creationId xmlns:a16="http://schemas.microsoft.com/office/drawing/2014/main" id="{00000000-0008-0000-0100-00006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304</xdr:row>
          <xdr:rowOff>198120</xdr:rowOff>
        </xdr:from>
        <xdr:to>
          <xdr:col>4</xdr:col>
          <xdr:colOff>518160</xdr:colOff>
          <xdr:row>304</xdr:row>
          <xdr:rowOff>533400</xdr:rowOff>
        </xdr:to>
        <xdr:sp macro="" textlink="">
          <xdr:nvSpPr>
            <xdr:cNvPr id="2414" name="Check Box 366" hidden="1">
              <a:extLst>
                <a:ext uri="{63B3BB69-23CF-44E3-9099-C40C66FF867C}">
                  <a14:compatExt spid="_x0000_s2414"/>
                </a:ext>
                <a:ext uri="{FF2B5EF4-FFF2-40B4-BE49-F238E27FC236}">
                  <a16:creationId xmlns:a16="http://schemas.microsoft.com/office/drawing/2014/main" id="{00000000-0008-0000-0100-00006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304</xdr:row>
          <xdr:rowOff>198120</xdr:rowOff>
        </xdr:from>
        <xdr:to>
          <xdr:col>4</xdr:col>
          <xdr:colOff>518160</xdr:colOff>
          <xdr:row>304</xdr:row>
          <xdr:rowOff>533400</xdr:rowOff>
        </xdr:to>
        <xdr:sp macro="" textlink="">
          <xdr:nvSpPr>
            <xdr:cNvPr id="2415" name="Check Box 367" hidden="1">
              <a:extLst>
                <a:ext uri="{63B3BB69-23CF-44E3-9099-C40C66FF867C}">
                  <a14:compatExt spid="_x0000_s2415"/>
                </a:ext>
                <a:ext uri="{FF2B5EF4-FFF2-40B4-BE49-F238E27FC236}">
                  <a16:creationId xmlns:a16="http://schemas.microsoft.com/office/drawing/2014/main" id="{00000000-0008-0000-0100-00006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306</xdr:row>
          <xdr:rowOff>198120</xdr:rowOff>
        </xdr:from>
        <xdr:to>
          <xdr:col>4</xdr:col>
          <xdr:colOff>518160</xdr:colOff>
          <xdr:row>306</xdr:row>
          <xdr:rowOff>533400</xdr:rowOff>
        </xdr:to>
        <xdr:sp macro="" textlink="">
          <xdr:nvSpPr>
            <xdr:cNvPr id="2416" name="Check Box 368" hidden="1">
              <a:extLst>
                <a:ext uri="{63B3BB69-23CF-44E3-9099-C40C66FF867C}">
                  <a14:compatExt spid="_x0000_s2416"/>
                </a:ext>
                <a:ext uri="{FF2B5EF4-FFF2-40B4-BE49-F238E27FC236}">
                  <a16:creationId xmlns:a16="http://schemas.microsoft.com/office/drawing/2014/main" id="{00000000-0008-0000-0100-00007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306</xdr:row>
          <xdr:rowOff>198120</xdr:rowOff>
        </xdr:from>
        <xdr:to>
          <xdr:col>4</xdr:col>
          <xdr:colOff>518160</xdr:colOff>
          <xdr:row>306</xdr:row>
          <xdr:rowOff>533400</xdr:rowOff>
        </xdr:to>
        <xdr:sp macro="" textlink="">
          <xdr:nvSpPr>
            <xdr:cNvPr id="2417" name="Check Box 369" hidden="1">
              <a:extLst>
                <a:ext uri="{63B3BB69-23CF-44E3-9099-C40C66FF867C}">
                  <a14:compatExt spid="_x0000_s2417"/>
                </a:ext>
                <a:ext uri="{FF2B5EF4-FFF2-40B4-BE49-F238E27FC236}">
                  <a16:creationId xmlns:a16="http://schemas.microsoft.com/office/drawing/2014/main" id="{00000000-0008-0000-0100-00007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307</xdr:row>
          <xdr:rowOff>198120</xdr:rowOff>
        </xdr:from>
        <xdr:to>
          <xdr:col>4</xdr:col>
          <xdr:colOff>518160</xdr:colOff>
          <xdr:row>307</xdr:row>
          <xdr:rowOff>533400</xdr:rowOff>
        </xdr:to>
        <xdr:sp macro="" textlink="">
          <xdr:nvSpPr>
            <xdr:cNvPr id="2418" name="Check Box 370" hidden="1">
              <a:extLst>
                <a:ext uri="{63B3BB69-23CF-44E3-9099-C40C66FF867C}">
                  <a14:compatExt spid="_x0000_s2418"/>
                </a:ext>
                <a:ext uri="{FF2B5EF4-FFF2-40B4-BE49-F238E27FC236}">
                  <a16:creationId xmlns:a16="http://schemas.microsoft.com/office/drawing/2014/main" id="{00000000-0008-0000-0100-00007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307</xdr:row>
          <xdr:rowOff>198120</xdr:rowOff>
        </xdr:from>
        <xdr:to>
          <xdr:col>4</xdr:col>
          <xdr:colOff>518160</xdr:colOff>
          <xdr:row>307</xdr:row>
          <xdr:rowOff>533400</xdr:rowOff>
        </xdr:to>
        <xdr:sp macro="" textlink="">
          <xdr:nvSpPr>
            <xdr:cNvPr id="2419" name="Check Box 371" hidden="1">
              <a:extLst>
                <a:ext uri="{63B3BB69-23CF-44E3-9099-C40C66FF867C}">
                  <a14:compatExt spid="_x0000_s2419"/>
                </a:ext>
                <a:ext uri="{FF2B5EF4-FFF2-40B4-BE49-F238E27FC236}">
                  <a16:creationId xmlns:a16="http://schemas.microsoft.com/office/drawing/2014/main" id="{00000000-0008-0000-0100-00007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309</xdr:row>
          <xdr:rowOff>198120</xdr:rowOff>
        </xdr:from>
        <xdr:to>
          <xdr:col>4</xdr:col>
          <xdr:colOff>518160</xdr:colOff>
          <xdr:row>309</xdr:row>
          <xdr:rowOff>533400</xdr:rowOff>
        </xdr:to>
        <xdr:sp macro="" textlink="">
          <xdr:nvSpPr>
            <xdr:cNvPr id="2420" name="Check Box 372" hidden="1">
              <a:extLst>
                <a:ext uri="{63B3BB69-23CF-44E3-9099-C40C66FF867C}">
                  <a14:compatExt spid="_x0000_s2420"/>
                </a:ext>
                <a:ext uri="{FF2B5EF4-FFF2-40B4-BE49-F238E27FC236}">
                  <a16:creationId xmlns:a16="http://schemas.microsoft.com/office/drawing/2014/main" id="{00000000-0008-0000-0100-00007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309</xdr:row>
          <xdr:rowOff>198120</xdr:rowOff>
        </xdr:from>
        <xdr:to>
          <xdr:col>4</xdr:col>
          <xdr:colOff>518160</xdr:colOff>
          <xdr:row>309</xdr:row>
          <xdr:rowOff>533400</xdr:rowOff>
        </xdr:to>
        <xdr:sp macro="" textlink="">
          <xdr:nvSpPr>
            <xdr:cNvPr id="2421" name="Check Box 373" hidden="1">
              <a:extLst>
                <a:ext uri="{63B3BB69-23CF-44E3-9099-C40C66FF867C}">
                  <a14:compatExt spid="_x0000_s2421"/>
                </a:ext>
                <a:ext uri="{FF2B5EF4-FFF2-40B4-BE49-F238E27FC236}">
                  <a16:creationId xmlns:a16="http://schemas.microsoft.com/office/drawing/2014/main" id="{00000000-0008-0000-0100-00007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310</xdr:row>
          <xdr:rowOff>198120</xdr:rowOff>
        </xdr:from>
        <xdr:to>
          <xdr:col>4</xdr:col>
          <xdr:colOff>518160</xdr:colOff>
          <xdr:row>310</xdr:row>
          <xdr:rowOff>533400</xdr:rowOff>
        </xdr:to>
        <xdr:sp macro="" textlink="">
          <xdr:nvSpPr>
            <xdr:cNvPr id="2422" name="Check Box 374" hidden="1">
              <a:extLst>
                <a:ext uri="{63B3BB69-23CF-44E3-9099-C40C66FF867C}">
                  <a14:compatExt spid="_x0000_s2422"/>
                </a:ext>
                <a:ext uri="{FF2B5EF4-FFF2-40B4-BE49-F238E27FC236}">
                  <a16:creationId xmlns:a16="http://schemas.microsoft.com/office/drawing/2014/main" id="{00000000-0008-0000-0100-00007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310</xdr:row>
          <xdr:rowOff>198120</xdr:rowOff>
        </xdr:from>
        <xdr:to>
          <xdr:col>4</xdr:col>
          <xdr:colOff>518160</xdr:colOff>
          <xdr:row>310</xdr:row>
          <xdr:rowOff>533400</xdr:rowOff>
        </xdr:to>
        <xdr:sp macro="" textlink="">
          <xdr:nvSpPr>
            <xdr:cNvPr id="2423" name="Check Box 375" hidden="1">
              <a:extLst>
                <a:ext uri="{63B3BB69-23CF-44E3-9099-C40C66FF867C}">
                  <a14:compatExt spid="_x0000_s2423"/>
                </a:ext>
                <a:ext uri="{FF2B5EF4-FFF2-40B4-BE49-F238E27FC236}">
                  <a16:creationId xmlns:a16="http://schemas.microsoft.com/office/drawing/2014/main" id="{00000000-0008-0000-0100-00007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311</xdr:row>
          <xdr:rowOff>198120</xdr:rowOff>
        </xdr:from>
        <xdr:to>
          <xdr:col>4</xdr:col>
          <xdr:colOff>518160</xdr:colOff>
          <xdr:row>311</xdr:row>
          <xdr:rowOff>533400</xdr:rowOff>
        </xdr:to>
        <xdr:sp macro="" textlink="">
          <xdr:nvSpPr>
            <xdr:cNvPr id="2424" name="Check Box 376" hidden="1">
              <a:extLst>
                <a:ext uri="{63B3BB69-23CF-44E3-9099-C40C66FF867C}">
                  <a14:compatExt spid="_x0000_s2424"/>
                </a:ext>
                <a:ext uri="{FF2B5EF4-FFF2-40B4-BE49-F238E27FC236}">
                  <a16:creationId xmlns:a16="http://schemas.microsoft.com/office/drawing/2014/main" id="{00000000-0008-0000-0100-00007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311</xdr:row>
          <xdr:rowOff>198120</xdr:rowOff>
        </xdr:from>
        <xdr:to>
          <xdr:col>4</xdr:col>
          <xdr:colOff>518160</xdr:colOff>
          <xdr:row>311</xdr:row>
          <xdr:rowOff>533400</xdr:rowOff>
        </xdr:to>
        <xdr:sp macro="" textlink="">
          <xdr:nvSpPr>
            <xdr:cNvPr id="2425" name="Check Box 377" hidden="1">
              <a:extLst>
                <a:ext uri="{63B3BB69-23CF-44E3-9099-C40C66FF867C}">
                  <a14:compatExt spid="_x0000_s2425"/>
                </a:ext>
                <a:ext uri="{FF2B5EF4-FFF2-40B4-BE49-F238E27FC236}">
                  <a16:creationId xmlns:a16="http://schemas.microsoft.com/office/drawing/2014/main" id="{00000000-0008-0000-0100-00007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313</xdr:row>
          <xdr:rowOff>198120</xdr:rowOff>
        </xdr:from>
        <xdr:to>
          <xdr:col>4</xdr:col>
          <xdr:colOff>518160</xdr:colOff>
          <xdr:row>313</xdr:row>
          <xdr:rowOff>533400</xdr:rowOff>
        </xdr:to>
        <xdr:sp macro="" textlink="">
          <xdr:nvSpPr>
            <xdr:cNvPr id="2426" name="Check Box 378" hidden="1">
              <a:extLst>
                <a:ext uri="{63B3BB69-23CF-44E3-9099-C40C66FF867C}">
                  <a14:compatExt spid="_x0000_s2426"/>
                </a:ext>
                <a:ext uri="{FF2B5EF4-FFF2-40B4-BE49-F238E27FC236}">
                  <a16:creationId xmlns:a16="http://schemas.microsoft.com/office/drawing/2014/main" id="{00000000-0008-0000-0100-00007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313</xdr:row>
          <xdr:rowOff>198120</xdr:rowOff>
        </xdr:from>
        <xdr:to>
          <xdr:col>4</xdr:col>
          <xdr:colOff>518160</xdr:colOff>
          <xdr:row>313</xdr:row>
          <xdr:rowOff>533400</xdr:rowOff>
        </xdr:to>
        <xdr:sp macro="" textlink="">
          <xdr:nvSpPr>
            <xdr:cNvPr id="2427" name="Check Box 379" hidden="1">
              <a:extLst>
                <a:ext uri="{63B3BB69-23CF-44E3-9099-C40C66FF867C}">
                  <a14:compatExt spid="_x0000_s2427"/>
                </a:ext>
                <a:ext uri="{FF2B5EF4-FFF2-40B4-BE49-F238E27FC236}">
                  <a16:creationId xmlns:a16="http://schemas.microsoft.com/office/drawing/2014/main" id="{00000000-0008-0000-0100-00007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314</xdr:row>
          <xdr:rowOff>198120</xdr:rowOff>
        </xdr:from>
        <xdr:to>
          <xdr:col>4</xdr:col>
          <xdr:colOff>518160</xdr:colOff>
          <xdr:row>314</xdr:row>
          <xdr:rowOff>533400</xdr:rowOff>
        </xdr:to>
        <xdr:sp macro="" textlink="">
          <xdr:nvSpPr>
            <xdr:cNvPr id="2428" name="Check Box 380" hidden="1">
              <a:extLst>
                <a:ext uri="{63B3BB69-23CF-44E3-9099-C40C66FF867C}">
                  <a14:compatExt spid="_x0000_s2428"/>
                </a:ext>
                <a:ext uri="{FF2B5EF4-FFF2-40B4-BE49-F238E27FC236}">
                  <a16:creationId xmlns:a16="http://schemas.microsoft.com/office/drawing/2014/main" id="{00000000-0008-0000-0100-00007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314</xdr:row>
          <xdr:rowOff>198120</xdr:rowOff>
        </xdr:from>
        <xdr:to>
          <xdr:col>4</xdr:col>
          <xdr:colOff>518160</xdr:colOff>
          <xdr:row>314</xdr:row>
          <xdr:rowOff>533400</xdr:rowOff>
        </xdr:to>
        <xdr:sp macro="" textlink="">
          <xdr:nvSpPr>
            <xdr:cNvPr id="2429" name="Check Box 381" hidden="1">
              <a:extLst>
                <a:ext uri="{63B3BB69-23CF-44E3-9099-C40C66FF867C}">
                  <a14:compatExt spid="_x0000_s2429"/>
                </a:ext>
                <a:ext uri="{FF2B5EF4-FFF2-40B4-BE49-F238E27FC236}">
                  <a16:creationId xmlns:a16="http://schemas.microsoft.com/office/drawing/2014/main" id="{00000000-0008-0000-0100-00007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316</xdr:row>
          <xdr:rowOff>198120</xdr:rowOff>
        </xdr:from>
        <xdr:to>
          <xdr:col>4</xdr:col>
          <xdr:colOff>518160</xdr:colOff>
          <xdr:row>316</xdr:row>
          <xdr:rowOff>533400</xdr:rowOff>
        </xdr:to>
        <xdr:sp macro="" textlink="">
          <xdr:nvSpPr>
            <xdr:cNvPr id="2430" name="Check Box 382" hidden="1">
              <a:extLst>
                <a:ext uri="{63B3BB69-23CF-44E3-9099-C40C66FF867C}">
                  <a14:compatExt spid="_x0000_s2430"/>
                </a:ext>
                <a:ext uri="{FF2B5EF4-FFF2-40B4-BE49-F238E27FC236}">
                  <a16:creationId xmlns:a16="http://schemas.microsoft.com/office/drawing/2014/main" id="{00000000-0008-0000-0100-00007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316</xdr:row>
          <xdr:rowOff>198120</xdr:rowOff>
        </xdr:from>
        <xdr:to>
          <xdr:col>4</xdr:col>
          <xdr:colOff>518160</xdr:colOff>
          <xdr:row>316</xdr:row>
          <xdr:rowOff>533400</xdr:rowOff>
        </xdr:to>
        <xdr:sp macro="" textlink="">
          <xdr:nvSpPr>
            <xdr:cNvPr id="2431" name="Check Box 383" hidden="1">
              <a:extLst>
                <a:ext uri="{63B3BB69-23CF-44E3-9099-C40C66FF867C}">
                  <a14:compatExt spid="_x0000_s2431"/>
                </a:ext>
                <a:ext uri="{FF2B5EF4-FFF2-40B4-BE49-F238E27FC236}">
                  <a16:creationId xmlns:a16="http://schemas.microsoft.com/office/drawing/2014/main" id="{00000000-0008-0000-0100-00007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317</xdr:row>
          <xdr:rowOff>198120</xdr:rowOff>
        </xdr:from>
        <xdr:to>
          <xdr:col>4</xdr:col>
          <xdr:colOff>518160</xdr:colOff>
          <xdr:row>317</xdr:row>
          <xdr:rowOff>533400</xdr:rowOff>
        </xdr:to>
        <xdr:sp macro="" textlink="">
          <xdr:nvSpPr>
            <xdr:cNvPr id="2432" name="Check Box 384" hidden="1">
              <a:extLst>
                <a:ext uri="{63B3BB69-23CF-44E3-9099-C40C66FF867C}">
                  <a14:compatExt spid="_x0000_s2432"/>
                </a:ext>
                <a:ext uri="{FF2B5EF4-FFF2-40B4-BE49-F238E27FC236}">
                  <a16:creationId xmlns:a16="http://schemas.microsoft.com/office/drawing/2014/main" id="{00000000-0008-0000-0100-00008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317</xdr:row>
          <xdr:rowOff>198120</xdr:rowOff>
        </xdr:from>
        <xdr:to>
          <xdr:col>4</xdr:col>
          <xdr:colOff>518160</xdr:colOff>
          <xdr:row>317</xdr:row>
          <xdr:rowOff>533400</xdr:rowOff>
        </xdr:to>
        <xdr:sp macro="" textlink="">
          <xdr:nvSpPr>
            <xdr:cNvPr id="2433" name="Check Box 385" hidden="1">
              <a:extLst>
                <a:ext uri="{63B3BB69-23CF-44E3-9099-C40C66FF867C}">
                  <a14:compatExt spid="_x0000_s2433"/>
                </a:ext>
                <a:ext uri="{FF2B5EF4-FFF2-40B4-BE49-F238E27FC236}">
                  <a16:creationId xmlns:a16="http://schemas.microsoft.com/office/drawing/2014/main" id="{00000000-0008-0000-0100-00008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319</xdr:row>
          <xdr:rowOff>198120</xdr:rowOff>
        </xdr:from>
        <xdr:to>
          <xdr:col>4</xdr:col>
          <xdr:colOff>518160</xdr:colOff>
          <xdr:row>319</xdr:row>
          <xdr:rowOff>533400</xdr:rowOff>
        </xdr:to>
        <xdr:sp macro="" textlink="">
          <xdr:nvSpPr>
            <xdr:cNvPr id="2434" name="Check Box 386" hidden="1">
              <a:extLst>
                <a:ext uri="{63B3BB69-23CF-44E3-9099-C40C66FF867C}">
                  <a14:compatExt spid="_x0000_s2434"/>
                </a:ext>
                <a:ext uri="{FF2B5EF4-FFF2-40B4-BE49-F238E27FC236}">
                  <a16:creationId xmlns:a16="http://schemas.microsoft.com/office/drawing/2014/main" id="{00000000-0008-0000-0100-00008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319</xdr:row>
          <xdr:rowOff>198120</xdr:rowOff>
        </xdr:from>
        <xdr:to>
          <xdr:col>4</xdr:col>
          <xdr:colOff>518160</xdr:colOff>
          <xdr:row>319</xdr:row>
          <xdr:rowOff>533400</xdr:rowOff>
        </xdr:to>
        <xdr:sp macro="" textlink="">
          <xdr:nvSpPr>
            <xdr:cNvPr id="2435" name="Check Box 387" hidden="1">
              <a:extLst>
                <a:ext uri="{63B3BB69-23CF-44E3-9099-C40C66FF867C}">
                  <a14:compatExt spid="_x0000_s2435"/>
                </a:ext>
                <a:ext uri="{FF2B5EF4-FFF2-40B4-BE49-F238E27FC236}">
                  <a16:creationId xmlns:a16="http://schemas.microsoft.com/office/drawing/2014/main" id="{00000000-0008-0000-0100-00008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320</xdr:row>
          <xdr:rowOff>198120</xdr:rowOff>
        </xdr:from>
        <xdr:to>
          <xdr:col>4</xdr:col>
          <xdr:colOff>518160</xdr:colOff>
          <xdr:row>320</xdr:row>
          <xdr:rowOff>533400</xdr:rowOff>
        </xdr:to>
        <xdr:sp macro="" textlink="">
          <xdr:nvSpPr>
            <xdr:cNvPr id="2436" name="Check Box 388" hidden="1">
              <a:extLst>
                <a:ext uri="{63B3BB69-23CF-44E3-9099-C40C66FF867C}">
                  <a14:compatExt spid="_x0000_s2436"/>
                </a:ext>
                <a:ext uri="{FF2B5EF4-FFF2-40B4-BE49-F238E27FC236}">
                  <a16:creationId xmlns:a16="http://schemas.microsoft.com/office/drawing/2014/main" id="{00000000-0008-0000-0100-00008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320</xdr:row>
          <xdr:rowOff>198120</xdr:rowOff>
        </xdr:from>
        <xdr:to>
          <xdr:col>4</xdr:col>
          <xdr:colOff>518160</xdr:colOff>
          <xdr:row>320</xdr:row>
          <xdr:rowOff>533400</xdr:rowOff>
        </xdr:to>
        <xdr:sp macro="" textlink="">
          <xdr:nvSpPr>
            <xdr:cNvPr id="2437" name="Check Box 389" hidden="1">
              <a:extLst>
                <a:ext uri="{63B3BB69-23CF-44E3-9099-C40C66FF867C}">
                  <a14:compatExt spid="_x0000_s2437"/>
                </a:ext>
                <a:ext uri="{FF2B5EF4-FFF2-40B4-BE49-F238E27FC236}">
                  <a16:creationId xmlns:a16="http://schemas.microsoft.com/office/drawing/2014/main" id="{00000000-0008-0000-0100-00008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321</xdr:row>
          <xdr:rowOff>198120</xdr:rowOff>
        </xdr:from>
        <xdr:to>
          <xdr:col>4</xdr:col>
          <xdr:colOff>518160</xdr:colOff>
          <xdr:row>321</xdr:row>
          <xdr:rowOff>533400</xdr:rowOff>
        </xdr:to>
        <xdr:sp macro="" textlink="">
          <xdr:nvSpPr>
            <xdr:cNvPr id="2438" name="Check Box 390" hidden="1">
              <a:extLst>
                <a:ext uri="{63B3BB69-23CF-44E3-9099-C40C66FF867C}">
                  <a14:compatExt spid="_x0000_s2438"/>
                </a:ext>
                <a:ext uri="{FF2B5EF4-FFF2-40B4-BE49-F238E27FC236}">
                  <a16:creationId xmlns:a16="http://schemas.microsoft.com/office/drawing/2014/main" id="{00000000-0008-0000-0100-00008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321</xdr:row>
          <xdr:rowOff>198120</xdr:rowOff>
        </xdr:from>
        <xdr:to>
          <xdr:col>4</xdr:col>
          <xdr:colOff>518160</xdr:colOff>
          <xdr:row>321</xdr:row>
          <xdr:rowOff>533400</xdr:rowOff>
        </xdr:to>
        <xdr:sp macro="" textlink="">
          <xdr:nvSpPr>
            <xdr:cNvPr id="2439" name="Check Box 391" hidden="1">
              <a:extLst>
                <a:ext uri="{63B3BB69-23CF-44E3-9099-C40C66FF867C}">
                  <a14:compatExt spid="_x0000_s2439"/>
                </a:ext>
                <a:ext uri="{FF2B5EF4-FFF2-40B4-BE49-F238E27FC236}">
                  <a16:creationId xmlns:a16="http://schemas.microsoft.com/office/drawing/2014/main" id="{00000000-0008-0000-0100-00008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323</xdr:row>
          <xdr:rowOff>198120</xdr:rowOff>
        </xdr:from>
        <xdr:to>
          <xdr:col>4</xdr:col>
          <xdr:colOff>518160</xdr:colOff>
          <xdr:row>323</xdr:row>
          <xdr:rowOff>533400</xdr:rowOff>
        </xdr:to>
        <xdr:sp macro="" textlink="">
          <xdr:nvSpPr>
            <xdr:cNvPr id="2440" name="Check Box 392" hidden="1">
              <a:extLst>
                <a:ext uri="{63B3BB69-23CF-44E3-9099-C40C66FF867C}">
                  <a14:compatExt spid="_x0000_s2440"/>
                </a:ext>
                <a:ext uri="{FF2B5EF4-FFF2-40B4-BE49-F238E27FC236}">
                  <a16:creationId xmlns:a16="http://schemas.microsoft.com/office/drawing/2014/main" id="{00000000-0008-0000-0100-00008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323</xdr:row>
          <xdr:rowOff>198120</xdr:rowOff>
        </xdr:from>
        <xdr:to>
          <xdr:col>4</xdr:col>
          <xdr:colOff>518160</xdr:colOff>
          <xdr:row>323</xdr:row>
          <xdr:rowOff>533400</xdr:rowOff>
        </xdr:to>
        <xdr:sp macro="" textlink="">
          <xdr:nvSpPr>
            <xdr:cNvPr id="2441" name="Check Box 393" hidden="1">
              <a:extLst>
                <a:ext uri="{63B3BB69-23CF-44E3-9099-C40C66FF867C}">
                  <a14:compatExt spid="_x0000_s2441"/>
                </a:ext>
                <a:ext uri="{FF2B5EF4-FFF2-40B4-BE49-F238E27FC236}">
                  <a16:creationId xmlns:a16="http://schemas.microsoft.com/office/drawing/2014/main" id="{00000000-0008-0000-0100-00008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324</xdr:row>
          <xdr:rowOff>198120</xdr:rowOff>
        </xdr:from>
        <xdr:to>
          <xdr:col>4</xdr:col>
          <xdr:colOff>518160</xdr:colOff>
          <xdr:row>324</xdr:row>
          <xdr:rowOff>533400</xdr:rowOff>
        </xdr:to>
        <xdr:sp macro="" textlink="">
          <xdr:nvSpPr>
            <xdr:cNvPr id="2442" name="Check Box 394" hidden="1">
              <a:extLst>
                <a:ext uri="{63B3BB69-23CF-44E3-9099-C40C66FF867C}">
                  <a14:compatExt spid="_x0000_s2442"/>
                </a:ext>
                <a:ext uri="{FF2B5EF4-FFF2-40B4-BE49-F238E27FC236}">
                  <a16:creationId xmlns:a16="http://schemas.microsoft.com/office/drawing/2014/main" id="{00000000-0008-0000-0100-00008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324</xdr:row>
          <xdr:rowOff>198120</xdr:rowOff>
        </xdr:from>
        <xdr:to>
          <xdr:col>4</xdr:col>
          <xdr:colOff>518160</xdr:colOff>
          <xdr:row>324</xdr:row>
          <xdr:rowOff>533400</xdr:rowOff>
        </xdr:to>
        <xdr:sp macro="" textlink="">
          <xdr:nvSpPr>
            <xdr:cNvPr id="2443" name="Check Box 395" hidden="1">
              <a:extLst>
                <a:ext uri="{63B3BB69-23CF-44E3-9099-C40C66FF867C}">
                  <a14:compatExt spid="_x0000_s2443"/>
                </a:ext>
                <a:ext uri="{FF2B5EF4-FFF2-40B4-BE49-F238E27FC236}">
                  <a16:creationId xmlns:a16="http://schemas.microsoft.com/office/drawing/2014/main" id="{00000000-0008-0000-0100-00008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325</xdr:row>
          <xdr:rowOff>198120</xdr:rowOff>
        </xdr:from>
        <xdr:to>
          <xdr:col>4</xdr:col>
          <xdr:colOff>518160</xdr:colOff>
          <xdr:row>325</xdr:row>
          <xdr:rowOff>533400</xdr:rowOff>
        </xdr:to>
        <xdr:sp macro="" textlink="">
          <xdr:nvSpPr>
            <xdr:cNvPr id="2444" name="Check Box 396" hidden="1">
              <a:extLst>
                <a:ext uri="{63B3BB69-23CF-44E3-9099-C40C66FF867C}">
                  <a14:compatExt spid="_x0000_s2444"/>
                </a:ext>
                <a:ext uri="{FF2B5EF4-FFF2-40B4-BE49-F238E27FC236}">
                  <a16:creationId xmlns:a16="http://schemas.microsoft.com/office/drawing/2014/main" id="{00000000-0008-0000-0100-00008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325</xdr:row>
          <xdr:rowOff>198120</xdr:rowOff>
        </xdr:from>
        <xdr:to>
          <xdr:col>4</xdr:col>
          <xdr:colOff>518160</xdr:colOff>
          <xdr:row>325</xdr:row>
          <xdr:rowOff>533400</xdr:rowOff>
        </xdr:to>
        <xdr:sp macro="" textlink="">
          <xdr:nvSpPr>
            <xdr:cNvPr id="2445" name="Check Box 397" hidden="1">
              <a:extLst>
                <a:ext uri="{63B3BB69-23CF-44E3-9099-C40C66FF867C}">
                  <a14:compatExt spid="_x0000_s2445"/>
                </a:ext>
                <a:ext uri="{FF2B5EF4-FFF2-40B4-BE49-F238E27FC236}">
                  <a16:creationId xmlns:a16="http://schemas.microsoft.com/office/drawing/2014/main" id="{00000000-0008-0000-0100-00008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327</xdr:row>
          <xdr:rowOff>198120</xdr:rowOff>
        </xdr:from>
        <xdr:to>
          <xdr:col>4</xdr:col>
          <xdr:colOff>518160</xdr:colOff>
          <xdr:row>327</xdr:row>
          <xdr:rowOff>533400</xdr:rowOff>
        </xdr:to>
        <xdr:sp macro="" textlink="">
          <xdr:nvSpPr>
            <xdr:cNvPr id="2446" name="Check Box 398" hidden="1">
              <a:extLst>
                <a:ext uri="{63B3BB69-23CF-44E3-9099-C40C66FF867C}">
                  <a14:compatExt spid="_x0000_s2446"/>
                </a:ext>
                <a:ext uri="{FF2B5EF4-FFF2-40B4-BE49-F238E27FC236}">
                  <a16:creationId xmlns:a16="http://schemas.microsoft.com/office/drawing/2014/main" id="{00000000-0008-0000-0100-00008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327</xdr:row>
          <xdr:rowOff>198120</xdr:rowOff>
        </xdr:from>
        <xdr:to>
          <xdr:col>4</xdr:col>
          <xdr:colOff>518160</xdr:colOff>
          <xdr:row>327</xdr:row>
          <xdr:rowOff>533400</xdr:rowOff>
        </xdr:to>
        <xdr:sp macro="" textlink="">
          <xdr:nvSpPr>
            <xdr:cNvPr id="2447" name="Check Box 399" hidden="1">
              <a:extLst>
                <a:ext uri="{63B3BB69-23CF-44E3-9099-C40C66FF867C}">
                  <a14:compatExt spid="_x0000_s2447"/>
                </a:ext>
                <a:ext uri="{FF2B5EF4-FFF2-40B4-BE49-F238E27FC236}">
                  <a16:creationId xmlns:a16="http://schemas.microsoft.com/office/drawing/2014/main" id="{00000000-0008-0000-0100-00008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328</xdr:row>
          <xdr:rowOff>198120</xdr:rowOff>
        </xdr:from>
        <xdr:to>
          <xdr:col>4</xdr:col>
          <xdr:colOff>518160</xdr:colOff>
          <xdr:row>328</xdr:row>
          <xdr:rowOff>533400</xdr:rowOff>
        </xdr:to>
        <xdr:sp macro="" textlink="">
          <xdr:nvSpPr>
            <xdr:cNvPr id="2448" name="Check Box 400" hidden="1">
              <a:extLst>
                <a:ext uri="{63B3BB69-23CF-44E3-9099-C40C66FF867C}">
                  <a14:compatExt spid="_x0000_s2448"/>
                </a:ext>
                <a:ext uri="{FF2B5EF4-FFF2-40B4-BE49-F238E27FC236}">
                  <a16:creationId xmlns:a16="http://schemas.microsoft.com/office/drawing/2014/main" id="{00000000-0008-0000-0100-00009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328</xdr:row>
          <xdr:rowOff>198120</xdr:rowOff>
        </xdr:from>
        <xdr:to>
          <xdr:col>4</xdr:col>
          <xdr:colOff>518160</xdr:colOff>
          <xdr:row>328</xdr:row>
          <xdr:rowOff>533400</xdr:rowOff>
        </xdr:to>
        <xdr:sp macro="" textlink="">
          <xdr:nvSpPr>
            <xdr:cNvPr id="2449" name="Check Box 401" hidden="1">
              <a:extLst>
                <a:ext uri="{63B3BB69-23CF-44E3-9099-C40C66FF867C}">
                  <a14:compatExt spid="_x0000_s2449"/>
                </a:ext>
                <a:ext uri="{FF2B5EF4-FFF2-40B4-BE49-F238E27FC236}">
                  <a16:creationId xmlns:a16="http://schemas.microsoft.com/office/drawing/2014/main" id="{00000000-0008-0000-0100-00009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330</xdr:row>
          <xdr:rowOff>198120</xdr:rowOff>
        </xdr:from>
        <xdr:to>
          <xdr:col>4</xdr:col>
          <xdr:colOff>518160</xdr:colOff>
          <xdr:row>330</xdr:row>
          <xdr:rowOff>533400</xdr:rowOff>
        </xdr:to>
        <xdr:sp macro="" textlink="">
          <xdr:nvSpPr>
            <xdr:cNvPr id="2450" name="Check Box 402" hidden="1">
              <a:extLst>
                <a:ext uri="{63B3BB69-23CF-44E3-9099-C40C66FF867C}">
                  <a14:compatExt spid="_x0000_s2450"/>
                </a:ext>
                <a:ext uri="{FF2B5EF4-FFF2-40B4-BE49-F238E27FC236}">
                  <a16:creationId xmlns:a16="http://schemas.microsoft.com/office/drawing/2014/main" id="{00000000-0008-0000-0100-00009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330</xdr:row>
          <xdr:rowOff>198120</xdr:rowOff>
        </xdr:from>
        <xdr:to>
          <xdr:col>4</xdr:col>
          <xdr:colOff>518160</xdr:colOff>
          <xdr:row>330</xdr:row>
          <xdr:rowOff>533400</xdr:rowOff>
        </xdr:to>
        <xdr:sp macro="" textlink="">
          <xdr:nvSpPr>
            <xdr:cNvPr id="2451" name="Check Box 403" hidden="1">
              <a:extLst>
                <a:ext uri="{63B3BB69-23CF-44E3-9099-C40C66FF867C}">
                  <a14:compatExt spid="_x0000_s2451"/>
                </a:ext>
                <a:ext uri="{FF2B5EF4-FFF2-40B4-BE49-F238E27FC236}">
                  <a16:creationId xmlns:a16="http://schemas.microsoft.com/office/drawing/2014/main" id="{00000000-0008-0000-0100-00009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331</xdr:row>
          <xdr:rowOff>198120</xdr:rowOff>
        </xdr:from>
        <xdr:to>
          <xdr:col>4</xdr:col>
          <xdr:colOff>518160</xdr:colOff>
          <xdr:row>331</xdr:row>
          <xdr:rowOff>533400</xdr:rowOff>
        </xdr:to>
        <xdr:sp macro="" textlink="">
          <xdr:nvSpPr>
            <xdr:cNvPr id="2452" name="Check Box 404" hidden="1">
              <a:extLst>
                <a:ext uri="{63B3BB69-23CF-44E3-9099-C40C66FF867C}">
                  <a14:compatExt spid="_x0000_s2452"/>
                </a:ext>
                <a:ext uri="{FF2B5EF4-FFF2-40B4-BE49-F238E27FC236}">
                  <a16:creationId xmlns:a16="http://schemas.microsoft.com/office/drawing/2014/main" id="{00000000-0008-0000-0100-00009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331</xdr:row>
          <xdr:rowOff>198120</xdr:rowOff>
        </xdr:from>
        <xdr:to>
          <xdr:col>4</xdr:col>
          <xdr:colOff>518160</xdr:colOff>
          <xdr:row>331</xdr:row>
          <xdr:rowOff>533400</xdr:rowOff>
        </xdr:to>
        <xdr:sp macro="" textlink="">
          <xdr:nvSpPr>
            <xdr:cNvPr id="2453" name="Check Box 405" hidden="1">
              <a:extLst>
                <a:ext uri="{63B3BB69-23CF-44E3-9099-C40C66FF867C}">
                  <a14:compatExt spid="_x0000_s2453"/>
                </a:ext>
                <a:ext uri="{FF2B5EF4-FFF2-40B4-BE49-F238E27FC236}">
                  <a16:creationId xmlns:a16="http://schemas.microsoft.com/office/drawing/2014/main" id="{00000000-0008-0000-0100-00009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332</xdr:row>
          <xdr:rowOff>198120</xdr:rowOff>
        </xdr:from>
        <xdr:to>
          <xdr:col>4</xdr:col>
          <xdr:colOff>518160</xdr:colOff>
          <xdr:row>332</xdr:row>
          <xdr:rowOff>533400</xdr:rowOff>
        </xdr:to>
        <xdr:sp macro="" textlink="">
          <xdr:nvSpPr>
            <xdr:cNvPr id="2454" name="Check Box 406" hidden="1">
              <a:extLst>
                <a:ext uri="{63B3BB69-23CF-44E3-9099-C40C66FF867C}">
                  <a14:compatExt spid="_x0000_s2454"/>
                </a:ext>
                <a:ext uri="{FF2B5EF4-FFF2-40B4-BE49-F238E27FC236}">
                  <a16:creationId xmlns:a16="http://schemas.microsoft.com/office/drawing/2014/main" id="{00000000-0008-0000-0100-00009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332</xdr:row>
          <xdr:rowOff>198120</xdr:rowOff>
        </xdr:from>
        <xdr:to>
          <xdr:col>4</xdr:col>
          <xdr:colOff>518160</xdr:colOff>
          <xdr:row>332</xdr:row>
          <xdr:rowOff>533400</xdr:rowOff>
        </xdr:to>
        <xdr:sp macro="" textlink="">
          <xdr:nvSpPr>
            <xdr:cNvPr id="2455" name="Check Box 407" hidden="1">
              <a:extLst>
                <a:ext uri="{63B3BB69-23CF-44E3-9099-C40C66FF867C}">
                  <a14:compatExt spid="_x0000_s2455"/>
                </a:ext>
                <a:ext uri="{FF2B5EF4-FFF2-40B4-BE49-F238E27FC236}">
                  <a16:creationId xmlns:a16="http://schemas.microsoft.com/office/drawing/2014/main" id="{00000000-0008-0000-0100-00009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334</xdr:row>
          <xdr:rowOff>198120</xdr:rowOff>
        </xdr:from>
        <xdr:to>
          <xdr:col>4</xdr:col>
          <xdr:colOff>518160</xdr:colOff>
          <xdr:row>334</xdr:row>
          <xdr:rowOff>533400</xdr:rowOff>
        </xdr:to>
        <xdr:sp macro="" textlink="">
          <xdr:nvSpPr>
            <xdr:cNvPr id="2456" name="Check Box 408" hidden="1">
              <a:extLst>
                <a:ext uri="{63B3BB69-23CF-44E3-9099-C40C66FF867C}">
                  <a14:compatExt spid="_x0000_s2456"/>
                </a:ext>
                <a:ext uri="{FF2B5EF4-FFF2-40B4-BE49-F238E27FC236}">
                  <a16:creationId xmlns:a16="http://schemas.microsoft.com/office/drawing/2014/main" id="{00000000-0008-0000-0100-00009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334</xdr:row>
          <xdr:rowOff>198120</xdr:rowOff>
        </xdr:from>
        <xdr:to>
          <xdr:col>4</xdr:col>
          <xdr:colOff>518160</xdr:colOff>
          <xdr:row>334</xdr:row>
          <xdr:rowOff>533400</xdr:rowOff>
        </xdr:to>
        <xdr:sp macro="" textlink="">
          <xdr:nvSpPr>
            <xdr:cNvPr id="2457" name="Check Box 409" hidden="1">
              <a:extLst>
                <a:ext uri="{63B3BB69-23CF-44E3-9099-C40C66FF867C}">
                  <a14:compatExt spid="_x0000_s2457"/>
                </a:ext>
                <a:ext uri="{FF2B5EF4-FFF2-40B4-BE49-F238E27FC236}">
                  <a16:creationId xmlns:a16="http://schemas.microsoft.com/office/drawing/2014/main" id="{00000000-0008-0000-0100-00009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335</xdr:row>
          <xdr:rowOff>198120</xdr:rowOff>
        </xdr:from>
        <xdr:to>
          <xdr:col>4</xdr:col>
          <xdr:colOff>518160</xdr:colOff>
          <xdr:row>335</xdr:row>
          <xdr:rowOff>533400</xdr:rowOff>
        </xdr:to>
        <xdr:sp macro="" textlink="">
          <xdr:nvSpPr>
            <xdr:cNvPr id="2458" name="Check Box 410" hidden="1">
              <a:extLst>
                <a:ext uri="{63B3BB69-23CF-44E3-9099-C40C66FF867C}">
                  <a14:compatExt spid="_x0000_s2458"/>
                </a:ext>
                <a:ext uri="{FF2B5EF4-FFF2-40B4-BE49-F238E27FC236}">
                  <a16:creationId xmlns:a16="http://schemas.microsoft.com/office/drawing/2014/main" id="{00000000-0008-0000-0100-00009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335</xdr:row>
          <xdr:rowOff>198120</xdr:rowOff>
        </xdr:from>
        <xdr:to>
          <xdr:col>4</xdr:col>
          <xdr:colOff>518160</xdr:colOff>
          <xdr:row>335</xdr:row>
          <xdr:rowOff>533400</xdr:rowOff>
        </xdr:to>
        <xdr:sp macro="" textlink="">
          <xdr:nvSpPr>
            <xdr:cNvPr id="2459" name="Check Box 411" hidden="1">
              <a:extLst>
                <a:ext uri="{63B3BB69-23CF-44E3-9099-C40C66FF867C}">
                  <a14:compatExt spid="_x0000_s2459"/>
                </a:ext>
                <a:ext uri="{FF2B5EF4-FFF2-40B4-BE49-F238E27FC236}">
                  <a16:creationId xmlns:a16="http://schemas.microsoft.com/office/drawing/2014/main" id="{00000000-0008-0000-0100-00009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336</xdr:row>
          <xdr:rowOff>198120</xdr:rowOff>
        </xdr:from>
        <xdr:to>
          <xdr:col>4</xdr:col>
          <xdr:colOff>518160</xdr:colOff>
          <xdr:row>336</xdr:row>
          <xdr:rowOff>533400</xdr:rowOff>
        </xdr:to>
        <xdr:sp macro="" textlink="">
          <xdr:nvSpPr>
            <xdr:cNvPr id="2460" name="Check Box 412" hidden="1">
              <a:extLst>
                <a:ext uri="{63B3BB69-23CF-44E3-9099-C40C66FF867C}">
                  <a14:compatExt spid="_x0000_s2460"/>
                </a:ext>
                <a:ext uri="{FF2B5EF4-FFF2-40B4-BE49-F238E27FC236}">
                  <a16:creationId xmlns:a16="http://schemas.microsoft.com/office/drawing/2014/main" id="{00000000-0008-0000-0100-00009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336</xdr:row>
          <xdr:rowOff>198120</xdr:rowOff>
        </xdr:from>
        <xdr:to>
          <xdr:col>4</xdr:col>
          <xdr:colOff>518160</xdr:colOff>
          <xdr:row>336</xdr:row>
          <xdr:rowOff>533400</xdr:rowOff>
        </xdr:to>
        <xdr:sp macro="" textlink="">
          <xdr:nvSpPr>
            <xdr:cNvPr id="2461" name="Check Box 413" hidden="1">
              <a:extLst>
                <a:ext uri="{63B3BB69-23CF-44E3-9099-C40C66FF867C}">
                  <a14:compatExt spid="_x0000_s2461"/>
                </a:ext>
                <a:ext uri="{FF2B5EF4-FFF2-40B4-BE49-F238E27FC236}">
                  <a16:creationId xmlns:a16="http://schemas.microsoft.com/office/drawing/2014/main" id="{00000000-0008-0000-0100-00009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337</xdr:row>
          <xdr:rowOff>198120</xdr:rowOff>
        </xdr:from>
        <xdr:to>
          <xdr:col>4</xdr:col>
          <xdr:colOff>518160</xdr:colOff>
          <xdr:row>337</xdr:row>
          <xdr:rowOff>533400</xdr:rowOff>
        </xdr:to>
        <xdr:sp macro="" textlink="">
          <xdr:nvSpPr>
            <xdr:cNvPr id="2462" name="Check Box 414" hidden="1">
              <a:extLst>
                <a:ext uri="{63B3BB69-23CF-44E3-9099-C40C66FF867C}">
                  <a14:compatExt spid="_x0000_s2462"/>
                </a:ext>
                <a:ext uri="{FF2B5EF4-FFF2-40B4-BE49-F238E27FC236}">
                  <a16:creationId xmlns:a16="http://schemas.microsoft.com/office/drawing/2014/main" id="{00000000-0008-0000-0100-00009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337</xdr:row>
          <xdr:rowOff>198120</xdr:rowOff>
        </xdr:from>
        <xdr:to>
          <xdr:col>4</xdr:col>
          <xdr:colOff>518160</xdr:colOff>
          <xdr:row>337</xdr:row>
          <xdr:rowOff>533400</xdr:rowOff>
        </xdr:to>
        <xdr:sp macro="" textlink="">
          <xdr:nvSpPr>
            <xdr:cNvPr id="2463" name="Check Box 415" hidden="1">
              <a:extLst>
                <a:ext uri="{63B3BB69-23CF-44E3-9099-C40C66FF867C}">
                  <a14:compatExt spid="_x0000_s2463"/>
                </a:ext>
                <a:ext uri="{FF2B5EF4-FFF2-40B4-BE49-F238E27FC236}">
                  <a16:creationId xmlns:a16="http://schemas.microsoft.com/office/drawing/2014/main" id="{00000000-0008-0000-0100-00009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339</xdr:row>
          <xdr:rowOff>198120</xdr:rowOff>
        </xdr:from>
        <xdr:to>
          <xdr:col>4</xdr:col>
          <xdr:colOff>518160</xdr:colOff>
          <xdr:row>339</xdr:row>
          <xdr:rowOff>533400</xdr:rowOff>
        </xdr:to>
        <xdr:sp macro="" textlink="">
          <xdr:nvSpPr>
            <xdr:cNvPr id="2464" name="Check Box 416" hidden="1">
              <a:extLst>
                <a:ext uri="{63B3BB69-23CF-44E3-9099-C40C66FF867C}">
                  <a14:compatExt spid="_x0000_s2464"/>
                </a:ext>
                <a:ext uri="{FF2B5EF4-FFF2-40B4-BE49-F238E27FC236}">
                  <a16:creationId xmlns:a16="http://schemas.microsoft.com/office/drawing/2014/main" id="{00000000-0008-0000-0100-0000A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339</xdr:row>
          <xdr:rowOff>198120</xdr:rowOff>
        </xdr:from>
        <xdr:to>
          <xdr:col>4</xdr:col>
          <xdr:colOff>518160</xdr:colOff>
          <xdr:row>339</xdr:row>
          <xdr:rowOff>533400</xdr:rowOff>
        </xdr:to>
        <xdr:sp macro="" textlink="">
          <xdr:nvSpPr>
            <xdr:cNvPr id="2465" name="Check Box 417" hidden="1">
              <a:extLst>
                <a:ext uri="{63B3BB69-23CF-44E3-9099-C40C66FF867C}">
                  <a14:compatExt spid="_x0000_s2465"/>
                </a:ext>
                <a:ext uri="{FF2B5EF4-FFF2-40B4-BE49-F238E27FC236}">
                  <a16:creationId xmlns:a16="http://schemas.microsoft.com/office/drawing/2014/main" id="{00000000-0008-0000-0100-0000A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340</xdr:row>
          <xdr:rowOff>198120</xdr:rowOff>
        </xdr:from>
        <xdr:to>
          <xdr:col>4</xdr:col>
          <xdr:colOff>518160</xdr:colOff>
          <xdr:row>340</xdr:row>
          <xdr:rowOff>533400</xdr:rowOff>
        </xdr:to>
        <xdr:sp macro="" textlink="">
          <xdr:nvSpPr>
            <xdr:cNvPr id="2466" name="Check Box 418" hidden="1">
              <a:extLst>
                <a:ext uri="{63B3BB69-23CF-44E3-9099-C40C66FF867C}">
                  <a14:compatExt spid="_x0000_s2466"/>
                </a:ext>
                <a:ext uri="{FF2B5EF4-FFF2-40B4-BE49-F238E27FC236}">
                  <a16:creationId xmlns:a16="http://schemas.microsoft.com/office/drawing/2014/main" id="{00000000-0008-0000-0100-0000A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340</xdr:row>
          <xdr:rowOff>198120</xdr:rowOff>
        </xdr:from>
        <xdr:to>
          <xdr:col>4</xdr:col>
          <xdr:colOff>518160</xdr:colOff>
          <xdr:row>340</xdr:row>
          <xdr:rowOff>533400</xdr:rowOff>
        </xdr:to>
        <xdr:sp macro="" textlink="">
          <xdr:nvSpPr>
            <xdr:cNvPr id="2467" name="Check Box 419" hidden="1">
              <a:extLst>
                <a:ext uri="{63B3BB69-23CF-44E3-9099-C40C66FF867C}">
                  <a14:compatExt spid="_x0000_s2467"/>
                </a:ext>
                <a:ext uri="{FF2B5EF4-FFF2-40B4-BE49-F238E27FC236}">
                  <a16:creationId xmlns:a16="http://schemas.microsoft.com/office/drawing/2014/main" id="{00000000-0008-0000-0100-0000A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341</xdr:row>
          <xdr:rowOff>198120</xdr:rowOff>
        </xdr:from>
        <xdr:to>
          <xdr:col>4</xdr:col>
          <xdr:colOff>518160</xdr:colOff>
          <xdr:row>341</xdr:row>
          <xdr:rowOff>533400</xdr:rowOff>
        </xdr:to>
        <xdr:sp macro="" textlink="">
          <xdr:nvSpPr>
            <xdr:cNvPr id="2468" name="Check Box 420" hidden="1">
              <a:extLst>
                <a:ext uri="{63B3BB69-23CF-44E3-9099-C40C66FF867C}">
                  <a14:compatExt spid="_x0000_s2468"/>
                </a:ext>
                <a:ext uri="{FF2B5EF4-FFF2-40B4-BE49-F238E27FC236}">
                  <a16:creationId xmlns:a16="http://schemas.microsoft.com/office/drawing/2014/main" id="{00000000-0008-0000-0100-0000A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341</xdr:row>
          <xdr:rowOff>198120</xdr:rowOff>
        </xdr:from>
        <xdr:to>
          <xdr:col>4</xdr:col>
          <xdr:colOff>518160</xdr:colOff>
          <xdr:row>341</xdr:row>
          <xdr:rowOff>533400</xdr:rowOff>
        </xdr:to>
        <xdr:sp macro="" textlink="">
          <xdr:nvSpPr>
            <xdr:cNvPr id="2469" name="Check Box 421" hidden="1">
              <a:extLst>
                <a:ext uri="{63B3BB69-23CF-44E3-9099-C40C66FF867C}">
                  <a14:compatExt spid="_x0000_s2469"/>
                </a:ext>
                <a:ext uri="{FF2B5EF4-FFF2-40B4-BE49-F238E27FC236}">
                  <a16:creationId xmlns:a16="http://schemas.microsoft.com/office/drawing/2014/main" id="{00000000-0008-0000-0100-0000A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343</xdr:row>
          <xdr:rowOff>198120</xdr:rowOff>
        </xdr:from>
        <xdr:to>
          <xdr:col>4</xdr:col>
          <xdr:colOff>518160</xdr:colOff>
          <xdr:row>343</xdr:row>
          <xdr:rowOff>533400</xdr:rowOff>
        </xdr:to>
        <xdr:sp macro="" textlink="">
          <xdr:nvSpPr>
            <xdr:cNvPr id="2470" name="Check Box 422" hidden="1">
              <a:extLst>
                <a:ext uri="{63B3BB69-23CF-44E3-9099-C40C66FF867C}">
                  <a14:compatExt spid="_x0000_s2470"/>
                </a:ext>
                <a:ext uri="{FF2B5EF4-FFF2-40B4-BE49-F238E27FC236}">
                  <a16:creationId xmlns:a16="http://schemas.microsoft.com/office/drawing/2014/main" id="{00000000-0008-0000-0100-0000A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343</xdr:row>
          <xdr:rowOff>198120</xdr:rowOff>
        </xdr:from>
        <xdr:to>
          <xdr:col>4</xdr:col>
          <xdr:colOff>518160</xdr:colOff>
          <xdr:row>343</xdr:row>
          <xdr:rowOff>533400</xdr:rowOff>
        </xdr:to>
        <xdr:sp macro="" textlink="">
          <xdr:nvSpPr>
            <xdr:cNvPr id="2471" name="Check Box 423" hidden="1">
              <a:extLst>
                <a:ext uri="{63B3BB69-23CF-44E3-9099-C40C66FF867C}">
                  <a14:compatExt spid="_x0000_s2471"/>
                </a:ext>
                <a:ext uri="{FF2B5EF4-FFF2-40B4-BE49-F238E27FC236}">
                  <a16:creationId xmlns:a16="http://schemas.microsoft.com/office/drawing/2014/main" id="{00000000-0008-0000-0100-0000A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345</xdr:row>
          <xdr:rowOff>198120</xdr:rowOff>
        </xdr:from>
        <xdr:to>
          <xdr:col>4</xdr:col>
          <xdr:colOff>518160</xdr:colOff>
          <xdr:row>345</xdr:row>
          <xdr:rowOff>533400</xdr:rowOff>
        </xdr:to>
        <xdr:sp macro="" textlink="">
          <xdr:nvSpPr>
            <xdr:cNvPr id="2472" name="Check Box 424" hidden="1">
              <a:extLst>
                <a:ext uri="{63B3BB69-23CF-44E3-9099-C40C66FF867C}">
                  <a14:compatExt spid="_x0000_s2472"/>
                </a:ext>
                <a:ext uri="{FF2B5EF4-FFF2-40B4-BE49-F238E27FC236}">
                  <a16:creationId xmlns:a16="http://schemas.microsoft.com/office/drawing/2014/main" id="{00000000-0008-0000-0100-0000A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345</xdr:row>
          <xdr:rowOff>198120</xdr:rowOff>
        </xdr:from>
        <xdr:to>
          <xdr:col>4</xdr:col>
          <xdr:colOff>518160</xdr:colOff>
          <xdr:row>345</xdr:row>
          <xdr:rowOff>533400</xdr:rowOff>
        </xdr:to>
        <xdr:sp macro="" textlink="">
          <xdr:nvSpPr>
            <xdr:cNvPr id="2473" name="Check Box 425" hidden="1">
              <a:extLst>
                <a:ext uri="{63B3BB69-23CF-44E3-9099-C40C66FF867C}">
                  <a14:compatExt spid="_x0000_s2473"/>
                </a:ext>
                <a:ext uri="{FF2B5EF4-FFF2-40B4-BE49-F238E27FC236}">
                  <a16:creationId xmlns:a16="http://schemas.microsoft.com/office/drawing/2014/main" id="{00000000-0008-0000-0100-0000A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346</xdr:row>
          <xdr:rowOff>198120</xdr:rowOff>
        </xdr:from>
        <xdr:to>
          <xdr:col>4</xdr:col>
          <xdr:colOff>518160</xdr:colOff>
          <xdr:row>346</xdr:row>
          <xdr:rowOff>533400</xdr:rowOff>
        </xdr:to>
        <xdr:sp macro="" textlink="">
          <xdr:nvSpPr>
            <xdr:cNvPr id="2474" name="Check Box 426" hidden="1">
              <a:extLst>
                <a:ext uri="{63B3BB69-23CF-44E3-9099-C40C66FF867C}">
                  <a14:compatExt spid="_x0000_s2474"/>
                </a:ext>
                <a:ext uri="{FF2B5EF4-FFF2-40B4-BE49-F238E27FC236}">
                  <a16:creationId xmlns:a16="http://schemas.microsoft.com/office/drawing/2014/main" id="{00000000-0008-0000-0100-0000A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346</xdr:row>
          <xdr:rowOff>198120</xdr:rowOff>
        </xdr:from>
        <xdr:to>
          <xdr:col>4</xdr:col>
          <xdr:colOff>518160</xdr:colOff>
          <xdr:row>346</xdr:row>
          <xdr:rowOff>533400</xdr:rowOff>
        </xdr:to>
        <xdr:sp macro="" textlink="">
          <xdr:nvSpPr>
            <xdr:cNvPr id="2475" name="Check Box 427" hidden="1">
              <a:extLst>
                <a:ext uri="{63B3BB69-23CF-44E3-9099-C40C66FF867C}">
                  <a14:compatExt spid="_x0000_s2475"/>
                </a:ext>
                <a:ext uri="{FF2B5EF4-FFF2-40B4-BE49-F238E27FC236}">
                  <a16:creationId xmlns:a16="http://schemas.microsoft.com/office/drawing/2014/main" id="{00000000-0008-0000-0100-0000A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347</xdr:row>
          <xdr:rowOff>198120</xdr:rowOff>
        </xdr:from>
        <xdr:to>
          <xdr:col>4</xdr:col>
          <xdr:colOff>518160</xdr:colOff>
          <xdr:row>347</xdr:row>
          <xdr:rowOff>533400</xdr:rowOff>
        </xdr:to>
        <xdr:sp macro="" textlink="">
          <xdr:nvSpPr>
            <xdr:cNvPr id="2476" name="Check Box 428" hidden="1">
              <a:extLst>
                <a:ext uri="{63B3BB69-23CF-44E3-9099-C40C66FF867C}">
                  <a14:compatExt spid="_x0000_s2476"/>
                </a:ext>
                <a:ext uri="{FF2B5EF4-FFF2-40B4-BE49-F238E27FC236}">
                  <a16:creationId xmlns:a16="http://schemas.microsoft.com/office/drawing/2014/main" id="{00000000-0008-0000-0100-0000A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347</xdr:row>
          <xdr:rowOff>198120</xdr:rowOff>
        </xdr:from>
        <xdr:to>
          <xdr:col>4</xdr:col>
          <xdr:colOff>518160</xdr:colOff>
          <xdr:row>347</xdr:row>
          <xdr:rowOff>533400</xdr:rowOff>
        </xdr:to>
        <xdr:sp macro="" textlink="">
          <xdr:nvSpPr>
            <xdr:cNvPr id="2477" name="Check Box 429" hidden="1">
              <a:extLst>
                <a:ext uri="{63B3BB69-23CF-44E3-9099-C40C66FF867C}">
                  <a14:compatExt spid="_x0000_s2477"/>
                </a:ext>
                <a:ext uri="{FF2B5EF4-FFF2-40B4-BE49-F238E27FC236}">
                  <a16:creationId xmlns:a16="http://schemas.microsoft.com/office/drawing/2014/main" id="{00000000-0008-0000-0100-0000A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349</xdr:row>
          <xdr:rowOff>198120</xdr:rowOff>
        </xdr:from>
        <xdr:to>
          <xdr:col>4</xdr:col>
          <xdr:colOff>518160</xdr:colOff>
          <xdr:row>349</xdr:row>
          <xdr:rowOff>533400</xdr:rowOff>
        </xdr:to>
        <xdr:sp macro="" textlink="">
          <xdr:nvSpPr>
            <xdr:cNvPr id="2478" name="Check Box 430" hidden="1">
              <a:extLst>
                <a:ext uri="{63B3BB69-23CF-44E3-9099-C40C66FF867C}">
                  <a14:compatExt spid="_x0000_s2478"/>
                </a:ext>
                <a:ext uri="{FF2B5EF4-FFF2-40B4-BE49-F238E27FC236}">
                  <a16:creationId xmlns:a16="http://schemas.microsoft.com/office/drawing/2014/main" id="{00000000-0008-0000-0100-0000A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349</xdr:row>
          <xdr:rowOff>198120</xdr:rowOff>
        </xdr:from>
        <xdr:to>
          <xdr:col>4</xdr:col>
          <xdr:colOff>518160</xdr:colOff>
          <xdr:row>349</xdr:row>
          <xdr:rowOff>533400</xdr:rowOff>
        </xdr:to>
        <xdr:sp macro="" textlink="">
          <xdr:nvSpPr>
            <xdr:cNvPr id="2479" name="Check Box 431" hidden="1">
              <a:extLst>
                <a:ext uri="{63B3BB69-23CF-44E3-9099-C40C66FF867C}">
                  <a14:compatExt spid="_x0000_s2479"/>
                </a:ext>
                <a:ext uri="{FF2B5EF4-FFF2-40B4-BE49-F238E27FC236}">
                  <a16:creationId xmlns:a16="http://schemas.microsoft.com/office/drawing/2014/main" id="{00000000-0008-0000-0100-0000A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350</xdr:row>
          <xdr:rowOff>198120</xdr:rowOff>
        </xdr:from>
        <xdr:to>
          <xdr:col>4</xdr:col>
          <xdr:colOff>518160</xdr:colOff>
          <xdr:row>350</xdr:row>
          <xdr:rowOff>533400</xdr:rowOff>
        </xdr:to>
        <xdr:sp macro="" textlink="">
          <xdr:nvSpPr>
            <xdr:cNvPr id="2480" name="Check Box 432" hidden="1">
              <a:extLst>
                <a:ext uri="{63B3BB69-23CF-44E3-9099-C40C66FF867C}">
                  <a14:compatExt spid="_x0000_s2480"/>
                </a:ext>
                <a:ext uri="{FF2B5EF4-FFF2-40B4-BE49-F238E27FC236}">
                  <a16:creationId xmlns:a16="http://schemas.microsoft.com/office/drawing/2014/main" id="{00000000-0008-0000-0100-0000B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350</xdr:row>
          <xdr:rowOff>198120</xdr:rowOff>
        </xdr:from>
        <xdr:to>
          <xdr:col>4</xdr:col>
          <xdr:colOff>518160</xdr:colOff>
          <xdr:row>350</xdr:row>
          <xdr:rowOff>533400</xdr:rowOff>
        </xdr:to>
        <xdr:sp macro="" textlink="">
          <xdr:nvSpPr>
            <xdr:cNvPr id="2481" name="Check Box 433" hidden="1">
              <a:extLst>
                <a:ext uri="{63B3BB69-23CF-44E3-9099-C40C66FF867C}">
                  <a14:compatExt spid="_x0000_s2481"/>
                </a:ext>
                <a:ext uri="{FF2B5EF4-FFF2-40B4-BE49-F238E27FC236}">
                  <a16:creationId xmlns:a16="http://schemas.microsoft.com/office/drawing/2014/main" id="{00000000-0008-0000-0100-0000B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352</xdr:row>
          <xdr:rowOff>198120</xdr:rowOff>
        </xdr:from>
        <xdr:to>
          <xdr:col>4</xdr:col>
          <xdr:colOff>518160</xdr:colOff>
          <xdr:row>352</xdr:row>
          <xdr:rowOff>533400</xdr:rowOff>
        </xdr:to>
        <xdr:sp macro="" textlink="">
          <xdr:nvSpPr>
            <xdr:cNvPr id="2482" name="Check Box 434" hidden="1">
              <a:extLst>
                <a:ext uri="{63B3BB69-23CF-44E3-9099-C40C66FF867C}">
                  <a14:compatExt spid="_x0000_s2482"/>
                </a:ext>
                <a:ext uri="{FF2B5EF4-FFF2-40B4-BE49-F238E27FC236}">
                  <a16:creationId xmlns:a16="http://schemas.microsoft.com/office/drawing/2014/main" id="{00000000-0008-0000-0100-0000B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352</xdr:row>
          <xdr:rowOff>198120</xdr:rowOff>
        </xdr:from>
        <xdr:to>
          <xdr:col>4</xdr:col>
          <xdr:colOff>518160</xdr:colOff>
          <xdr:row>352</xdr:row>
          <xdr:rowOff>533400</xdr:rowOff>
        </xdr:to>
        <xdr:sp macro="" textlink="">
          <xdr:nvSpPr>
            <xdr:cNvPr id="2483" name="Check Box 435" hidden="1">
              <a:extLst>
                <a:ext uri="{63B3BB69-23CF-44E3-9099-C40C66FF867C}">
                  <a14:compatExt spid="_x0000_s2483"/>
                </a:ext>
                <a:ext uri="{FF2B5EF4-FFF2-40B4-BE49-F238E27FC236}">
                  <a16:creationId xmlns:a16="http://schemas.microsoft.com/office/drawing/2014/main" id="{00000000-0008-0000-0100-0000B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353</xdr:row>
          <xdr:rowOff>198120</xdr:rowOff>
        </xdr:from>
        <xdr:to>
          <xdr:col>4</xdr:col>
          <xdr:colOff>518160</xdr:colOff>
          <xdr:row>353</xdr:row>
          <xdr:rowOff>533400</xdr:rowOff>
        </xdr:to>
        <xdr:sp macro="" textlink="">
          <xdr:nvSpPr>
            <xdr:cNvPr id="2484" name="Check Box 436" hidden="1">
              <a:extLst>
                <a:ext uri="{63B3BB69-23CF-44E3-9099-C40C66FF867C}">
                  <a14:compatExt spid="_x0000_s2484"/>
                </a:ext>
                <a:ext uri="{FF2B5EF4-FFF2-40B4-BE49-F238E27FC236}">
                  <a16:creationId xmlns:a16="http://schemas.microsoft.com/office/drawing/2014/main" id="{00000000-0008-0000-0100-0000B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353</xdr:row>
          <xdr:rowOff>198120</xdr:rowOff>
        </xdr:from>
        <xdr:to>
          <xdr:col>4</xdr:col>
          <xdr:colOff>518160</xdr:colOff>
          <xdr:row>353</xdr:row>
          <xdr:rowOff>533400</xdr:rowOff>
        </xdr:to>
        <xdr:sp macro="" textlink="">
          <xdr:nvSpPr>
            <xdr:cNvPr id="2485" name="Check Box 437" hidden="1">
              <a:extLst>
                <a:ext uri="{63B3BB69-23CF-44E3-9099-C40C66FF867C}">
                  <a14:compatExt spid="_x0000_s2485"/>
                </a:ext>
                <a:ext uri="{FF2B5EF4-FFF2-40B4-BE49-F238E27FC236}">
                  <a16:creationId xmlns:a16="http://schemas.microsoft.com/office/drawing/2014/main" id="{00000000-0008-0000-0100-0000B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354</xdr:row>
          <xdr:rowOff>198120</xdr:rowOff>
        </xdr:from>
        <xdr:to>
          <xdr:col>4</xdr:col>
          <xdr:colOff>518160</xdr:colOff>
          <xdr:row>354</xdr:row>
          <xdr:rowOff>533400</xdr:rowOff>
        </xdr:to>
        <xdr:sp macro="" textlink="">
          <xdr:nvSpPr>
            <xdr:cNvPr id="2486" name="Check Box 438" hidden="1">
              <a:extLst>
                <a:ext uri="{63B3BB69-23CF-44E3-9099-C40C66FF867C}">
                  <a14:compatExt spid="_x0000_s2486"/>
                </a:ext>
                <a:ext uri="{FF2B5EF4-FFF2-40B4-BE49-F238E27FC236}">
                  <a16:creationId xmlns:a16="http://schemas.microsoft.com/office/drawing/2014/main" id="{00000000-0008-0000-0100-0000B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354</xdr:row>
          <xdr:rowOff>198120</xdr:rowOff>
        </xdr:from>
        <xdr:to>
          <xdr:col>4</xdr:col>
          <xdr:colOff>518160</xdr:colOff>
          <xdr:row>354</xdr:row>
          <xdr:rowOff>533400</xdr:rowOff>
        </xdr:to>
        <xdr:sp macro="" textlink="">
          <xdr:nvSpPr>
            <xdr:cNvPr id="2487" name="Check Box 439" hidden="1">
              <a:extLst>
                <a:ext uri="{63B3BB69-23CF-44E3-9099-C40C66FF867C}">
                  <a14:compatExt spid="_x0000_s2487"/>
                </a:ext>
                <a:ext uri="{FF2B5EF4-FFF2-40B4-BE49-F238E27FC236}">
                  <a16:creationId xmlns:a16="http://schemas.microsoft.com/office/drawing/2014/main" id="{00000000-0008-0000-0100-0000B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355</xdr:row>
          <xdr:rowOff>198120</xdr:rowOff>
        </xdr:from>
        <xdr:to>
          <xdr:col>4</xdr:col>
          <xdr:colOff>518160</xdr:colOff>
          <xdr:row>355</xdr:row>
          <xdr:rowOff>533400</xdr:rowOff>
        </xdr:to>
        <xdr:sp macro="" textlink="">
          <xdr:nvSpPr>
            <xdr:cNvPr id="2488" name="Check Box 440" hidden="1">
              <a:extLst>
                <a:ext uri="{63B3BB69-23CF-44E3-9099-C40C66FF867C}">
                  <a14:compatExt spid="_x0000_s2488"/>
                </a:ext>
                <a:ext uri="{FF2B5EF4-FFF2-40B4-BE49-F238E27FC236}">
                  <a16:creationId xmlns:a16="http://schemas.microsoft.com/office/drawing/2014/main" id="{00000000-0008-0000-0100-0000B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355</xdr:row>
          <xdr:rowOff>198120</xdr:rowOff>
        </xdr:from>
        <xdr:to>
          <xdr:col>4</xdr:col>
          <xdr:colOff>518160</xdr:colOff>
          <xdr:row>355</xdr:row>
          <xdr:rowOff>533400</xdr:rowOff>
        </xdr:to>
        <xdr:sp macro="" textlink="">
          <xdr:nvSpPr>
            <xdr:cNvPr id="2489" name="Check Box 441" hidden="1">
              <a:extLst>
                <a:ext uri="{63B3BB69-23CF-44E3-9099-C40C66FF867C}">
                  <a14:compatExt spid="_x0000_s2489"/>
                </a:ext>
                <a:ext uri="{FF2B5EF4-FFF2-40B4-BE49-F238E27FC236}">
                  <a16:creationId xmlns:a16="http://schemas.microsoft.com/office/drawing/2014/main" id="{00000000-0008-0000-0100-0000B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357</xdr:row>
          <xdr:rowOff>198120</xdr:rowOff>
        </xdr:from>
        <xdr:to>
          <xdr:col>4</xdr:col>
          <xdr:colOff>518160</xdr:colOff>
          <xdr:row>357</xdr:row>
          <xdr:rowOff>533400</xdr:rowOff>
        </xdr:to>
        <xdr:sp macro="" textlink="">
          <xdr:nvSpPr>
            <xdr:cNvPr id="2490" name="Check Box 442" hidden="1">
              <a:extLst>
                <a:ext uri="{63B3BB69-23CF-44E3-9099-C40C66FF867C}">
                  <a14:compatExt spid="_x0000_s2490"/>
                </a:ext>
                <a:ext uri="{FF2B5EF4-FFF2-40B4-BE49-F238E27FC236}">
                  <a16:creationId xmlns:a16="http://schemas.microsoft.com/office/drawing/2014/main" id="{00000000-0008-0000-0100-0000B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357</xdr:row>
          <xdr:rowOff>198120</xdr:rowOff>
        </xdr:from>
        <xdr:to>
          <xdr:col>4</xdr:col>
          <xdr:colOff>518160</xdr:colOff>
          <xdr:row>357</xdr:row>
          <xdr:rowOff>533400</xdr:rowOff>
        </xdr:to>
        <xdr:sp macro="" textlink="">
          <xdr:nvSpPr>
            <xdr:cNvPr id="2491" name="Check Box 443" hidden="1">
              <a:extLst>
                <a:ext uri="{63B3BB69-23CF-44E3-9099-C40C66FF867C}">
                  <a14:compatExt spid="_x0000_s2491"/>
                </a:ext>
                <a:ext uri="{FF2B5EF4-FFF2-40B4-BE49-F238E27FC236}">
                  <a16:creationId xmlns:a16="http://schemas.microsoft.com/office/drawing/2014/main" id="{00000000-0008-0000-0100-0000B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358</xdr:row>
          <xdr:rowOff>198120</xdr:rowOff>
        </xdr:from>
        <xdr:to>
          <xdr:col>4</xdr:col>
          <xdr:colOff>518160</xdr:colOff>
          <xdr:row>358</xdr:row>
          <xdr:rowOff>533400</xdr:rowOff>
        </xdr:to>
        <xdr:sp macro="" textlink="">
          <xdr:nvSpPr>
            <xdr:cNvPr id="2492" name="Check Box 444" hidden="1">
              <a:extLst>
                <a:ext uri="{63B3BB69-23CF-44E3-9099-C40C66FF867C}">
                  <a14:compatExt spid="_x0000_s2492"/>
                </a:ext>
                <a:ext uri="{FF2B5EF4-FFF2-40B4-BE49-F238E27FC236}">
                  <a16:creationId xmlns:a16="http://schemas.microsoft.com/office/drawing/2014/main" id="{00000000-0008-0000-0100-0000B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358</xdr:row>
          <xdr:rowOff>198120</xdr:rowOff>
        </xdr:from>
        <xdr:to>
          <xdr:col>4</xdr:col>
          <xdr:colOff>518160</xdr:colOff>
          <xdr:row>358</xdr:row>
          <xdr:rowOff>533400</xdr:rowOff>
        </xdr:to>
        <xdr:sp macro="" textlink="">
          <xdr:nvSpPr>
            <xdr:cNvPr id="2493" name="Check Box 445" hidden="1">
              <a:extLst>
                <a:ext uri="{63B3BB69-23CF-44E3-9099-C40C66FF867C}">
                  <a14:compatExt spid="_x0000_s2493"/>
                </a:ext>
                <a:ext uri="{FF2B5EF4-FFF2-40B4-BE49-F238E27FC236}">
                  <a16:creationId xmlns:a16="http://schemas.microsoft.com/office/drawing/2014/main" id="{00000000-0008-0000-0100-0000B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359</xdr:row>
          <xdr:rowOff>198120</xdr:rowOff>
        </xdr:from>
        <xdr:to>
          <xdr:col>4</xdr:col>
          <xdr:colOff>518160</xdr:colOff>
          <xdr:row>359</xdr:row>
          <xdr:rowOff>533400</xdr:rowOff>
        </xdr:to>
        <xdr:sp macro="" textlink="">
          <xdr:nvSpPr>
            <xdr:cNvPr id="2494" name="Check Box 446" hidden="1">
              <a:extLst>
                <a:ext uri="{63B3BB69-23CF-44E3-9099-C40C66FF867C}">
                  <a14:compatExt spid="_x0000_s2494"/>
                </a:ext>
                <a:ext uri="{FF2B5EF4-FFF2-40B4-BE49-F238E27FC236}">
                  <a16:creationId xmlns:a16="http://schemas.microsoft.com/office/drawing/2014/main" id="{00000000-0008-0000-0100-0000B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359</xdr:row>
          <xdr:rowOff>198120</xdr:rowOff>
        </xdr:from>
        <xdr:to>
          <xdr:col>4</xdr:col>
          <xdr:colOff>518160</xdr:colOff>
          <xdr:row>359</xdr:row>
          <xdr:rowOff>533400</xdr:rowOff>
        </xdr:to>
        <xdr:sp macro="" textlink="">
          <xdr:nvSpPr>
            <xdr:cNvPr id="2495" name="Check Box 447" hidden="1">
              <a:extLst>
                <a:ext uri="{63B3BB69-23CF-44E3-9099-C40C66FF867C}">
                  <a14:compatExt spid="_x0000_s2495"/>
                </a:ext>
                <a:ext uri="{FF2B5EF4-FFF2-40B4-BE49-F238E27FC236}">
                  <a16:creationId xmlns:a16="http://schemas.microsoft.com/office/drawing/2014/main" id="{00000000-0008-0000-0100-0000B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360</xdr:row>
          <xdr:rowOff>198120</xdr:rowOff>
        </xdr:from>
        <xdr:to>
          <xdr:col>4</xdr:col>
          <xdr:colOff>518160</xdr:colOff>
          <xdr:row>360</xdr:row>
          <xdr:rowOff>533400</xdr:rowOff>
        </xdr:to>
        <xdr:sp macro="" textlink="">
          <xdr:nvSpPr>
            <xdr:cNvPr id="2496" name="Check Box 448" hidden="1">
              <a:extLst>
                <a:ext uri="{63B3BB69-23CF-44E3-9099-C40C66FF867C}">
                  <a14:compatExt spid="_x0000_s2496"/>
                </a:ext>
                <a:ext uri="{FF2B5EF4-FFF2-40B4-BE49-F238E27FC236}">
                  <a16:creationId xmlns:a16="http://schemas.microsoft.com/office/drawing/2014/main" id="{00000000-0008-0000-0100-0000C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360</xdr:row>
          <xdr:rowOff>198120</xdr:rowOff>
        </xdr:from>
        <xdr:to>
          <xdr:col>4</xdr:col>
          <xdr:colOff>518160</xdr:colOff>
          <xdr:row>360</xdr:row>
          <xdr:rowOff>533400</xdr:rowOff>
        </xdr:to>
        <xdr:sp macro="" textlink="">
          <xdr:nvSpPr>
            <xdr:cNvPr id="2497" name="Check Box 449" hidden="1">
              <a:extLst>
                <a:ext uri="{63B3BB69-23CF-44E3-9099-C40C66FF867C}">
                  <a14:compatExt spid="_x0000_s2497"/>
                </a:ext>
                <a:ext uri="{FF2B5EF4-FFF2-40B4-BE49-F238E27FC236}">
                  <a16:creationId xmlns:a16="http://schemas.microsoft.com/office/drawing/2014/main" id="{00000000-0008-0000-0100-0000C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365</xdr:row>
          <xdr:rowOff>198120</xdr:rowOff>
        </xdr:from>
        <xdr:to>
          <xdr:col>4</xdr:col>
          <xdr:colOff>518160</xdr:colOff>
          <xdr:row>365</xdr:row>
          <xdr:rowOff>533400</xdr:rowOff>
        </xdr:to>
        <xdr:sp macro="" textlink="">
          <xdr:nvSpPr>
            <xdr:cNvPr id="2498" name="Check Box 450" hidden="1">
              <a:extLst>
                <a:ext uri="{63B3BB69-23CF-44E3-9099-C40C66FF867C}">
                  <a14:compatExt spid="_x0000_s2498"/>
                </a:ext>
                <a:ext uri="{FF2B5EF4-FFF2-40B4-BE49-F238E27FC236}">
                  <a16:creationId xmlns:a16="http://schemas.microsoft.com/office/drawing/2014/main" id="{00000000-0008-0000-0100-0000C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365</xdr:row>
          <xdr:rowOff>198120</xdr:rowOff>
        </xdr:from>
        <xdr:to>
          <xdr:col>4</xdr:col>
          <xdr:colOff>518160</xdr:colOff>
          <xdr:row>365</xdr:row>
          <xdr:rowOff>533400</xdr:rowOff>
        </xdr:to>
        <xdr:sp macro="" textlink="">
          <xdr:nvSpPr>
            <xdr:cNvPr id="2499" name="Check Box 451" hidden="1">
              <a:extLst>
                <a:ext uri="{63B3BB69-23CF-44E3-9099-C40C66FF867C}">
                  <a14:compatExt spid="_x0000_s2499"/>
                </a:ext>
                <a:ext uri="{FF2B5EF4-FFF2-40B4-BE49-F238E27FC236}">
                  <a16:creationId xmlns:a16="http://schemas.microsoft.com/office/drawing/2014/main" id="{00000000-0008-0000-0100-0000C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366</xdr:row>
          <xdr:rowOff>198120</xdr:rowOff>
        </xdr:from>
        <xdr:to>
          <xdr:col>4</xdr:col>
          <xdr:colOff>518160</xdr:colOff>
          <xdr:row>366</xdr:row>
          <xdr:rowOff>533400</xdr:rowOff>
        </xdr:to>
        <xdr:sp macro="" textlink="">
          <xdr:nvSpPr>
            <xdr:cNvPr id="2500" name="Check Box 452" hidden="1">
              <a:extLst>
                <a:ext uri="{63B3BB69-23CF-44E3-9099-C40C66FF867C}">
                  <a14:compatExt spid="_x0000_s2500"/>
                </a:ext>
                <a:ext uri="{FF2B5EF4-FFF2-40B4-BE49-F238E27FC236}">
                  <a16:creationId xmlns:a16="http://schemas.microsoft.com/office/drawing/2014/main" id="{00000000-0008-0000-0100-0000C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366</xdr:row>
          <xdr:rowOff>198120</xdr:rowOff>
        </xdr:from>
        <xdr:to>
          <xdr:col>4</xdr:col>
          <xdr:colOff>518160</xdr:colOff>
          <xdr:row>366</xdr:row>
          <xdr:rowOff>533400</xdr:rowOff>
        </xdr:to>
        <xdr:sp macro="" textlink="">
          <xdr:nvSpPr>
            <xdr:cNvPr id="2501" name="Check Box 453" hidden="1">
              <a:extLst>
                <a:ext uri="{63B3BB69-23CF-44E3-9099-C40C66FF867C}">
                  <a14:compatExt spid="_x0000_s2501"/>
                </a:ext>
                <a:ext uri="{FF2B5EF4-FFF2-40B4-BE49-F238E27FC236}">
                  <a16:creationId xmlns:a16="http://schemas.microsoft.com/office/drawing/2014/main" id="{00000000-0008-0000-0100-0000C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368</xdr:row>
          <xdr:rowOff>198120</xdr:rowOff>
        </xdr:from>
        <xdr:to>
          <xdr:col>4</xdr:col>
          <xdr:colOff>518160</xdr:colOff>
          <xdr:row>368</xdr:row>
          <xdr:rowOff>533400</xdr:rowOff>
        </xdr:to>
        <xdr:sp macro="" textlink="">
          <xdr:nvSpPr>
            <xdr:cNvPr id="2502" name="Check Box 454" hidden="1">
              <a:extLst>
                <a:ext uri="{63B3BB69-23CF-44E3-9099-C40C66FF867C}">
                  <a14:compatExt spid="_x0000_s2502"/>
                </a:ext>
                <a:ext uri="{FF2B5EF4-FFF2-40B4-BE49-F238E27FC236}">
                  <a16:creationId xmlns:a16="http://schemas.microsoft.com/office/drawing/2014/main" id="{00000000-0008-0000-0100-0000C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368</xdr:row>
          <xdr:rowOff>198120</xdr:rowOff>
        </xdr:from>
        <xdr:to>
          <xdr:col>4</xdr:col>
          <xdr:colOff>518160</xdr:colOff>
          <xdr:row>368</xdr:row>
          <xdr:rowOff>533400</xdr:rowOff>
        </xdr:to>
        <xdr:sp macro="" textlink="">
          <xdr:nvSpPr>
            <xdr:cNvPr id="2503" name="Check Box 455" hidden="1">
              <a:extLst>
                <a:ext uri="{63B3BB69-23CF-44E3-9099-C40C66FF867C}">
                  <a14:compatExt spid="_x0000_s2503"/>
                </a:ext>
                <a:ext uri="{FF2B5EF4-FFF2-40B4-BE49-F238E27FC236}">
                  <a16:creationId xmlns:a16="http://schemas.microsoft.com/office/drawing/2014/main" id="{00000000-0008-0000-0100-0000C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369</xdr:row>
          <xdr:rowOff>198120</xdr:rowOff>
        </xdr:from>
        <xdr:to>
          <xdr:col>4</xdr:col>
          <xdr:colOff>518160</xdr:colOff>
          <xdr:row>369</xdr:row>
          <xdr:rowOff>533400</xdr:rowOff>
        </xdr:to>
        <xdr:sp macro="" textlink="">
          <xdr:nvSpPr>
            <xdr:cNvPr id="2504" name="Check Box 456" hidden="1">
              <a:extLst>
                <a:ext uri="{63B3BB69-23CF-44E3-9099-C40C66FF867C}">
                  <a14:compatExt spid="_x0000_s2504"/>
                </a:ext>
                <a:ext uri="{FF2B5EF4-FFF2-40B4-BE49-F238E27FC236}">
                  <a16:creationId xmlns:a16="http://schemas.microsoft.com/office/drawing/2014/main" id="{00000000-0008-0000-0100-0000C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369</xdr:row>
          <xdr:rowOff>198120</xdr:rowOff>
        </xdr:from>
        <xdr:to>
          <xdr:col>4</xdr:col>
          <xdr:colOff>518160</xdr:colOff>
          <xdr:row>369</xdr:row>
          <xdr:rowOff>533400</xdr:rowOff>
        </xdr:to>
        <xdr:sp macro="" textlink="">
          <xdr:nvSpPr>
            <xdr:cNvPr id="2505" name="Check Box 457" hidden="1">
              <a:extLst>
                <a:ext uri="{63B3BB69-23CF-44E3-9099-C40C66FF867C}">
                  <a14:compatExt spid="_x0000_s2505"/>
                </a:ext>
                <a:ext uri="{FF2B5EF4-FFF2-40B4-BE49-F238E27FC236}">
                  <a16:creationId xmlns:a16="http://schemas.microsoft.com/office/drawing/2014/main" id="{00000000-0008-0000-0100-0000C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370</xdr:row>
          <xdr:rowOff>198120</xdr:rowOff>
        </xdr:from>
        <xdr:to>
          <xdr:col>4</xdr:col>
          <xdr:colOff>518160</xdr:colOff>
          <xdr:row>370</xdr:row>
          <xdr:rowOff>533400</xdr:rowOff>
        </xdr:to>
        <xdr:sp macro="" textlink="">
          <xdr:nvSpPr>
            <xdr:cNvPr id="2506" name="Check Box 458" hidden="1">
              <a:extLst>
                <a:ext uri="{63B3BB69-23CF-44E3-9099-C40C66FF867C}">
                  <a14:compatExt spid="_x0000_s2506"/>
                </a:ext>
                <a:ext uri="{FF2B5EF4-FFF2-40B4-BE49-F238E27FC236}">
                  <a16:creationId xmlns:a16="http://schemas.microsoft.com/office/drawing/2014/main" id="{00000000-0008-0000-0100-0000C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370</xdr:row>
          <xdr:rowOff>198120</xdr:rowOff>
        </xdr:from>
        <xdr:to>
          <xdr:col>4</xdr:col>
          <xdr:colOff>518160</xdr:colOff>
          <xdr:row>370</xdr:row>
          <xdr:rowOff>533400</xdr:rowOff>
        </xdr:to>
        <xdr:sp macro="" textlink="">
          <xdr:nvSpPr>
            <xdr:cNvPr id="2507" name="Check Box 459" hidden="1">
              <a:extLst>
                <a:ext uri="{63B3BB69-23CF-44E3-9099-C40C66FF867C}">
                  <a14:compatExt spid="_x0000_s2507"/>
                </a:ext>
                <a:ext uri="{FF2B5EF4-FFF2-40B4-BE49-F238E27FC236}">
                  <a16:creationId xmlns:a16="http://schemas.microsoft.com/office/drawing/2014/main" id="{00000000-0008-0000-0100-0000C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372</xdr:row>
          <xdr:rowOff>198120</xdr:rowOff>
        </xdr:from>
        <xdr:to>
          <xdr:col>4</xdr:col>
          <xdr:colOff>518160</xdr:colOff>
          <xdr:row>372</xdr:row>
          <xdr:rowOff>533400</xdr:rowOff>
        </xdr:to>
        <xdr:sp macro="" textlink="">
          <xdr:nvSpPr>
            <xdr:cNvPr id="2508" name="Check Box 460" hidden="1">
              <a:extLst>
                <a:ext uri="{63B3BB69-23CF-44E3-9099-C40C66FF867C}">
                  <a14:compatExt spid="_x0000_s2508"/>
                </a:ext>
                <a:ext uri="{FF2B5EF4-FFF2-40B4-BE49-F238E27FC236}">
                  <a16:creationId xmlns:a16="http://schemas.microsoft.com/office/drawing/2014/main" id="{00000000-0008-0000-0100-0000C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372</xdr:row>
          <xdr:rowOff>198120</xdr:rowOff>
        </xdr:from>
        <xdr:to>
          <xdr:col>4</xdr:col>
          <xdr:colOff>518160</xdr:colOff>
          <xdr:row>372</xdr:row>
          <xdr:rowOff>533400</xdr:rowOff>
        </xdr:to>
        <xdr:sp macro="" textlink="">
          <xdr:nvSpPr>
            <xdr:cNvPr id="2509" name="Check Box 461" hidden="1">
              <a:extLst>
                <a:ext uri="{63B3BB69-23CF-44E3-9099-C40C66FF867C}">
                  <a14:compatExt spid="_x0000_s2509"/>
                </a:ext>
                <a:ext uri="{FF2B5EF4-FFF2-40B4-BE49-F238E27FC236}">
                  <a16:creationId xmlns:a16="http://schemas.microsoft.com/office/drawing/2014/main" id="{00000000-0008-0000-0100-0000C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373</xdr:row>
          <xdr:rowOff>198120</xdr:rowOff>
        </xdr:from>
        <xdr:to>
          <xdr:col>4</xdr:col>
          <xdr:colOff>518160</xdr:colOff>
          <xdr:row>373</xdr:row>
          <xdr:rowOff>533400</xdr:rowOff>
        </xdr:to>
        <xdr:sp macro="" textlink="">
          <xdr:nvSpPr>
            <xdr:cNvPr id="2510" name="Check Box 462" hidden="1">
              <a:extLst>
                <a:ext uri="{63B3BB69-23CF-44E3-9099-C40C66FF867C}">
                  <a14:compatExt spid="_x0000_s2510"/>
                </a:ext>
                <a:ext uri="{FF2B5EF4-FFF2-40B4-BE49-F238E27FC236}">
                  <a16:creationId xmlns:a16="http://schemas.microsoft.com/office/drawing/2014/main" id="{00000000-0008-0000-0100-0000C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373</xdr:row>
          <xdr:rowOff>198120</xdr:rowOff>
        </xdr:from>
        <xdr:to>
          <xdr:col>4</xdr:col>
          <xdr:colOff>518160</xdr:colOff>
          <xdr:row>373</xdr:row>
          <xdr:rowOff>533400</xdr:rowOff>
        </xdr:to>
        <xdr:sp macro="" textlink="">
          <xdr:nvSpPr>
            <xdr:cNvPr id="2511" name="Check Box 463" hidden="1">
              <a:extLst>
                <a:ext uri="{63B3BB69-23CF-44E3-9099-C40C66FF867C}">
                  <a14:compatExt spid="_x0000_s2511"/>
                </a:ext>
                <a:ext uri="{FF2B5EF4-FFF2-40B4-BE49-F238E27FC236}">
                  <a16:creationId xmlns:a16="http://schemas.microsoft.com/office/drawing/2014/main" id="{00000000-0008-0000-0100-0000C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375</xdr:row>
          <xdr:rowOff>198120</xdr:rowOff>
        </xdr:from>
        <xdr:to>
          <xdr:col>4</xdr:col>
          <xdr:colOff>518160</xdr:colOff>
          <xdr:row>375</xdr:row>
          <xdr:rowOff>533400</xdr:rowOff>
        </xdr:to>
        <xdr:sp macro="" textlink="">
          <xdr:nvSpPr>
            <xdr:cNvPr id="2512" name="Check Box 464" hidden="1">
              <a:extLst>
                <a:ext uri="{63B3BB69-23CF-44E3-9099-C40C66FF867C}">
                  <a14:compatExt spid="_x0000_s2512"/>
                </a:ext>
                <a:ext uri="{FF2B5EF4-FFF2-40B4-BE49-F238E27FC236}">
                  <a16:creationId xmlns:a16="http://schemas.microsoft.com/office/drawing/2014/main" id="{00000000-0008-0000-0100-0000D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375</xdr:row>
          <xdr:rowOff>198120</xdr:rowOff>
        </xdr:from>
        <xdr:to>
          <xdr:col>4</xdr:col>
          <xdr:colOff>518160</xdr:colOff>
          <xdr:row>375</xdr:row>
          <xdr:rowOff>533400</xdr:rowOff>
        </xdr:to>
        <xdr:sp macro="" textlink="">
          <xdr:nvSpPr>
            <xdr:cNvPr id="2513" name="Check Box 465" hidden="1">
              <a:extLst>
                <a:ext uri="{63B3BB69-23CF-44E3-9099-C40C66FF867C}">
                  <a14:compatExt spid="_x0000_s2513"/>
                </a:ext>
                <a:ext uri="{FF2B5EF4-FFF2-40B4-BE49-F238E27FC236}">
                  <a16:creationId xmlns:a16="http://schemas.microsoft.com/office/drawing/2014/main" id="{00000000-0008-0000-0100-0000D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376</xdr:row>
          <xdr:rowOff>198120</xdr:rowOff>
        </xdr:from>
        <xdr:to>
          <xdr:col>4</xdr:col>
          <xdr:colOff>518160</xdr:colOff>
          <xdr:row>376</xdr:row>
          <xdr:rowOff>533400</xdr:rowOff>
        </xdr:to>
        <xdr:sp macro="" textlink="">
          <xdr:nvSpPr>
            <xdr:cNvPr id="2514" name="Check Box 466" hidden="1">
              <a:extLst>
                <a:ext uri="{63B3BB69-23CF-44E3-9099-C40C66FF867C}">
                  <a14:compatExt spid="_x0000_s2514"/>
                </a:ext>
                <a:ext uri="{FF2B5EF4-FFF2-40B4-BE49-F238E27FC236}">
                  <a16:creationId xmlns:a16="http://schemas.microsoft.com/office/drawing/2014/main" id="{00000000-0008-0000-0100-0000D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376</xdr:row>
          <xdr:rowOff>198120</xdr:rowOff>
        </xdr:from>
        <xdr:to>
          <xdr:col>4</xdr:col>
          <xdr:colOff>518160</xdr:colOff>
          <xdr:row>376</xdr:row>
          <xdr:rowOff>533400</xdr:rowOff>
        </xdr:to>
        <xdr:sp macro="" textlink="">
          <xdr:nvSpPr>
            <xdr:cNvPr id="2515" name="Check Box 467" hidden="1">
              <a:extLst>
                <a:ext uri="{63B3BB69-23CF-44E3-9099-C40C66FF867C}">
                  <a14:compatExt spid="_x0000_s2515"/>
                </a:ext>
                <a:ext uri="{FF2B5EF4-FFF2-40B4-BE49-F238E27FC236}">
                  <a16:creationId xmlns:a16="http://schemas.microsoft.com/office/drawing/2014/main" id="{00000000-0008-0000-0100-0000D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378</xdr:row>
          <xdr:rowOff>198120</xdr:rowOff>
        </xdr:from>
        <xdr:to>
          <xdr:col>4</xdr:col>
          <xdr:colOff>518160</xdr:colOff>
          <xdr:row>378</xdr:row>
          <xdr:rowOff>533400</xdr:rowOff>
        </xdr:to>
        <xdr:sp macro="" textlink="">
          <xdr:nvSpPr>
            <xdr:cNvPr id="2516" name="Check Box 468" hidden="1">
              <a:extLst>
                <a:ext uri="{63B3BB69-23CF-44E3-9099-C40C66FF867C}">
                  <a14:compatExt spid="_x0000_s2516"/>
                </a:ext>
                <a:ext uri="{FF2B5EF4-FFF2-40B4-BE49-F238E27FC236}">
                  <a16:creationId xmlns:a16="http://schemas.microsoft.com/office/drawing/2014/main" id="{00000000-0008-0000-0100-0000D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378</xdr:row>
          <xdr:rowOff>198120</xdr:rowOff>
        </xdr:from>
        <xdr:to>
          <xdr:col>4</xdr:col>
          <xdr:colOff>518160</xdr:colOff>
          <xdr:row>378</xdr:row>
          <xdr:rowOff>533400</xdr:rowOff>
        </xdr:to>
        <xdr:sp macro="" textlink="">
          <xdr:nvSpPr>
            <xdr:cNvPr id="2517" name="Check Box 469" hidden="1">
              <a:extLst>
                <a:ext uri="{63B3BB69-23CF-44E3-9099-C40C66FF867C}">
                  <a14:compatExt spid="_x0000_s2517"/>
                </a:ext>
                <a:ext uri="{FF2B5EF4-FFF2-40B4-BE49-F238E27FC236}">
                  <a16:creationId xmlns:a16="http://schemas.microsoft.com/office/drawing/2014/main" id="{00000000-0008-0000-0100-0000D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379</xdr:row>
          <xdr:rowOff>198120</xdr:rowOff>
        </xdr:from>
        <xdr:to>
          <xdr:col>4</xdr:col>
          <xdr:colOff>518160</xdr:colOff>
          <xdr:row>379</xdr:row>
          <xdr:rowOff>533400</xdr:rowOff>
        </xdr:to>
        <xdr:sp macro="" textlink="">
          <xdr:nvSpPr>
            <xdr:cNvPr id="2518" name="Check Box 470" hidden="1">
              <a:extLst>
                <a:ext uri="{63B3BB69-23CF-44E3-9099-C40C66FF867C}">
                  <a14:compatExt spid="_x0000_s2518"/>
                </a:ext>
                <a:ext uri="{FF2B5EF4-FFF2-40B4-BE49-F238E27FC236}">
                  <a16:creationId xmlns:a16="http://schemas.microsoft.com/office/drawing/2014/main" id="{00000000-0008-0000-0100-0000D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379</xdr:row>
          <xdr:rowOff>198120</xdr:rowOff>
        </xdr:from>
        <xdr:to>
          <xdr:col>4</xdr:col>
          <xdr:colOff>518160</xdr:colOff>
          <xdr:row>379</xdr:row>
          <xdr:rowOff>533400</xdr:rowOff>
        </xdr:to>
        <xdr:sp macro="" textlink="">
          <xdr:nvSpPr>
            <xdr:cNvPr id="2519" name="Check Box 471" hidden="1">
              <a:extLst>
                <a:ext uri="{63B3BB69-23CF-44E3-9099-C40C66FF867C}">
                  <a14:compatExt spid="_x0000_s2519"/>
                </a:ext>
                <a:ext uri="{FF2B5EF4-FFF2-40B4-BE49-F238E27FC236}">
                  <a16:creationId xmlns:a16="http://schemas.microsoft.com/office/drawing/2014/main" id="{00000000-0008-0000-0100-0000D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381</xdr:row>
          <xdr:rowOff>198120</xdr:rowOff>
        </xdr:from>
        <xdr:to>
          <xdr:col>4</xdr:col>
          <xdr:colOff>518160</xdr:colOff>
          <xdr:row>381</xdr:row>
          <xdr:rowOff>533400</xdr:rowOff>
        </xdr:to>
        <xdr:sp macro="" textlink="">
          <xdr:nvSpPr>
            <xdr:cNvPr id="2520" name="Check Box 472" hidden="1">
              <a:extLst>
                <a:ext uri="{63B3BB69-23CF-44E3-9099-C40C66FF867C}">
                  <a14:compatExt spid="_x0000_s2520"/>
                </a:ext>
                <a:ext uri="{FF2B5EF4-FFF2-40B4-BE49-F238E27FC236}">
                  <a16:creationId xmlns:a16="http://schemas.microsoft.com/office/drawing/2014/main" id="{00000000-0008-0000-0100-0000D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381</xdr:row>
          <xdr:rowOff>198120</xdr:rowOff>
        </xdr:from>
        <xdr:to>
          <xdr:col>4</xdr:col>
          <xdr:colOff>518160</xdr:colOff>
          <xdr:row>381</xdr:row>
          <xdr:rowOff>533400</xdr:rowOff>
        </xdr:to>
        <xdr:sp macro="" textlink="">
          <xdr:nvSpPr>
            <xdr:cNvPr id="2521" name="Check Box 473" hidden="1">
              <a:extLst>
                <a:ext uri="{63B3BB69-23CF-44E3-9099-C40C66FF867C}">
                  <a14:compatExt spid="_x0000_s2521"/>
                </a:ext>
                <a:ext uri="{FF2B5EF4-FFF2-40B4-BE49-F238E27FC236}">
                  <a16:creationId xmlns:a16="http://schemas.microsoft.com/office/drawing/2014/main" id="{00000000-0008-0000-0100-0000D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382</xdr:row>
          <xdr:rowOff>198120</xdr:rowOff>
        </xdr:from>
        <xdr:to>
          <xdr:col>4</xdr:col>
          <xdr:colOff>518160</xdr:colOff>
          <xdr:row>382</xdr:row>
          <xdr:rowOff>533400</xdr:rowOff>
        </xdr:to>
        <xdr:sp macro="" textlink="">
          <xdr:nvSpPr>
            <xdr:cNvPr id="2522" name="Check Box 474" hidden="1">
              <a:extLst>
                <a:ext uri="{63B3BB69-23CF-44E3-9099-C40C66FF867C}">
                  <a14:compatExt spid="_x0000_s2522"/>
                </a:ext>
                <a:ext uri="{FF2B5EF4-FFF2-40B4-BE49-F238E27FC236}">
                  <a16:creationId xmlns:a16="http://schemas.microsoft.com/office/drawing/2014/main" id="{00000000-0008-0000-0100-0000D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382</xdr:row>
          <xdr:rowOff>198120</xdr:rowOff>
        </xdr:from>
        <xdr:to>
          <xdr:col>4</xdr:col>
          <xdr:colOff>518160</xdr:colOff>
          <xdr:row>382</xdr:row>
          <xdr:rowOff>533400</xdr:rowOff>
        </xdr:to>
        <xdr:sp macro="" textlink="">
          <xdr:nvSpPr>
            <xdr:cNvPr id="2523" name="Check Box 475" hidden="1">
              <a:extLst>
                <a:ext uri="{63B3BB69-23CF-44E3-9099-C40C66FF867C}">
                  <a14:compatExt spid="_x0000_s2523"/>
                </a:ext>
                <a:ext uri="{FF2B5EF4-FFF2-40B4-BE49-F238E27FC236}">
                  <a16:creationId xmlns:a16="http://schemas.microsoft.com/office/drawing/2014/main" id="{00000000-0008-0000-0100-0000D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384</xdr:row>
          <xdr:rowOff>198120</xdr:rowOff>
        </xdr:from>
        <xdr:to>
          <xdr:col>4</xdr:col>
          <xdr:colOff>518160</xdr:colOff>
          <xdr:row>384</xdr:row>
          <xdr:rowOff>533400</xdr:rowOff>
        </xdr:to>
        <xdr:sp macro="" textlink="">
          <xdr:nvSpPr>
            <xdr:cNvPr id="2524" name="Check Box 476" hidden="1">
              <a:extLst>
                <a:ext uri="{63B3BB69-23CF-44E3-9099-C40C66FF867C}">
                  <a14:compatExt spid="_x0000_s2524"/>
                </a:ext>
                <a:ext uri="{FF2B5EF4-FFF2-40B4-BE49-F238E27FC236}">
                  <a16:creationId xmlns:a16="http://schemas.microsoft.com/office/drawing/2014/main" id="{00000000-0008-0000-0100-0000D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384</xdr:row>
          <xdr:rowOff>198120</xdr:rowOff>
        </xdr:from>
        <xdr:to>
          <xdr:col>4</xdr:col>
          <xdr:colOff>518160</xdr:colOff>
          <xdr:row>384</xdr:row>
          <xdr:rowOff>533400</xdr:rowOff>
        </xdr:to>
        <xdr:sp macro="" textlink="">
          <xdr:nvSpPr>
            <xdr:cNvPr id="2525" name="Check Box 477" hidden="1">
              <a:extLst>
                <a:ext uri="{63B3BB69-23CF-44E3-9099-C40C66FF867C}">
                  <a14:compatExt spid="_x0000_s2525"/>
                </a:ext>
                <a:ext uri="{FF2B5EF4-FFF2-40B4-BE49-F238E27FC236}">
                  <a16:creationId xmlns:a16="http://schemas.microsoft.com/office/drawing/2014/main" id="{00000000-0008-0000-0100-0000D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385</xdr:row>
          <xdr:rowOff>198120</xdr:rowOff>
        </xdr:from>
        <xdr:to>
          <xdr:col>4</xdr:col>
          <xdr:colOff>518160</xdr:colOff>
          <xdr:row>385</xdr:row>
          <xdr:rowOff>533400</xdr:rowOff>
        </xdr:to>
        <xdr:sp macro="" textlink="">
          <xdr:nvSpPr>
            <xdr:cNvPr id="2526" name="Check Box 478" hidden="1">
              <a:extLst>
                <a:ext uri="{63B3BB69-23CF-44E3-9099-C40C66FF867C}">
                  <a14:compatExt spid="_x0000_s2526"/>
                </a:ext>
                <a:ext uri="{FF2B5EF4-FFF2-40B4-BE49-F238E27FC236}">
                  <a16:creationId xmlns:a16="http://schemas.microsoft.com/office/drawing/2014/main" id="{00000000-0008-0000-0100-0000D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385</xdr:row>
          <xdr:rowOff>198120</xdr:rowOff>
        </xdr:from>
        <xdr:to>
          <xdr:col>4</xdr:col>
          <xdr:colOff>518160</xdr:colOff>
          <xdr:row>385</xdr:row>
          <xdr:rowOff>533400</xdr:rowOff>
        </xdr:to>
        <xdr:sp macro="" textlink="">
          <xdr:nvSpPr>
            <xdr:cNvPr id="2527" name="Check Box 479" hidden="1">
              <a:extLst>
                <a:ext uri="{63B3BB69-23CF-44E3-9099-C40C66FF867C}">
                  <a14:compatExt spid="_x0000_s2527"/>
                </a:ext>
                <a:ext uri="{FF2B5EF4-FFF2-40B4-BE49-F238E27FC236}">
                  <a16:creationId xmlns:a16="http://schemas.microsoft.com/office/drawing/2014/main" id="{00000000-0008-0000-0100-0000D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387</xdr:row>
          <xdr:rowOff>198120</xdr:rowOff>
        </xdr:from>
        <xdr:to>
          <xdr:col>4</xdr:col>
          <xdr:colOff>518160</xdr:colOff>
          <xdr:row>387</xdr:row>
          <xdr:rowOff>533400</xdr:rowOff>
        </xdr:to>
        <xdr:sp macro="" textlink="">
          <xdr:nvSpPr>
            <xdr:cNvPr id="2528" name="Check Box 480" hidden="1">
              <a:extLst>
                <a:ext uri="{63B3BB69-23CF-44E3-9099-C40C66FF867C}">
                  <a14:compatExt spid="_x0000_s2528"/>
                </a:ext>
                <a:ext uri="{FF2B5EF4-FFF2-40B4-BE49-F238E27FC236}">
                  <a16:creationId xmlns:a16="http://schemas.microsoft.com/office/drawing/2014/main" id="{00000000-0008-0000-0100-0000E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387</xdr:row>
          <xdr:rowOff>198120</xdr:rowOff>
        </xdr:from>
        <xdr:to>
          <xdr:col>4</xdr:col>
          <xdr:colOff>518160</xdr:colOff>
          <xdr:row>387</xdr:row>
          <xdr:rowOff>533400</xdr:rowOff>
        </xdr:to>
        <xdr:sp macro="" textlink="">
          <xdr:nvSpPr>
            <xdr:cNvPr id="2529" name="Check Box 481" hidden="1">
              <a:extLst>
                <a:ext uri="{63B3BB69-23CF-44E3-9099-C40C66FF867C}">
                  <a14:compatExt spid="_x0000_s2529"/>
                </a:ext>
                <a:ext uri="{FF2B5EF4-FFF2-40B4-BE49-F238E27FC236}">
                  <a16:creationId xmlns:a16="http://schemas.microsoft.com/office/drawing/2014/main" id="{00000000-0008-0000-0100-0000E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388</xdr:row>
          <xdr:rowOff>198120</xdr:rowOff>
        </xdr:from>
        <xdr:to>
          <xdr:col>4</xdr:col>
          <xdr:colOff>518160</xdr:colOff>
          <xdr:row>388</xdr:row>
          <xdr:rowOff>533400</xdr:rowOff>
        </xdr:to>
        <xdr:sp macro="" textlink="">
          <xdr:nvSpPr>
            <xdr:cNvPr id="2530" name="Check Box 482" hidden="1">
              <a:extLst>
                <a:ext uri="{63B3BB69-23CF-44E3-9099-C40C66FF867C}">
                  <a14:compatExt spid="_x0000_s2530"/>
                </a:ext>
                <a:ext uri="{FF2B5EF4-FFF2-40B4-BE49-F238E27FC236}">
                  <a16:creationId xmlns:a16="http://schemas.microsoft.com/office/drawing/2014/main" id="{00000000-0008-0000-0100-0000E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388</xdr:row>
          <xdr:rowOff>198120</xdr:rowOff>
        </xdr:from>
        <xdr:to>
          <xdr:col>4</xdr:col>
          <xdr:colOff>518160</xdr:colOff>
          <xdr:row>388</xdr:row>
          <xdr:rowOff>533400</xdr:rowOff>
        </xdr:to>
        <xdr:sp macro="" textlink="">
          <xdr:nvSpPr>
            <xdr:cNvPr id="2531" name="Check Box 483" hidden="1">
              <a:extLst>
                <a:ext uri="{63B3BB69-23CF-44E3-9099-C40C66FF867C}">
                  <a14:compatExt spid="_x0000_s2531"/>
                </a:ext>
                <a:ext uri="{FF2B5EF4-FFF2-40B4-BE49-F238E27FC236}">
                  <a16:creationId xmlns:a16="http://schemas.microsoft.com/office/drawing/2014/main" id="{00000000-0008-0000-0100-0000E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389</xdr:row>
          <xdr:rowOff>198120</xdr:rowOff>
        </xdr:from>
        <xdr:to>
          <xdr:col>4</xdr:col>
          <xdr:colOff>518160</xdr:colOff>
          <xdr:row>389</xdr:row>
          <xdr:rowOff>533400</xdr:rowOff>
        </xdr:to>
        <xdr:sp macro="" textlink="">
          <xdr:nvSpPr>
            <xdr:cNvPr id="2532" name="Check Box 484" hidden="1">
              <a:extLst>
                <a:ext uri="{63B3BB69-23CF-44E3-9099-C40C66FF867C}">
                  <a14:compatExt spid="_x0000_s2532"/>
                </a:ext>
                <a:ext uri="{FF2B5EF4-FFF2-40B4-BE49-F238E27FC236}">
                  <a16:creationId xmlns:a16="http://schemas.microsoft.com/office/drawing/2014/main" id="{00000000-0008-0000-0100-0000E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389</xdr:row>
          <xdr:rowOff>198120</xdr:rowOff>
        </xdr:from>
        <xdr:to>
          <xdr:col>4</xdr:col>
          <xdr:colOff>518160</xdr:colOff>
          <xdr:row>389</xdr:row>
          <xdr:rowOff>533400</xdr:rowOff>
        </xdr:to>
        <xdr:sp macro="" textlink="">
          <xdr:nvSpPr>
            <xdr:cNvPr id="2533" name="Check Box 485" hidden="1">
              <a:extLst>
                <a:ext uri="{63B3BB69-23CF-44E3-9099-C40C66FF867C}">
                  <a14:compatExt spid="_x0000_s2533"/>
                </a:ext>
                <a:ext uri="{FF2B5EF4-FFF2-40B4-BE49-F238E27FC236}">
                  <a16:creationId xmlns:a16="http://schemas.microsoft.com/office/drawing/2014/main" id="{00000000-0008-0000-0100-0000E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391</xdr:row>
          <xdr:rowOff>198120</xdr:rowOff>
        </xdr:from>
        <xdr:to>
          <xdr:col>4</xdr:col>
          <xdr:colOff>518160</xdr:colOff>
          <xdr:row>391</xdr:row>
          <xdr:rowOff>533400</xdr:rowOff>
        </xdr:to>
        <xdr:sp macro="" textlink="">
          <xdr:nvSpPr>
            <xdr:cNvPr id="2534" name="Check Box 486" hidden="1">
              <a:extLst>
                <a:ext uri="{63B3BB69-23CF-44E3-9099-C40C66FF867C}">
                  <a14:compatExt spid="_x0000_s2534"/>
                </a:ext>
                <a:ext uri="{FF2B5EF4-FFF2-40B4-BE49-F238E27FC236}">
                  <a16:creationId xmlns:a16="http://schemas.microsoft.com/office/drawing/2014/main" id="{00000000-0008-0000-0100-0000E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391</xdr:row>
          <xdr:rowOff>198120</xdr:rowOff>
        </xdr:from>
        <xdr:to>
          <xdr:col>4</xdr:col>
          <xdr:colOff>518160</xdr:colOff>
          <xdr:row>391</xdr:row>
          <xdr:rowOff>533400</xdr:rowOff>
        </xdr:to>
        <xdr:sp macro="" textlink="">
          <xdr:nvSpPr>
            <xdr:cNvPr id="2535" name="Check Box 487" hidden="1">
              <a:extLst>
                <a:ext uri="{63B3BB69-23CF-44E3-9099-C40C66FF867C}">
                  <a14:compatExt spid="_x0000_s2535"/>
                </a:ext>
                <a:ext uri="{FF2B5EF4-FFF2-40B4-BE49-F238E27FC236}">
                  <a16:creationId xmlns:a16="http://schemas.microsoft.com/office/drawing/2014/main" id="{00000000-0008-0000-0100-0000E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392</xdr:row>
          <xdr:rowOff>198120</xdr:rowOff>
        </xdr:from>
        <xdr:to>
          <xdr:col>4</xdr:col>
          <xdr:colOff>518160</xdr:colOff>
          <xdr:row>392</xdr:row>
          <xdr:rowOff>533400</xdr:rowOff>
        </xdr:to>
        <xdr:sp macro="" textlink="">
          <xdr:nvSpPr>
            <xdr:cNvPr id="2536" name="Check Box 488" hidden="1">
              <a:extLst>
                <a:ext uri="{63B3BB69-23CF-44E3-9099-C40C66FF867C}">
                  <a14:compatExt spid="_x0000_s2536"/>
                </a:ext>
                <a:ext uri="{FF2B5EF4-FFF2-40B4-BE49-F238E27FC236}">
                  <a16:creationId xmlns:a16="http://schemas.microsoft.com/office/drawing/2014/main" id="{00000000-0008-0000-0100-0000E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392</xdr:row>
          <xdr:rowOff>198120</xdr:rowOff>
        </xdr:from>
        <xdr:to>
          <xdr:col>4</xdr:col>
          <xdr:colOff>518160</xdr:colOff>
          <xdr:row>392</xdr:row>
          <xdr:rowOff>533400</xdr:rowOff>
        </xdr:to>
        <xdr:sp macro="" textlink="">
          <xdr:nvSpPr>
            <xdr:cNvPr id="2537" name="Check Box 489" hidden="1">
              <a:extLst>
                <a:ext uri="{63B3BB69-23CF-44E3-9099-C40C66FF867C}">
                  <a14:compatExt spid="_x0000_s2537"/>
                </a:ext>
                <a:ext uri="{FF2B5EF4-FFF2-40B4-BE49-F238E27FC236}">
                  <a16:creationId xmlns:a16="http://schemas.microsoft.com/office/drawing/2014/main" id="{00000000-0008-0000-0100-0000E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394</xdr:row>
          <xdr:rowOff>198120</xdr:rowOff>
        </xdr:from>
        <xdr:to>
          <xdr:col>4</xdr:col>
          <xdr:colOff>518160</xdr:colOff>
          <xdr:row>394</xdr:row>
          <xdr:rowOff>533400</xdr:rowOff>
        </xdr:to>
        <xdr:sp macro="" textlink="">
          <xdr:nvSpPr>
            <xdr:cNvPr id="2538" name="Check Box 490" hidden="1">
              <a:extLst>
                <a:ext uri="{63B3BB69-23CF-44E3-9099-C40C66FF867C}">
                  <a14:compatExt spid="_x0000_s2538"/>
                </a:ext>
                <a:ext uri="{FF2B5EF4-FFF2-40B4-BE49-F238E27FC236}">
                  <a16:creationId xmlns:a16="http://schemas.microsoft.com/office/drawing/2014/main" id="{00000000-0008-0000-0100-0000E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394</xdr:row>
          <xdr:rowOff>198120</xdr:rowOff>
        </xdr:from>
        <xdr:to>
          <xdr:col>4</xdr:col>
          <xdr:colOff>518160</xdr:colOff>
          <xdr:row>394</xdr:row>
          <xdr:rowOff>533400</xdr:rowOff>
        </xdr:to>
        <xdr:sp macro="" textlink="">
          <xdr:nvSpPr>
            <xdr:cNvPr id="2539" name="Check Box 491" hidden="1">
              <a:extLst>
                <a:ext uri="{63B3BB69-23CF-44E3-9099-C40C66FF867C}">
                  <a14:compatExt spid="_x0000_s2539"/>
                </a:ext>
                <a:ext uri="{FF2B5EF4-FFF2-40B4-BE49-F238E27FC236}">
                  <a16:creationId xmlns:a16="http://schemas.microsoft.com/office/drawing/2014/main" id="{00000000-0008-0000-0100-0000E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395</xdr:row>
          <xdr:rowOff>198120</xdr:rowOff>
        </xdr:from>
        <xdr:to>
          <xdr:col>4</xdr:col>
          <xdr:colOff>518160</xdr:colOff>
          <xdr:row>395</xdr:row>
          <xdr:rowOff>533400</xdr:rowOff>
        </xdr:to>
        <xdr:sp macro="" textlink="">
          <xdr:nvSpPr>
            <xdr:cNvPr id="2540" name="Check Box 492" hidden="1">
              <a:extLst>
                <a:ext uri="{63B3BB69-23CF-44E3-9099-C40C66FF867C}">
                  <a14:compatExt spid="_x0000_s2540"/>
                </a:ext>
                <a:ext uri="{FF2B5EF4-FFF2-40B4-BE49-F238E27FC236}">
                  <a16:creationId xmlns:a16="http://schemas.microsoft.com/office/drawing/2014/main" id="{00000000-0008-0000-0100-0000E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395</xdr:row>
          <xdr:rowOff>198120</xdr:rowOff>
        </xdr:from>
        <xdr:to>
          <xdr:col>4</xdr:col>
          <xdr:colOff>518160</xdr:colOff>
          <xdr:row>395</xdr:row>
          <xdr:rowOff>533400</xdr:rowOff>
        </xdr:to>
        <xdr:sp macro="" textlink="">
          <xdr:nvSpPr>
            <xdr:cNvPr id="2541" name="Check Box 493" hidden="1">
              <a:extLst>
                <a:ext uri="{63B3BB69-23CF-44E3-9099-C40C66FF867C}">
                  <a14:compatExt spid="_x0000_s2541"/>
                </a:ext>
                <a:ext uri="{FF2B5EF4-FFF2-40B4-BE49-F238E27FC236}">
                  <a16:creationId xmlns:a16="http://schemas.microsoft.com/office/drawing/2014/main" id="{00000000-0008-0000-0100-0000E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398</xdr:row>
          <xdr:rowOff>198120</xdr:rowOff>
        </xdr:from>
        <xdr:to>
          <xdr:col>4</xdr:col>
          <xdr:colOff>518160</xdr:colOff>
          <xdr:row>398</xdr:row>
          <xdr:rowOff>533400</xdr:rowOff>
        </xdr:to>
        <xdr:sp macro="" textlink="">
          <xdr:nvSpPr>
            <xdr:cNvPr id="2542" name="Check Box 494" hidden="1">
              <a:extLst>
                <a:ext uri="{63B3BB69-23CF-44E3-9099-C40C66FF867C}">
                  <a14:compatExt spid="_x0000_s2542"/>
                </a:ext>
                <a:ext uri="{FF2B5EF4-FFF2-40B4-BE49-F238E27FC236}">
                  <a16:creationId xmlns:a16="http://schemas.microsoft.com/office/drawing/2014/main" id="{00000000-0008-0000-0100-0000E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398</xdr:row>
          <xdr:rowOff>198120</xdr:rowOff>
        </xdr:from>
        <xdr:to>
          <xdr:col>4</xdr:col>
          <xdr:colOff>518160</xdr:colOff>
          <xdr:row>398</xdr:row>
          <xdr:rowOff>533400</xdr:rowOff>
        </xdr:to>
        <xdr:sp macro="" textlink="">
          <xdr:nvSpPr>
            <xdr:cNvPr id="2543" name="Check Box 495" hidden="1">
              <a:extLst>
                <a:ext uri="{63B3BB69-23CF-44E3-9099-C40C66FF867C}">
                  <a14:compatExt spid="_x0000_s2543"/>
                </a:ext>
                <a:ext uri="{FF2B5EF4-FFF2-40B4-BE49-F238E27FC236}">
                  <a16:creationId xmlns:a16="http://schemas.microsoft.com/office/drawing/2014/main" id="{00000000-0008-0000-0100-0000E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399</xdr:row>
          <xdr:rowOff>198120</xdr:rowOff>
        </xdr:from>
        <xdr:to>
          <xdr:col>4</xdr:col>
          <xdr:colOff>518160</xdr:colOff>
          <xdr:row>399</xdr:row>
          <xdr:rowOff>533400</xdr:rowOff>
        </xdr:to>
        <xdr:sp macro="" textlink="">
          <xdr:nvSpPr>
            <xdr:cNvPr id="2544" name="Check Box 496" hidden="1">
              <a:extLst>
                <a:ext uri="{63B3BB69-23CF-44E3-9099-C40C66FF867C}">
                  <a14:compatExt spid="_x0000_s2544"/>
                </a:ext>
                <a:ext uri="{FF2B5EF4-FFF2-40B4-BE49-F238E27FC236}">
                  <a16:creationId xmlns:a16="http://schemas.microsoft.com/office/drawing/2014/main" id="{00000000-0008-0000-0100-0000F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399</xdr:row>
          <xdr:rowOff>198120</xdr:rowOff>
        </xdr:from>
        <xdr:to>
          <xdr:col>4</xdr:col>
          <xdr:colOff>518160</xdr:colOff>
          <xdr:row>399</xdr:row>
          <xdr:rowOff>533400</xdr:rowOff>
        </xdr:to>
        <xdr:sp macro="" textlink="">
          <xdr:nvSpPr>
            <xdr:cNvPr id="2545" name="Check Box 497" hidden="1">
              <a:extLst>
                <a:ext uri="{63B3BB69-23CF-44E3-9099-C40C66FF867C}">
                  <a14:compatExt spid="_x0000_s2545"/>
                </a:ext>
                <a:ext uri="{FF2B5EF4-FFF2-40B4-BE49-F238E27FC236}">
                  <a16:creationId xmlns:a16="http://schemas.microsoft.com/office/drawing/2014/main" id="{00000000-0008-0000-0100-0000F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400</xdr:row>
          <xdr:rowOff>198120</xdr:rowOff>
        </xdr:from>
        <xdr:to>
          <xdr:col>4</xdr:col>
          <xdr:colOff>518160</xdr:colOff>
          <xdr:row>400</xdr:row>
          <xdr:rowOff>533400</xdr:rowOff>
        </xdr:to>
        <xdr:sp macro="" textlink="">
          <xdr:nvSpPr>
            <xdr:cNvPr id="2546" name="Check Box 498" hidden="1">
              <a:extLst>
                <a:ext uri="{63B3BB69-23CF-44E3-9099-C40C66FF867C}">
                  <a14:compatExt spid="_x0000_s2546"/>
                </a:ext>
                <a:ext uri="{FF2B5EF4-FFF2-40B4-BE49-F238E27FC236}">
                  <a16:creationId xmlns:a16="http://schemas.microsoft.com/office/drawing/2014/main" id="{00000000-0008-0000-0100-0000F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400</xdr:row>
          <xdr:rowOff>198120</xdr:rowOff>
        </xdr:from>
        <xdr:to>
          <xdr:col>4</xdr:col>
          <xdr:colOff>518160</xdr:colOff>
          <xdr:row>400</xdr:row>
          <xdr:rowOff>533400</xdr:rowOff>
        </xdr:to>
        <xdr:sp macro="" textlink="">
          <xdr:nvSpPr>
            <xdr:cNvPr id="2547" name="Check Box 499" hidden="1">
              <a:extLst>
                <a:ext uri="{63B3BB69-23CF-44E3-9099-C40C66FF867C}">
                  <a14:compatExt spid="_x0000_s2547"/>
                </a:ext>
                <a:ext uri="{FF2B5EF4-FFF2-40B4-BE49-F238E27FC236}">
                  <a16:creationId xmlns:a16="http://schemas.microsoft.com/office/drawing/2014/main" id="{00000000-0008-0000-0100-0000F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402</xdr:row>
          <xdr:rowOff>198120</xdr:rowOff>
        </xdr:from>
        <xdr:to>
          <xdr:col>4</xdr:col>
          <xdr:colOff>518160</xdr:colOff>
          <xdr:row>402</xdr:row>
          <xdr:rowOff>533400</xdr:rowOff>
        </xdr:to>
        <xdr:sp macro="" textlink="">
          <xdr:nvSpPr>
            <xdr:cNvPr id="2548" name="Check Box 500" hidden="1">
              <a:extLst>
                <a:ext uri="{63B3BB69-23CF-44E3-9099-C40C66FF867C}">
                  <a14:compatExt spid="_x0000_s2548"/>
                </a:ext>
                <a:ext uri="{FF2B5EF4-FFF2-40B4-BE49-F238E27FC236}">
                  <a16:creationId xmlns:a16="http://schemas.microsoft.com/office/drawing/2014/main" id="{00000000-0008-0000-0100-0000F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402</xdr:row>
          <xdr:rowOff>198120</xdr:rowOff>
        </xdr:from>
        <xdr:to>
          <xdr:col>4</xdr:col>
          <xdr:colOff>518160</xdr:colOff>
          <xdr:row>402</xdr:row>
          <xdr:rowOff>533400</xdr:rowOff>
        </xdr:to>
        <xdr:sp macro="" textlink="">
          <xdr:nvSpPr>
            <xdr:cNvPr id="2549" name="Check Box 501" hidden="1">
              <a:extLst>
                <a:ext uri="{63B3BB69-23CF-44E3-9099-C40C66FF867C}">
                  <a14:compatExt spid="_x0000_s2549"/>
                </a:ext>
                <a:ext uri="{FF2B5EF4-FFF2-40B4-BE49-F238E27FC236}">
                  <a16:creationId xmlns:a16="http://schemas.microsoft.com/office/drawing/2014/main" id="{00000000-0008-0000-0100-0000F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403</xdr:row>
          <xdr:rowOff>198120</xdr:rowOff>
        </xdr:from>
        <xdr:to>
          <xdr:col>4</xdr:col>
          <xdr:colOff>518160</xdr:colOff>
          <xdr:row>403</xdr:row>
          <xdr:rowOff>533400</xdr:rowOff>
        </xdr:to>
        <xdr:sp macro="" textlink="">
          <xdr:nvSpPr>
            <xdr:cNvPr id="2550" name="Check Box 502" hidden="1">
              <a:extLst>
                <a:ext uri="{63B3BB69-23CF-44E3-9099-C40C66FF867C}">
                  <a14:compatExt spid="_x0000_s2550"/>
                </a:ext>
                <a:ext uri="{FF2B5EF4-FFF2-40B4-BE49-F238E27FC236}">
                  <a16:creationId xmlns:a16="http://schemas.microsoft.com/office/drawing/2014/main" id="{00000000-0008-0000-0100-0000F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403</xdr:row>
          <xdr:rowOff>198120</xdr:rowOff>
        </xdr:from>
        <xdr:to>
          <xdr:col>4</xdr:col>
          <xdr:colOff>518160</xdr:colOff>
          <xdr:row>403</xdr:row>
          <xdr:rowOff>533400</xdr:rowOff>
        </xdr:to>
        <xdr:sp macro="" textlink="">
          <xdr:nvSpPr>
            <xdr:cNvPr id="2551" name="Check Box 503" hidden="1">
              <a:extLst>
                <a:ext uri="{63B3BB69-23CF-44E3-9099-C40C66FF867C}">
                  <a14:compatExt spid="_x0000_s2551"/>
                </a:ext>
                <a:ext uri="{FF2B5EF4-FFF2-40B4-BE49-F238E27FC236}">
                  <a16:creationId xmlns:a16="http://schemas.microsoft.com/office/drawing/2014/main" id="{00000000-0008-0000-0100-0000F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405</xdr:row>
          <xdr:rowOff>198120</xdr:rowOff>
        </xdr:from>
        <xdr:to>
          <xdr:col>4</xdr:col>
          <xdr:colOff>518160</xdr:colOff>
          <xdr:row>405</xdr:row>
          <xdr:rowOff>533400</xdr:rowOff>
        </xdr:to>
        <xdr:sp macro="" textlink="">
          <xdr:nvSpPr>
            <xdr:cNvPr id="2552" name="Check Box 504" hidden="1">
              <a:extLst>
                <a:ext uri="{63B3BB69-23CF-44E3-9099-C40C66FF867C}">
                  <a14:compatExt spid="_x0000_s2552"/>
                </a:ext>
                <a:ext uri="{FF2B5EF4-FFF2-40B4-BE49-F238E27FC236}">
                  <a16:creationId xmlns:a16="http://schemas.microsoft.com/office/drawing/2014/main" id="{00000000-0008-0000-0100-0000F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405</xdr:row>
          <xdr:rowOff>198120</xdr:rowOff>
        </xdr:from>
        <xdr:to>
          <xdr:col>4</xdr:col>
          <xdr:colOff>518160</xdr:colOff>
          <xdr:row>405</xdr:row>
          <xdr:rowOff>533400</xdr:rowOff>
        </xdr:to>
        <xdr:sp macro="" textlink="">
          <xdr:nvSpPr>
            <xdr:cNvPr id="2553" name="Check Box 505" hidden="1">
              <a:extLst>
                <a:ext uri="{63B3BB69-23CF-44E3-9099-C40C66FF867C}">
                  <a14:compatExt spid="_x0000_s2553"/>
                </a:ext>
                <a:ext uri="{FF2B5EF4-FFF2-40B4-BE49-F238E27FC236}">
                  <a16:creationId xmlns:a16="http://schemas.microsoft.com/office/drawing/2014/main" id="{00000000-0008-0000-0100-0000F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406</xdr:row>
          <xdr:rowOff>198120</xdr:rowOff>
        </xdr:from>
        <xdr:to>
          <xdr:col>4</xdr:col>
          <xdr:colOff>518160</xdr:colOff>
          <xdr:row>406</xdr:row>
          <xdr:rowOff>533400</xdr:rowOff>
        </xdr:to>
        <xdr:sp macro="" textlink="">
          <xdr:nvSpPr>
            <xdr:cNvPr id="2554" name="Check Box 506" hidden="1">
              <a:extLst>
                <a:ext uri="{63B3BB69-23CF-44E3-9099-C40C66FF867C}">
                  <a14:compatExt spid="_x0000_s2554"/>
                </a:ext>
                <a:ext uri="{FF2B5EF4-FFF2-40B4-BE49-F238E27FC236}">
                  <a16:creationId xmlns:a16="http://schemas.microsoft.com/office/drawing/2014/main" id="{00000000-0008-0000-0100-0000F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406</xdr:row>
          <xdr:rowOff>198120</xdr:rowOff>
        </xdr:from>
        <xdr:to>
          <xdr:col>4</xdr:col>
          <xdr:colOff>518160</xdr:colOff>
          <xdr:row>406</xdr:row>
          <xdr:rowOff>533400</xdr:rowOff>
        </xdr:to>
        <xdr:sp macro="" textlink="">
          <xdr:nvSpPr>
            <xdr:cNvPr id="2555" name="Check Box 507" hidden="1">
              <a:extLst>
                <a:ext uri="{63B3BB69-23CF-44E3-9099-C40C66FF867C}">
                  <a14:compatExt spid="_x0000_s2555"/>
                </a:ext>
                <a:ext uri="{FF2B5EF4-FFF2-40B4-BE49-F238E27FC236}">
                  <a16:creationId xmlns:a16="http://schemas.microsoft.com/office/drawing/2014/main" id="{00000000-0008-0000-0100-0000F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407</xdr:row>
          <xdr:rowOff>198120</xdr:rowOff>
        </xdr:from>
        <xdr:to>
          <xdr:col>4</xdr:col>
          <xdr:colOff>518160</xdr:colOff>
          <xdr:row>407</xdr:row>
          <xdr:rowOff>533400</xdr:rowOff>
        </xdr:to>
        <xdr:sp macro="" textlink="">
          <xdr:nvSpPr>
            <xdr:cNvPr id="2556" name="Check Box 508" hidden="1">
              <a:extLst>
                <a:ext uri="{63B3BB69-23CF-44E3-9099-C40C66FF867C}">
                  <a14:compatExt spid="_x0000_s2556"/>
                </a:ext>
                <a:ext uri="{FF2B5EF4-FFF2-40B4-BE49-F238E27FC236}">
                  <a16:creationId xmlns:a16="http://schemas.microsoft.com/office/drawing/2014/main" id="{00000000-0008-0000-0100-0000F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407</xdr:row>
          <xdr:rowOff>198120</xdr:rowOff>
        </xdr:from>
        <xdr:to>
          <xdr:col>4</xdr:col>
          <xdr:colOff>518160</xdr:colOff>
          <xdr:row>407</xdr:row>
          <xdr:rowOff>533400</xdr:rowOff>
        </xdr:to>
        <xdr:sp macro="" textlink="">
          <xdr:nvSpPr>
            <xdr:cNvPr id="2557" name="Check Box 509" hidden="1">
              <a:extLst>
                <a:ext uri="{63B3BB69-23CF-44E3-9099-C40C66FF867C}">
                  <a14:compatExt spid="_x0000_s2557"/>
                </a:ext>
                <a:ext uri="{FF2B5EF4-FFF2-40B4-BE49-F238E27FC236}">
                  <a16:creationId xmlns:a16="http://schemas.microsoft.com/office/drawing/2014/main" id="{00000000-0008-0000-0100-0000F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409</xdr:row>
          <xdr:rowOff>198120</xdr:rowOff>
        </xdr:from>
        <xdr:to>
          <xdr:col>4</xdr:col>
          <xdr:colOff>518160</xdr:colOff>
          <xdr:row>409</xdr:row>
          <xdr:rowOff>533400</xdr:rowOff>
        </xdr:to>
        <xdr:sp macro="" textlink="">
          <xdr:nvSpPr>
            <xdr:cNvPr id="2558" name="Check Box 510" hidden="1">
              <a:extLst>
                <a:ext uri="{63B3BB69-23CF-44E3-9099-C40C66FF867C}">
                  <a14:compatExt spid="_x0000_s2558"/>
                </a:ext>
                <a:ext uri="{FF2B5EF4-FFF2-40B4-BE49-F238E27FC236}">
                  <a16:creationId xmlns:a16="http://schemas.microsoft.com/office/drawing/2014/main" id="{00000000-0008-0000-0100-0000F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409</xdr:row>
          <xdr:rowOff>198120</xdr:rowOff>
        </xdr:from>
        <xdr:to>
          <xdr:col>4</xdr:col>
          <xdr:colOff>518160</xdr:colOff>
          <xdr:row>409</xdr:row>
          <xdr:rowOff>533400</xdr:rowOff>
        </xdr:to>
        <xdr:sp macro="" textlink="">
          <xdr:nvSpPr>
            <xdr:cNvPr id="2559" name="Check Box 511" hidden="1">
              <a:extLst>
                <a:ext uri="{63B3BB69-23CF-44E3-9099-C40C66FF867C}">
                  <a14:compatExt spid="_x0000_s2559"/>
                </a:ext>
                <a:ext uri="{FF2B5EF4-FFF2-40B4-BE49-F238E27FC236}">
                  <a16:creationId xmlns:a16="http://schemas.microsoft.com/office/drawing/2014/main" id="{00000000-0008-0000-0100-0000F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410</xdr:row>
          <xdr:rowOff>198120</xdr:rowOff>
        </xdr:from>
        <xdr:to>
          <xdr:col>4</xdr:col>
          <xdr:colOff>518160</xdr:colOff>
          <xdr:row>410</xdr:row>
          <xdr:rowOff>533400</xdr:rowOff>
        </xdr:to>
        <xdr:sp macro="" textlink="">
          <xdr:nvSpPr>
            <xdr:cNvPr id="2560" name="Check Box 512" hidden="1">
              <a:extLst>
                <a:ext uri="{63B3BB69-23CF-44E3-9099-C40C66FF867C}">
                  <a14:compatExt spid="_x0000_s2560"/>
                </a:ext>
                <a:ext uri="{FF2B5EF4-FFF2-40B4-BE49-F238E27FC236}">
                  <a16:creationId xmlns:a16="http://schemas.microsoft.com/office/drawing/2014/main" id="{00000000-0008-0000-0100-000000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410</xdr:row>
          <xdr:rowOff>198120</xdr:rowOff>
        </xdr:from>
        <xdr:to>
          <xdr:col>4</xdr:col>
          <xdr:colOff>518160</xdr:colOff>
          <xdr:row>410</xdr:row>
          <xdr:rowOff>533400</xdr:rowOff>
        </xdr:to>
        <xdr:sp macro="" textlink="">
          <xdr:nvSpPr>
            <xdr:cNvPr id="2561" name="Check Box 513" hidden="1">
              <a:extLst>
                <a:ext uri="{63B3BB69-23CF-44E3-9099-C40C66FF867C}">
                  <a14:compatExt spid="_x0000_s2561"/>
                </a:ext>
                <a:ext uri="{FF2B5EF4-FFF2-40B4-BE49-F238E27FC236}">
                  <a16:creationId xmlns:a16="http://schemas.microsoft.com/office/drawing/2014/main" id="{00000000-0008-0000-0100-000001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411</xdr:row>
          <xdr:rowOff>198120</xdr:rowOff>
        </xdr:from>
        <xdr:to>
          <xdr:col>4</xdr:col>
          <xdr:colOff>518160</xdr:colOff>
          <xdr:row>411</xdr:row>
          <xdr:rowOff>533400</xdr:rowOff>
        </xdr:to>
        <xdr:sp macro="" textlink="">
          <xdr:nvSpPr>
            <xdr:cNvPr id="2562" name="Check Box 514" hidden="1">
              <a:extLst>
                <a:ext uri="{63B3BB69-23CF-44E3-9099-C40C66FF867C}">
                  <a14:compatExt spid="_x0000_s2562"/>
                </a:ext>
                <a:ext uri="{FF2B5EF4-FFF2-40B4-BE49-F238E27FC236}">
                  <a16:creationId xmlns:a16="http://schemas.microsoft.com/office/drawing/2014/main" id="{00000000-0008-0000-0100-000002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411</xdr:row>
          <xdr:rowOff>198120</xdr:rowOff>
        </xdr:from>
        <xdr:to>
          <xdr:col>4</xdr:col>
          <xdr:colOff>518160</xdr:colOff>
          <xdr:row>411</xdr:row>
          <xdr:rowOff>533400</xdr:rowOff>
        </xdr:to>
        <xdr:sp macro="" textlink="">
          <xdr:nvSpPr>
            <xdr:cNvPr id="2563" name="Check Box 515" hidden="1">
              <a:extLst>
                <a:ext uri="{63B3BB69-23CF-44E3-9099-C40C66FF867C}">
                  <a14:compatExt spid="_x0000_s2563"/>
                </a:ext>
                <a:ext uri="{FF2B5EF4-FFF2-40B4-BE49-F238E27FC236}">
                  <a16:creationId xmlns:a16="http://schemas.microsoft.com/office/drawing/2014/main" id="{00000000-0008-0000-0100-000003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412</xdr:row>
          <xdr:rowOff>198120</xdr:rowOff>
        </xdr:from>
        <xdr:to>
          <xdr:col>4</xdr:col>
          <xdr:colOff>518160</xdr:colOff>
          <xdr:row>412</xdr:row>
          <xdr:rowOff>533400</xdr:rowOff>
        </xdr:to>
        <xdr:sp macro="" textlink="">
          <xdr:nvSpPr>
            <xdr:cNvPr id="2564" name="Check Box 516" hidden="1">
              <a:extLst>
                <a:ext uri="{63B3BB69-23CF-44E3-9099-C40C66FF867C}">
                  <a14:compatExt spid="_x0000_s2564"/>
                </a:ext>
                <a:ext uri="{FF2B5EF4-FFF2-40B4-BE49-F238E27FC236}">
                  <a16:creationId xmlns:a16="http://schemas.microsoft.com/office/drawing/2014/main" id="{00000000-0008-0000-0100-000004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412</xdr:row>
          <xdr:rowOff>198120</xdr:rowOff>
        </xdr:from>
        <xdr:to>
          <xdr:col>4</xdr:col>
          <xdr:colOff>518160</xdr:colOff>
          <xdr:row>412</xdr:row>
          <xdr:rowOff>533400</xdr:rowOff>
        </xdr:to>
        <xdr:sp macro="" textlink="">
          <xdr:nvSpPr>
            <xdr:cNvPr id="2565" name="Check Box 517" hidden="1">
              <a:extLst>
                <a:ext uri="{63B3BB69-23CF-44E3-9099-C40C66FF867C}">
                  <a14:compatExt spid="_x0000_s2565"/>
                </a:ext>
                <a:ext uri="{FF2B5EF4-FFF2-40B4-BE49-F238E27FC236}">
                  <a16:creationId xmlns:a16="http://schemas.microsoft.com/office/drawing/2014/main" id="{00000000-0008-0000-0100-000005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414</xdr:row>
          <xdr:rowOff>198120</xdr:rowOff>
        </xdr:from>
        <xdr:to>
          <xdr:col>4</xdr:col>
          <xdr:colOff>518160</xdr:colOff>
          <xdr:row>414</xdr:row>
          <xdr:rowOff>533400</xdr:rowOff>
        </xdr:to>
        <xdr:sp macro="" textlink="">
          <xdr:nvSpPr>
            <xdr:cNvPr id="2566" name="Check Box 518" hidden="1">
              <a:extLst>
                <a:ext uri="{63B3BB69-23CF-44E3-9099-C40C66FF867C}">
                  <a14:compatExt spid="_x0000_s2566"/>
                </a:ext>
                <a:ext uri="{FF2B5EF4-FFF2-40B4-BE49-F238E27FC236}">
                  <a16:creationId xmlns:a16="http://schemas.microsoft.com/office/drawing/2014/main" id="{00000000-0008-0000-0100-000006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414</xdr:row>
          <xdr:rowOff>198120</xdr:rowOff>
        </xdr:from>
        <xdr:to>
          <xdr:col>4</xdr:col>
          <xdr:colOff>518160</xdr:colOff>
          <xdr:row>414</xdr:row>
          <xdr:rowOff>533400</xdr:rowOff>
        </xdr:to>
        <xdr:sp macro="" textlink="">
          <xdr:nvSpPr>
            <xdr:cNvPr id="2567" name="Check Box 519" hidden="1">
              <a:extLst>
                <a:ext uri="{63B3BB69-23CF-44E3-9099-C40C66FF867C}">
                  <a14:compatExt spid="_x0000_s2567"/>
                </a:ext>
                <a:ext uri="{FF2B5EF4-FFF2-40B4-BE49-F238E27FC236}">
                  <a16:creationId xmlns:a16="http://schemas.microsoft.com/office/drawing/2014/main" id="{00000000-0008-0000-0100-000007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415</xdr:row>
          <xdr:rowOff>198120</xdr:rowOff>
        </xdr:from>
        <xdr:to>
          <xdr:col>4</xdr:col>
          <xdr:colOff>518160</xdr:colOff>
          <xdr:row>415</xdr:row>
          <xdr:rowOff>533400</xdr:rowOff>
        </xdr:to>
        <xdr:sp macro="" textlink="">
          <xdr:nvSpPr>
            <xdr:cNvPr id="2568" name="Check Box 520" hidden="1">
              <a:extLst>
                <a:ext uri="{63B3BB69-23CF-44E3-9099-C40C66FF867C}">
                  <a14:compatExt spid="_x0000_s2568"/>
                </a:ext>
                <a:ext uri="{FF2B5EF4-FFF2-40B4-BE49-F238E27FC236}">
                  <a16:creationId xmlns:a16="http://schemas.microsoft.com/office/drawing/2014/main" id="{00000000-0008-0000-0100-000008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415</xdr:row>
          <xdr:rowOff>198120</xdr:rowOff>
        </xdr:from>
        <xdr:to>
          <xdr:col>4</xdr:col>
          <xdr:colOff>518160</xdr:colOff>
          <xdr:row>415</xdr:row>
          <xdr:rowOff>533400</xdr:rowOff>
        </xdr:to>
        <xdr:sp macro="" textlink="">
          <xdr:nvSpPr>
            <xdr:cNvPr id="2569" name="Check Box 521" hidden="1">
              <a:extLst>
                <a:ext uri="{63B3BB69-23CF-44E3-9099-C40C66FF867C}">
                  <a14:compatExt spid="_x0000_s2569"/>
                </a:ext>
                <a:ext uri="{FF2B5EF4-FFF2-40B4-BE49-F238E27FC236}">
                  <a16:creationId xmlns:a16="http://schemas.microsoft.com/office/drawing/2014/main" id="{00000000-0008-0000-0100-000009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416</xdr:row>
          <xdr:rowOff>198120</xdr:rowOff>
        </xdr:from>
        <xdr:to>
          <xdr:col>4</xdr:col>
          <xdr:colOff>518160</xdr:colOff>
          <xdr:row>416</xdr:row>
          <xdr:rowOff>533400</xdr:rowOff>
        </xdr:to>
        <xdr:sp macro="" textlink="">
          <xdr:nvSpPr>
            <xdr:cNvPr id="2570" name="Check Box 522" hidden="1">
              <a:extLst>
                <a:ext uri="{63B3BB69-23CF-44E3-9099-C40C66FF867C}">
                  <a14:compatExt spid="_x0000_s2570"/>
                </a:ext>
                <a:ext uri="{FF2B5EF4-FFF2-40B4-BE49-F238E27FC236}">
                  <a16:creationId xmlns:a16="http://schemas.microsoft.com/office/drawing/2014/main" id="{00000000-0008-0000-0100-00000A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416</xdr:row>
          <xdr:rowOff>198120</xdr:rowOff>
        </xdr:from>
        <xdr:to>
          <xdr:col>4</xdr:col>
          <xdr:colOff>518160</xdr:colOff>
          <xdr:row>416</xdr:row>
          <xdr:rowOff>533400</xdr:rowOff>
        </xdr:to>
        <xdr:sp macro="" textlink="">
          <xdr:nvSpPr>
            <xdr:cNvPr id="2571" name="Check Box 523" hidden="1">
              <a:extLst>
                <a:ext uri="{63B3BB69-23CF-44E3-9099-C40C66FF867C}">
                  <a14:compatExt spid="_x0000_s2571"/>
                </a:ext>
                <a:ext uri="{FF2B5EF4-FFF2-40B4-BE49-F238E27FC236}">
                  <a16:creationId xmlns:a16="http://schemas.microsoft.com/office/drawing/2014/main" id="{00000000-0008-0000-0100-00000B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418</xdr:row>
          <xdr:rowOff>198120</xdr:rowOff>
        </xdr:from>
        <xdr:to>
          <xdr:col>4</xdr:col>
          <xdr:colOff>518160</xdr:colOff>
          <xdr:row>418</xdr:row>
          <xdr:rowOff>533400</xdr:rowOff>
        </xdr:to>
        <xdr:sp macro="" textlink="">
          <xdr:nvSpPr>
            <xdr:cNvPr id="2572" name="Check Box 524" hidden="1">
              <a:extLst>
                <a:ext uri="{63B3BB69-23CF-44E3-9099-C40C66FF867C}">
                  <a14:compatExt spid="_x0000_s2572"/>
                </a:ext>
                <a:ext uri="{FF2B5EF4-FFF2-40B4-BE49-F238E27FC236}">
                  <a16:creationId xmlns:a16="http://schemas.microsoft.com/office/drawing/2014/main" id="{00000000-0008-0000-0100-00000C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418</xdr:row>
          <xdr:rowOff>198120</xdr:rowOff>
        </xdr:from>
        <xdr:to>
          <xdr:col>4</xdr:col>
          <xdr:colOff>518160</xdr:colOff>
          <xdr:row>418</xdr:row>
          <xdr:rowOff>533400</xdr:rowOff>
        </xdr:to>
        <xdr:sp macro="" textlink="">
          <xdr:nvSpPr>
            <xdr:cNvPr id="2573" name="Check Box 525" hidden="1">
              <a:extLst>
                <a:ext uri="{63B3BB69-23CF-44E3-9099-C40C66FF867C}">
                  <a14:compatExt spid="_x0000_s2573"/>
                </a:ext>
                <a:ext uri="{FF2B5EF4-FFF2-40B4-BE49-F238E27FC236}">
                  <a16:creationId xmlns:a16="http://schemas.microsoft.com/office/drawing/2014/main" id="{00000000-0008-0000-0100-00000D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419</xdr:row>
          <xdr:rowOff>198120</xdr:rowOff>
        </xdr:from>
        <xdr:to>
          <xdr:col>4</xdr:col>
          <xdr:colOff>518160</xdr:colOff>
          <xdr:row>419</xdr:row>
          <xdr:rowOff>533400</xdr:rowOff>
        </xdr:to>
        <xdr:sp macro="" textlink="">
          <xdr:nvSpPr>
            <xdr:cNvPr id="2574" name="Check Box 526" hidden="1">
              <a:extLst>
                <a:ext uri="{63B3BB69-23CF-44E3-9099-C40C66FF867C}">
                  <a14:compatExt spid="_x0000_s2574"/>
                </a:ext>
                <a:ext uri="{FF2B5EF4-FFF2-40B4-BE49-F238E27FC236}">
                  <a16:creationId xmlns:a16="http://schemas.microsoft.com/office/drawing/2014/main" id="{00000000-0008-0000-0100-00000E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419</xdr:row>
          <xdr:rowOff>198120</xdr:rowOff>
        </xdr:from>
        <xdr:to>
          <xdr:col>4</xdr:col>
          <xdr:colOff>518160</xdr:colOff>
          <xdr:row>419</xdr:row>
          <xdr:rowOff>533400</xdr:rowOff>
        </xdr:to>
        <xdr:sp macro="" textlink="">
          <xdr:nvSpPr>
            <xdr:cNvPr id="2575" name="Check Box 527" hidden="1">
              <a:extLst>
                <a:ext uri="{63B3BB69-23CF-44E3-9099-C40C66FF867C}">
                  <a14:compatExt spid="_x0000_s2575"/>
                </a:ext>
                <a:ext uri="{FF2B5EF4-FFF2-40B4-BE49-F238E27FC236}">
                  <a16:creationId xmlns:a16="http://schemas.microsoft.com/office/drawing/2014/main" id="{00000000-0008-0000-0100-00000F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420</xdr:row>
          <xdr:rowOff>198120</xdr:rowOff>
        </xdr:from>
        <xdr:to>
          <xdr:col>4</xdr:col>
          <xdr:colOff>518160</xdr:colOff>
          <xdr:row>420</xdr:row>
          <xdr:rowOff>533400</xdr:rowOff>
        </xdr:to>
        <xdr:sp macro="" textlink="">
          <xdr:nvSpPr>
            <xdr:cNvPr id="2576" name="Check Box 528" hidden="1">
              <a:extLst>
                <a:ext uri="{63B3BB69-23CF-44E3-9099-C40C66FF867C}">
                  <a14:compatExt spid="_x0000_s2576"/>
                </a:ext>
                <a:ext uri="{FF2B5EF4-FFF2-40B4-BE49-F238E27FC236}">
                  <a16:creationId xmlns:a16="http://schemas.microsoft.com/office/drawing/2014/main" id="{00000000-0008-0000-0100-000010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420</xdr:row>
          <xdr:rowOff>198120</xdr:rowOff>
        </xdr:from>
        <xdr:to>
          <xdr:col>4</xdr:col>
          <xdr:colOff>518160</xdr:colOff>
          <xdr:row>420</xdr:row>
          <xdr:rowOff>533400</xdr:rowOff>
        </xdr:to>
        <xdr:sp macro="" textlink="">
          <xdr:nvSpPr>
            <xdr:cNvPr id="2577" name="Check Box 529" hidden="1">
              <a:extLst>
                <a:ext uri="{63B3BB69-23CF-44E3-9099-C40C66FF867C}">
                  <a14:compatExt spid="_x0000_s2577"/>
                </a:ext>
                <a:ext uri="{FF2B5EF4-FFF2-40B4-BE49-F238E27FC236}">
                  <a16:creationId xmlns:a16="http://schemas.microsoft.com/office/drawing/2014/main" id="{00000000-0008-0000-0100-000011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422</xdr:row>
          <xdr:rowOff>198120</xdr:rowOff>
        </xdr:from>
        <xdr:to>
          <xdr:col>4</xdr:col>
          <xdr:colOff>518160</xdr:colOff>
          <xdr:row>422</xdr:row>
          <xdr:rowOff>533400</xdr:rowOff>
        </xdr:to>
        <xdr:sp macro="" textlink="">
          <xdr:nvSpPr>
            <xdr:cNvPr id="2578" name="Check Box 530" hidden="1">
              <a:extLst>
                <a:ext uri="{63B3BB69-23CF-44E3-9099-C40C66FF867C}">
                  <a14:compatExt spid="_x0000_s2578"/>
                </a:ext>
                <a:ext uri="{FF2B5EF4-FFF2-40B4-BE49-F238E27FC236}">
                  <a16:creationId xmlns:a16="http://schemas.microsoft.com/office/drawing/2014/main" id="{00000000-0008-0000-0100-000012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422</xdr:row>
          <xdr:rowOff>198120</xdr:rowOff>
        </xdr:from>
        <xdr:to>
          <xdr:col>4</xdr:col>
          <xdr:colOff>518160</xdr:colOff>
          <xdr:row>422</xdr:row>
          <xdr:rowOff>533400</xdr:rowOff>
        </xdr:to>
        <xdr:sp macro="" textlink="">
          <xdr:nvSpPr>
            <xdr:cNvPr id="2579" name="Check Box 531" hidden="1">
              <a:extLst>
                <a:ext uri="{63B3BB69-23CF-44E3-9099-C40C66FF867C}">
                  <a14:compatExt spid="_x0000_s2579"/>
                </a:ext>
                <a:ext uri="{FF2B5EF4-FFF2-40B4-BE49-F238E27FC236}">
                  <a16:creationId xmlns:a16="http://schemas.microsoft.com/office/drawing/2014/main" id="{00000000-0008-0000-0100-000013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423</xdr:row>
          <xdr:rowOff>198120</xdr:rowOff>
        </xdr:from>
        <xdr:to>
          <xdr:col>4</xdr:col>
          <xdr:colOff>518160</xdr:colOff>
          <xdr:row>423</xdr:row>
          <xdr:rowOff>533400</xdr:rowOff>
        </xdr:to>
        <xdr:sp macro="" textlink="">
          <xdr:nvSpPr>
            <xdr:cNvPr id="2580" name="Check Box 532" hidden="1">
              <a:extLst>
                <a:ext uri="{63B3BB69-23CF-44E3-9099-C40C66FF867C}">
                  <a14:compatExt spid="_x0000_s2580"/>
                </a:ext>
                <a:ext uri="{FF2B5EF4-FFF2-40B4-BE49-F238E27FC236}">
                  <a16:creationId xmlns:a16="http://schemas.microsoft.com/office/drawing/2014/main" id="{00000000-0008-0000-0100-000014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423</xdr:row>
          <xdr:rowOff>198120</xdr:rowOff>
        </xdr:from>
        <xdr:to>
          <xdr:col>4</xdr:col>
          <xdr:colOff>518160</xdr:colOff>
          <xdr:row>423</xdr:row>
          <xdr:rowOff>533400</xdr:rowOff>
        </xdr:to>
        <xdr:sp macro="" textlink="">
          <xdr:nvSpPr>
            <xdr:cNvPr id="2581" name="Check Box 533" hidden="1">
              <a:extLst>
                <a:ext uri="{63B3BB69-23CF-44E3-9099-C40C66FF867C}">
                  <a14:compatExt spid="_x0000_s2581"/>
                </a:ext>
                <a:ext uri="{FF2B5EF4-FFF2-40B4-BE49-F238E27FC236}">
                  <a16:creationId xmlns:a16="http://schemas.microsoft.com/office/drawing/2014/main" id="{00000000-0008-0000-0100-000015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424</xdr:row>
          <xdr:rowOff>198120</xdr:rowOff>
        </xdr:from>
        <xdr:to>
          <xdr:col>4</xdr:col>
          <xdr:colOff>518160</xdr:colOff>
          <xdr:row>424</xdr:row>
          <xdr:rowOff>533400</xdr:rowOff>
        </xdr:to>
        <xdr:sp macro="" textlink="">
          <xdr:nvSpPr>
            <xdr:cNvPr id="2582" name="Check Box 534" hidden="1">
              <a:extLst>
                <a:ext uri="{63B3BB69-23CF-44E3-9099-C40C66FF867C}">
                  <a14:compatExt spid="_x0000_s2582"/>
                </a:ext>
                <a:ext uri="{FF2B5EF4-FFF2-40B4-BE49-F238E27FC236}">
                  <a16:creationId xmlns:a16="http://schemas.microsoft.com/office/drawing/2014/main" id="{00000000-0008-0000-0100-000016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424</xdr:row>
          <xdr:rowOff>198120</xdr:rowOff>
        </xdr:from>
        <xdr:to>
          <xdr:col>4</xdr:col>
          <xdr:colOff>518160</xdr:colOff>
          <xdr:row>424</xdr:row>
          <xdr:rowOff>533400</xdr:rowOff>
        </xdr:to>
        <xdr:sp macro="" textlink="">
          <xdr:nvSpPr>
            <xdr:cNvPr id="2583" name="Check Box 535" hidden="1">
              <a:extLst>
                <a:ext uri="{63B3BB69-23CF-44E3-9099-C40C66FF867C}">
                  <a14:compatExt spid="_x0000_s2583"/>
                </a:ext>
                <a:ext uri="{FF2B5EF4-FFF2-40B4-BE49-F238E27FC236}">
                  <a16:creationId xmlns:a16="http://schemas.microsoft.com/office/drawing/2014/main" id="{00000000-0008-0000-0100-000017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425</xdr:row>
          <xdr:rowOff>198120</xdr:rowOff>
        </xdr:from>
        <xdr:to>
          <xdr:col>4</xdr:col>
          <xdr:colOff>518160</xdr:colOff>
          <xdr:row>425</xdr:row>
          <xdr:rowOff>533400</xdr:rowOff>
        </xdr:to>
        <xdr:sp macro="" textlink="">
          <xdr:nvSpPr>
            <xdr:cNvPr id="2584" name="Check Box 536" hidden="1">
              <a:extLst>
                <a:ext uri="{63B3BB69-23CF-44E3-9099-C40C66FF867C}">
                  <a14:compatExt spid="_x0000_s2584"/>
                </a:ext>
                <a:ext uri="{FF2B5EF4-FFF2-40B4-BE49-F238E27FC236}">
                  <a16:creationId xmlns:a16="http://schemas.microsoft.com/office/drawing/2014/main" id="{00000000-0008-0000-0100-000018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425</xdr:row>
          <xdr:rowOff>198120</xdr:rowOff>
        </xdr:from>
        <xdr:to>
          <xdr:col>4</xdr:col>
          <xdr:colOff>518160</xdr:colOff>
          <xdr:row>425</xdr:row>
          <xdr:rowOff>533400</xdr:rowOff>
        </xdr:to>
        <xdr:sp macro="" textlink="">
          <xdr:nvSpPr>
            <xdr:cNvPr id="2585" name="Check Box 537" hidden="1">
              <a:extLst>
                <a:ext uri="{63B3BB69-23CF-44E3-9099-C40C66FF867C}">
                  <a14:compatExt spid="_x0000_s2585"/>
                </a:ext>
                <a:ext uri="{FF2B5EF4-FFF2-40B4-BE49-F238E27FC236}">
                  <a16:creationId xmlns:a16="http://schemas.microsoft.com/office/drawing/2014/main" id="{00000000-0008-0000-0100-000019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430</xdr:row>
          <xdr:rowOff>198120</xdr:rowOff>
        </xdr:from>
        <xdr:to>
          <xdr:col>4</xdr:col>
          <xdr:colOff>518160</xdr:colOff>
          <xdr:row>430</xdr:row>
          <xdr:rowOff>533400</xdr:rowOff>
        </xdr:to>
        <xdr:sp macro="" textlink="">
          <xdr:nvSpPr>
            <xdr:cNvPr id="2586" name="Check Box 538" hidden="1">
              <a:extLst>
                <a:ext uri="{63B3BB69-23CF-44E3-9099-C40C66FF867C}">
                  <a14:compatExt spid="_x0000_s2586"/>
                </a:ext>
                <a:ext uri="{FF2B5EF4-FFF2-40B4-BE49-F238E27FC236}">
                  <a16:creationId xmlns:a16="http://schemas.microsoft.com/office/drawing/2014/main" id="{00000000-0008-0000-0100-00001A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430</xdr:row>
          <xdr:rowOff>198120</xdr:rowOff>
        </xdr:from>
        <xdr:to>
          <xdr:col>4</xdr:col>
          <xdr:colOff>518160</xdr:colOff>
          <xdr:row>430</xdr:row>
          <xdr:rowOff>533400</xdr:rowOff>
        </xdr:to>
        <xdr:sp macro="" textlink="">
          <xdr:nvSpPr>
            <xdr:cNvPr id="2587" name="Check Box 539" hidden="1">
              <a:extLst>
                <a:ext uri="{63B3BB69-23CF-44E3-9099-C40C66FF867C}">
                  <a14:compatExt spid="_x0000_s2587"/>
                </a:ext>
                <a:ext uri="{FF2B5EF4-FFF2-40B4-BE49-F238E27FC236}">
                  <a16:creationId xmlns:a16="http://schemas.microsoft.com/office/drawing/2014/main" id="{00000000-0008-0000-0100-00001B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431</xdr:row>
          <xdr:rowOff>198120</xdr:rowOff>
        </xdr:from>
        <xdr:to>
          <xdr:col>4</xdr:col>
          <xdr:colOff>518160</xdr:colOff>
          <xdr:row>431</xdr:row>
          <xdr:rowOff>533400</xdr:rowOff>
        </xdr:to>
        <xdr:sp macro="" textlink="">
          <xdr:nvSpPr>
            <xdr:cNvPr id="2588" name="Check Box 540" hidden="1">
              <a:extLst>
                <a:ext uri="{63B3BB69-23CF-44E3-9099-C40C66FF867C}">
                  <a14:compatExt spid="_x0000_s2588"/>
                </a:ext>
                <a:ext uri="{FF2B5EF4-FFF2-40B4-BE49-F238E27FC236}">
                  <a16:creationId xmlns:a16="http://schemas.microsoft.com/office/drawing/2014/main" id="{00000000-0008-0000-0100-00001C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431</xdr:row>
          <xdr:rowOff>198120</xdr:rowOff>
        </xdr:from>
        <xdr:to>
          <xdr:col>4</xdr:col>
          <xdr:colOff>518160</xdr:colOff>
          <xdr:row>431</xdr:row>
          <xdr:rowOff>533400</xdr:rowOff>
        </xdr:to>
        <xdr:sp macro="" textlink="">
          <xdr:nvSpPr>
            <xdr:cNvPr id="2589" name="Check Box 541" hidden="1">
              <a:extLst>
                <a:ext uri="{63B3BB69-23CF-44E3-9099-C40C66FF867C}">
                  <a14:compatExt spid="_x0000_s2589"/>
                </a:ext>
                <a:ext uri="{FF2B5EF4-FFF2-40B4-BE49-F238E27FC236}">
                  <a16:creationId xmlns:a16="http://schemas.microsoft.com/office/drawing/2014/main" id="{00000000-0008-0000-0100-00001D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432</xdr:row>
          <xdr:rowOff>198120</xdr:rowOff>
        </xdr:from>
        <xdr:to>
          <xdr:col>4</xdr:col>
          <xdr:colOff>518160</xdr:colOff>
          <xdr:row>432</xdr:row>
          <xdr:rowOff>533400</xdr:rowOff>
        </xdr:to>
        <xdr:sp macro="" textlink="">
          <xdr:nvSpPr>
            <xdr:cNvPr id="2590" name="Check Box 542" hidden="1">
              <a:extLst>
                <a:ext uri="{63B3BB69-23CF-44E3-9099-C40C66FF867C}">
                  <a14:compatExt spid="_x0000_s2590"/>
                </a:ext>
                <a:ext uri="{FF2B5EF4-FFF2-40B4-BE49-F238E27FC236}">
                  <a16:creationId xmlns:a16="http://schemas.microsoft.com/office/drawing/2014/main" id="{00000000-0008-0000-0100-00001E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432</xdr:row>
          <xdr:rowOff>198120</xdr:rowOff>
        </xdr:from>
        <xdr:to>
          <xdr:col>4</xdr:col>
          <xdr:colOff>518160</xdr:colOff>
          <xdr:row>432</xdr:row>
          <xdr:rowOff>533400</xdr:rowOff>
        </xdr:to>
        <xdr:sp macro="" textlink="">
          <xdr:nvSpPr>
            <xdr:cNvPr id="2591" name="Check Box 543" hidden="1">
              <a:extLst>
                <a:ext uri="{63B3BB69-23CF-44E3-9099-C40C66FF867C}">
                  <a14:compatExt spid="_x0000_s2591"/>
                </a:ext>
                <a:ext uri="{FF2B5EF4-FFF2-40B4-BE49-F238E27FC236}">
                  <a16:creationId xmlns:a16="http://schemas.microsoft.com/office/drawing/2014/main" id="{00000000-0008-0000-0100-00001F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433</xdr:row>
          <xdr:rowOff>198120</xdr:rowOff>
        </xdr:from>
        <xdr:to>
          <xdr:col>4</xdr:col>
          <xdr:colOff>518160</xdr:colOff>
          <xdr:row>433</xdr:row>
          <xdr:rowOff>533400</xdr:rowOff>
        </xdr:to>
        <xdr:sp macro="" textlink="">
          <xdr:nvSpPr>
            <xdr:cNvPr id="2592" name="Check Box 544" hidden="1">
              <a:extLst>
                <a:ext uri="{63B3BB69-23CF-44E3-9099-C40C66FF867C}">
                  <a14:compatExt spid="_x0000_s2592"/>
                </a:ext>
                <a:ext uri="{FF2B5EF4-FFF2-40B4-BE49-F238E27FC236}">
                  <a16:creationId xmlns:a16="http://schemas.microsoft.com/office/drawing/2014/main" id="{00000000-0008-0000-0100-000020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433</xdr:row>
          <xdr:rowOff>198120</xdr:rowOff>
        </xdr:from>
        <xdr:to>
          <xdr:col>4</xdr:col>
          <xdr:colOff>518160</xdr:colOff>
          <xdr:row>433</xdr:row>
          <xdr:rowOff>533400</xdr:rowOff>
        </xdr:to>
        <xdr:sp macro="" textlink="">
          <xdr:nvSpPr>
            <xdr:cNvPr id="2593" name="Check Box 545" hidden="1">
              <a:extLst>
                <a:ext uri="{63B3BB69-23CF-44E3-9099-C40C66FF867C}">
                  <a14:compatExt spid="_x0000_s2593"/>
                </a:ext>
                <a:ext uri="{FF2B5EF4-FFF2-40B4-BE49-F238E27FC236}">
                  <a16:creationId xmlns:a16="http://schemas.microsoft.com/office/drawing/2014/main" id="{00000000-0008-0000-0100-000021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434</xdr:row>
          <xdr:rowOff>198120</xdr:rowOff>
        </xdr:from>
        <xdr:to>
          <xdr:col>4</xdr:col>
          <xdr:colOff>518160</xdr:colOff>
          <xdr:row>434</xdr:row>
          <xdr:rowOff>533400</xdr:rowOff>
        </xdr:to>
        <xdr:sp macro="" textlink="">
          <xdr:nvSpPr>
            <xdr:cNvPr id="2594" name="Check Box 546" hidden="1">
              <a:extLst>
                <a:ext uri="{63B3BB69-23CF-44E3-9099-C40C66FF867C}">
                  <a14:compatExt spid="_x0000_s2594"/>
                </a:ext>
                <a:ext uri="{FF2B5EF4-FFF2-40B4-BE49-F238E27FC236}">
                  <a16:creationId xmlns:a16="http://schemas.microsoft.com/office/drawing/2014/main" id="{00000000-0008-0000-0100-000022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434</xdr:row>
          <xdr:rowOff>198120</xdr:rowOff>
        </xdr:from>
        <xdr:to>
          <xdr:col>4</xdr:col>
          <xdr:colOff>518160</xdr:colOff>
          <xdr:row>434</xdr:row>
          <xdr:rowOff>533400</xdr:rowOff>
        </xdr:to>
        <xdr:sp macro="" textlink="">
          <xdr:nvSpPr>
            <xdr:cNvPr id="2595" name="Check Box 547" hidden="1">
              <a:extLst>
                <a:ext uri="{63B3BB69-23CF-44E3-9099-C40C66FF867C}">
                  <a14:compatExt spid="_x0000_s2595"/>
                </a:ext>
                <a:ext uri="{FF2B5EF4-FFF2-40B4-BE49-F238E27FC236}">
                  <a16:creationId xmlns:a16="http://schemas.microsoft.com/office/drawing/2014/main" id="{00000000-0008-0000-0100-000023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435</xdr:row>
          <xdr:rowOff>198120</xdr:rowOff>
        </xdr:from>
        <xdr:to>
          <xdr:col>4</xdr:col>
          <xdr:colOff>518160</xdr:colOff>
          <xdr:row>435</xdr:row>
          <xdr:rowOff>533400</xdr:rowOff>
        </xdr:to>
        <xdr:sp macro="" textlink="">
          <xdr:nvSpPr>
            <xdr:cNvPr id="2596" name="Check Box 548" hidden="1">
              <a:extLst>
                <a:ext uri="{63B3BB69-23CF-44E3-9099-C40C66FF867C}">
                  <a14:compatExt spid="_x0000_s2596"/>
                </a:ext>
                <a:ext uri="{FF2B5EF4-FFF2-40B4-BE49-F238E27FC236}">
                  <a16:creationId xmlns:a16="http://schemas.microsoft.com/office/drawing/2014/main" id="{00000000-0008-0000-0100-000024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435</xdr:row>
          <xdr:rowOff>198120</xdr:rowOff>
        </xdr:from>
        <xdr:to>
          <xdr:col>4</xdr:col>
          <xdr:colOff>518160</xdr:colOff>
          <xdr:row>435</xdr:row>
          <xdr:rowOff>533400</xdr:rowOff>
        </xdr:to>
        <xdr:sp macro="" textlink="">
          <xdr:nvSpPr>
            <xdr:cNvPr id="2597" name="Check Box 549" hidden="1">
              <a:extLst>
                <a:ext uri="{63B3BB69-23CF-44E3-9099-C40C66FF867C}">
                  <a14:compatExt spid="_x0000_s2597"/>
                </a:ext>
                <a:ext uri="{FF2B5EF4-FFF2-40B4-BE49-F238E27FC236}">
                  <a16:creationId xmlns:a16="http://schemas.microsoft.com/office/drawing/2014/main" id="{00000000-0008-0000-0100-000025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437</xdr:row>
          <xdr:rowOff>198120</xdr:rowOff>
        </xdr:from>
        <xdr:to>
          <xdr:col>4</xdr:col>
          <xdr:colOff>518160</xdr:colOff>
          <xdr:row>437</xdr:row>
          <xdr:rowOff>533400</xdr:rowOff>
        </xdr:to>
        <xdr:sp macro="" textlink="">
          <xdr:nvSpPr>
            <xdr:cNvPr id="2598" name="Check Box 550" hidden="1">
              <a:extLst>
                <a:ext uri="{63B3BB69-23CF-44E3-9099-C40C66FF867C}">
                  <a14:compatExt spid="_x0000_s2598"/>
                </a:ext>
                <a:ext uri="{FF2B5EF4-FFF2-40B4-BE49-F238E27FC236}">
                  <a16:creationId xmlns:a16="http://schemas.microsoft.com/office/drawing/2014/main" id="{00000000-0008-0000-0100-000026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437</xdr:row>
          <xdr:rowOff>198120</xdr:rowOff>
        </xdr:from>
        <xdr:to>
          <xdr:col>4</xdr:col>
          <xdr:colOff>518160</xdr:colOff>
          <xdr:row>437</xdr:row>
          <xdr:rowOff>533400</xdr:rowOff>
        </xdr:to>
        <xdr:sp macro="" textlink="">
          <xdr:nvSpPr>
            <xdr:cNvPr id="2599" name="Check Box 551" hidden="1">
              <a:extLst>
                <a:ext uri="{63B3BB69-23CF-44E3-9099-C40C66FF867C}">
                  <a14:compatExt spid="_x0000_s2599"/>
                </a:ext>
                <a:ext uri="{FF2B5EF4-FFF2-40B4-BE49-F238E27FC236}">
                  <a16:creationId xmlns:a16="http://schemas.microsoft.com/office/drawing/2014/main" id="{00000000-0008-0000-0100-000027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438</xdr:row>
          <xdr:rowOff>198120</xdr:rowOff>
        </xdr:from>
        <xdr:to>
          <xdr:col>4</xdr:col>
          <xdr:colOff>518160</xdr:colOff>
          <xdr:row>438</xdr:row>
          <xdr:rowOff>533400</xdr:rowOff>
        </xdr:to>
        <xdr:sp macro="" textlink="">
          <xdr:nvSpPr>
            <xdr:cNvPr id="2600" name="Check Box 552" hidden="1">
              <a:extLst>
                <a:ext uri="{63B3BB69-23CF-44E3-9099-C40C66FF867C}">
                  <a14:compatExt spid="_x0000_s2600"/>
                </a:ext>
                <a:ext uri="{FF2B5EF4-FFF2-40B4-BE49-F238E27FC236}">
                  <a16:creationId xmlns:a16="http://schemas.microsoft.com/office/drawing/2014/main" id="{00000000-0008-0000-0100-000028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438</xdr:row>
          <xdr:rowOff>198120</xdr:rowOff>
        </xdr:from>
        <xdr:to>
          <xdr:col>4</xdr:col>
          <xdr:colOff>518160</xdr:colOff>
          <xdr:row>438</xdr:row>
          <xdr:rowOff>533400</xdr:rowOff>
        </xdr:to>
        <xdr:sp macro="" textlink="">
          <xdr:nvSpPr>
            <xdr:cNvPr id="2601" name="Check Box 553" hidden="1">
              <a:extLst>
                <a:ext uri="{63B3BB69-23CF-44E3-9099-C40C66FF867C}">
                  <a14:compatExt spid="_x0000_s2601"/>
                </a:ext>
                <a:ext uri="{FF2B5EF4-FFF2-40B4-BE49-F238E27FC236}">
                  <a16:creationId xmlns:a16="http://schemas.microsoft.com/office/drawing/2014/main" id="{00000000-0008-0000-0100-000029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439</xdr:row>
          <xdr:rowOff>198120</xdr:rowOff>
        </xdr:from>
        <xdr:to>
          <xdr:col>4</xdr:col>
          <xdr:colOff>518160</xdr:colOff>
          <xdr:row>439</xdr:row>
          <xdr:rowOff>533400</xdr:rowOff>
        </xdr:to>
        <xdr:sp macro="" textlink="">
          <xdr:nvSpPr>
            <xdr:cNvPr id="2602" name="Check Box 554" hidden="1">
              <a:extLst>
                <a:ext uri="{63B3BB69-23CF-44E3-9099-C40C66FF867C}">
                  <a14:compatExt spid="_x0000_s2602"/>
                </a:ext>
                <a:ext uri="{FF2B5EF4-FFF2-40B4-BE49-F238E27FC236}">
                  <a16:creationId xmlns:a16="http://schemas.microsoft.com/office/drawing/2014/main" id="{00000000-0008-0000-0100-00002A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439</xdr:row>
          <xdr:rowOff>198120</xdr:rowOff>
        </xdr:from>
        <xdr:to>
          <xdr:col>4</xdr:col>
          <xdr:colOff>518160</xdr:colOff>
          <xdr:row>439</xdr:row>
          <xdr:rowOff>533400</xdr:rowOff>
        </xdr:to>
        <xdr:sp macro="" textlink="">
          <xdr:nvSpPr>
            <xdr:cNvPr id="2603" name="Check Box 555" hidden="1">
              <a:extLst>
                <a:ext uri="{63B3BB69-23CF-44E3-9099-C40C66FF867C}">
                  <a14:compatExt spid="_x0000_s2603"/>
                </a:ext>
                <a:ext uri="{FF2B5EF4-FFF2-40B4-BE49-F238E27FC236}">
                  <a16:creationId xmlns:a16="http://schemas.microsoft.com/office/drawing/2014/main" id="{00000000-0008-0000-0100-00002B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440</xdr:row>
          <xdr:rowOff>198120</xdr:rowOff>
        </xdr:from>
        <xdr:to>
          <xdr:col>4</xdr:col>
          <xdr:colOff>518160</xdr:colOff>
          <xdr:row>440</xdr:row>
          <xdr:rowOff>533400</xdr:rowOff>
        </xdr:to>
        <xdr:sp macro="" textlink="">
          <xdr:nvSpPr>
            <xdr:cNvPr id="2604" name="Check Box 556" hidden="1">
              <a:extLst>
                <a:ext uri="{63B3BB69-23CF-44E3-9099-C40C66FF867C}">
                  <a14:compatExt spid="_x0000_s2604"/>
                </a:ext>
                <a:ext uri="{FF2B5EF4-FFF2-40B4-BE49-F238E27FC236}">
                  <a16:creationId xmlns:a16="http://schemas.microsoft.com/office/drawing/2014/main" id="{00000000-0008-0000-0100-00002C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440</xdr:row>
          <xdr:rowOff>198120</xdr:rowOff>
        </xdr:from>
        <xdr:to>
          <xdr:col>4</xdr:col>
          <xdr:colOff>518160</xdr:colOff>
          <xdr:row>440</xdr:row>
          <xdr:rowOff>533400</xdr:rowOff>
        </xdr:to>
        <xdr:sp macro="" textlink="">
          <xdr:nvSpPr>
            <xdr:cNvPr id="2605" name="Check Box 557" hidden="1">
              <a:extLst>
                <a:ext uri="{63B3BB69-23CF-44E3-9099-C40C66FF867C}">
                  <a14:compatExt spid="_x0000_s2605"/>
                </a:ext>
                <a:ext uri="{FF2B5EF4-FFF2-40B4-BE49-F238E27FC236}">
                  <a16:creationId xmlns:a16="http://schemas.microsoft.com/office/drawing/2014/main" id="{00000000-0008-0000-0100-00002D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441</xdr:row>
          <xdr:rowOff>198120</xdr:rowOff>
        </xdr:from>
        <xdr:to>
          <xdr:col>4</xdr:col>
          <xdr:colOff>518160</xdr:colOff>
          <xdr:row>441</xdr:row>
          <xdr:rowOff>533400</xdr:rowOff>
        </xdr:to>
        <xdr:sp macro="" textlink="">
          <xdr:nvSpPr>
            <xdr:cNvPr id="2606" name="Check Box 558" hidden="1">
              <a:extLst>
                <a:ext uri="{63B3BB69-23CF-44E3-9099-C40C66FF867C}">
                  <a14:compatExt spid="_x0000_s2606"/>
                </a:ext>
                <a:ext uri="{FF2B5EF4-FFF2-40B4-BE49-F238E27FC236}">
                  <a16:creationId xmlns:a16="http://schemas.microsoft.com/office/drawing/2014/main" id="{00000000-0008-0000-0100-00002E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441</xdr:row>
          <xdr:rowOff>198120</xdr:rowOff>
        </xdr:from>
        <xdr:to>
          <xdr:col>4</xdr:col>
          <xdr:colOff>518160</xdr:colOff>
          <xdr:row>441</xdr:row>
          <xdr:rowOff>533400</xdr:rowOff>
        </xdr:to>
        <xdr:sp macro="" textlink="">
          <xdr:nvSpPr>
            <xdr:cNvPr id="2607" name="Check Box 559" hidden="1">
              <a:extLst>
                <a:ext uri="{63B3BB69-23CF-44E3-9099-C40C66FF867C}">
                  <a14:compatExt spid="_x0000_s2607"/>
                </a:ext>
                <a:ext uri="{FF2B5EF4-FFF2-40B4-BE49-F238E27FC236}">
                  <a16:creationId xmlns:a16="http://schemas.microsoft.com/office/drawing/2014/main" id="{00000000-0008-0000-0100-00002F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442</xdr:row>
          <xdr:rowOff>198120</xdr:rowOff>
        </xdr:from>
        <xdr:to>
          <xdr:col>4</xdr:col>
          <xdr:colOff>518160</xdr:colOff>
          <xdr:row>442</xdr:row>
          <xdr:rowOff>533400</xdr:rowOff>
        </xdr:to>
        <xdr:sp macro="" textlink="">
          <xdr:nvSpPr>
            <xdr:cNvPr id="2608" name="Check Box 560" hidden="1">
              <a:extLst>
                <a:ext uri="{63B3BB69-23CF-44E3-9099-C40C66FF867C}">
                  <a14:compatExt spid="_x0000_s2608"/>
                </a:ext>
                <a:ext uri="{FF2B5EF4-FFF2-40B4-BE49-F238E27FC236}">
                  <a16:creationId xmlns:a16="http://schemas.microsoft.com/office/drawing/2014/main" id="{00000000-0008-0000-0100-000030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442</xdr:row>
          <xdr:rowOff>198120</xdr:rowOff>
        </xdr:from>
        <xdr:to>
          <xdr:col>4</xdr:col>
          <xdr:colOff>518160</xdr:colOff>
          <xdr:row>442</xdr:row>
          <xdr:rowOff>533400</xdr:rowOff>
        </xdr:to>
        <xdr:sp macro="" textlink="">
          <xdr:nvSpPr>
            <xdr:cNvPr id="2609" name="Check Box 561" hidden="1">
              <a:extLst>
                <a:ext uri="{63B3BB69-23CF-44E3-9099-C40C66FF867C}">
                  <a14:compatExt spid="_x0000_s2609"/>
                </a:ext>
                <a:ext uri="{FF2B5EF4-FFF2-40B4-BE49-F238E27FC236}">
                  <a16:creationId xmlns:a16="http://schemas.microsoft.com/office/drawing/2014/main" id="{00000000-0008-0000-0100-000031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443</xdr:row>
          <xdr:rowOff>198120</xdr:rowOff>
        </xdr:from>
        <xdr:to>
          <xdr:col>4</xdr:col>
          <xdr:colOff>518160</xdr:colOff>
          <xdr:row>443</xdr:row>
          <xdr:rowOff>533400</xdr:rowOff>
        </xdr:to>
        <xdr:sp macro="" textlink="">
          <xdr:nvSpPr>
            <xdr:cNvPr id="2610" name="Check Box 562" hidden="1">
              <a:extLst>
                <a:ext uri="{63B3BB69-23CF-44E3-9099-C40C66FF867C}">
                  <a14:compatExt spid="_x0000_s2610"/>
                </a:ext>
                <a:ext uri="{FF2B5EF4-FFF2-40B4-BE49-F238E27FC236}">
                  <a16:creationId xmlns:a16="http://schemas.microsoft.com/office/drawing/2014/main" id="{00000000-0008-0000-0100-000032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443</xdr:row>
          <xdr:rowOff>198120</xdr:rowOff>
        </xdr:from>
        <xdr:to>
          <xdr:col>4</xdr:col>
          <xdr:colOff>518160</xdr:colOff>
          <xdr:row>443</xdr:row>
          <xdr:rowOff>533400</xdr:rowOff>
        </xdr:to>
        <xdr:sp macro="" textlink="">
          <xdr:nvSpPr>
            <xdr:cNvPr id="2611" name="Check Box 563" hidden="1">
              <a:extLst>
                <a:ext uri="{63B3BB69-23CF-44E3-9099-C40C66FF867C}">
                  <a14:compatExt spid="_x0000_s2611"/>
                </a:ext>
                <a:ext uri="{FF2B5EF4-FFF2-40B4-BE49-F238E27FC236}">
                  <a16:creationId xmlns:a16="http://schemas.microsoft.com/office/drawing/2014/main" id="{00000000-0008-0000-0100-000033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444</xdr:row>
          <xdr:rowOff>198120</xdr:rowOff>
        </xdr:from>
        <xdr:to>
          <xdr:col>4</xdr:col>
          <xdr:colOff>518160</xdr:colOff>
          <xdr:row>444</xdr:row>
          <xdr:rowOff>533400</xdr:rowOff>
        </xdr:to>
        <xdr:sp macro="" textlink="">
          <xdr:nvSpPr>
            <xdr:cNvPr id="2612" name="Check Box 564" hidden="1">
              <a:extLst>
                <a:ext uri="{63B3BB69-23CF-44E3-9099-C40C66FF867C}">
                  <a14:compatExt spid="_x0000_s2612"/>
                </a:ext>
                <a:ext uri="{FF2B5EF4-FFF2-40B4-BE49-F238E27FC236}">
                  <a16:creationId xmlns:a16="http://schemas.microsoft.com/office/drawing/2014/main" id="{00000000-0008-0000-0100-000034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444</xdr:row>
          <xdr:rowOff>198120</xdr:rowOff>
        </xdr:from>
        <xdr:to>
          <xdr:col>4</xdr:col>
          <xdr:colOff>518160</xdr:colOff>
          <xdr:row>444</xdr:row>
          <xdr:rowOff>533400</xdr:rowOff>
        </xdr:to>
        <xdr:sp macro="" textlink="">
          <xdr:nvSpPr>
            <xdr:cNvPr id="2613" name="Check Box 565" hidden="1">
              <a:extLst>
                <a:ext uri="{63B3BB69-23CF-44E3-9099-C40C66FF867C}">
                  <a14:compatExt spid="_x0000_s2613"/>
                </a:ext>
                <a:ext uri="{FF2B5EF4-FFF2-40B4-BE49-F238E27FC236}">
                  <a16:creationId xmlns:a16="http://schemas.microsoft.com/office/drawing/2014/main" id="{00000000-0008-0000-0100-000035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446</xdr:row>
          <xdr:rowOff>198120</xdr:rowOff>
        </xdr:from>
        <xdr:to>
          <xdr:col>4</xdr:col>
          <xdr:colOff>518160</xdr:colOff>
          <xdr:row>446</xdr:row>
          <xdr:rowOff>533400</xdr:rowOff>
        </xdr:to>
        <xdr:sp macro="" textlink="">
          <xdr:nvSpPr>
            <xdr:cNvPr id="2614" name="Check Box 566" hidden="1">
              <a:extLst>
                <a:ext uri="{63B3BB69-23CF-44E3-9099-C40C66FF867C}">
                  <a14:compatExt spid="_x0000_s2614"/>
                </a:ext>
                <a:ext uri="{FF2B5EF4-FFF2-40B4-BE49-F238E27FC236}">
                  <a16:creationId xmlns:a16="http://schemas.microsoft.com/office/drawing/2014/main" id="{00000000-0008-0000-0100-000036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446</xdr:row>
          <xdr:rowOff>198120</xdr:rowOff>
        </xdr:from>
        <xdr:to>
          <xdr:col>4</xdr:col>
          <xdr:colOff>518160</xdr:colOff>
          <xdr:row>446</xdr:row>
          <xdr:rowOff>533400</xdr:rowOff>
        </xdr:to>
        <xdr:sp macro="" textlink="">
          <xdr:nvSpPr>
            <xdr:cNvPr id="2615" name="Check Box 567" hidden="1">
              <a:extLst>
                <a:ext uri="{63B3BB69-23CF-44E3-9099-C40C66FF867C}">
                  <a14:compatExt spid="_x0000_s2615"/>
                </a:ext>
                <a:ext uri="{FF2B5EF4-FFF2-40B4-BE49-F238E27FC236}">
                  <a16:creationId xmlns:a16="http://schemas.microsoft.com/office/drawing/2014/main" id="{00000000-0008-0000-0100-000037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447</xdr:row>
          <xdr:rowOff>198120</xdr:rowOff>
        </xdr:from>
        <xdr:to>
          <xdr:col>4</xdr:col>
          <xdr:colOff>518160</xdr:colOff>
          <xdr:row>447</xdr:row>
          <xdr:rowOff>533400</xdr:rowOff>
        </xdr:to>
        <xdr:sp macro="" textlink="">
          <xdr:nvSpPr>
            <xdr:cNvPr id="2616" name="Check Box 568" hidden="1">
              <a:extLst>
                <a:ext uri="{63B3BB69-23CF-44E3-9099-C40C66FF867C}">
                  <a14:compatExt spid="_x0000_s2616"/>
                </a:ext>
                <a:ext uri="{FF2B5EF4-FFF2-40B4-BE49-F238E27FC236}">
                  <a16:creationId xmlns:a16="http://schemas.microsoft.com/office/drawing/2014/main" id="{00000000-0008-0000-0100-000038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447</xdr:row>
          <xdr:rowOff>198120</xdr:rowOff>
        </xdr:from>
        <xdr:to>
          <xdr:col>4</xdr:col>
          <xdr:colOff>518160</xdr:colOff>
          <xdr:row>447</xdr:row>
          <xdr:rowOff>533400</xdr:rowOff>
        </xdr:to>
        <xdr:sp macro="" textlink="">
          <xdr:nvSpPr>
            <xdr:cNvPr id="2617" name="Check Box 569" hidden="1">
              <a:extLst>
                <a:ext uri="{63B3BB69-23CF-44E3-9099-C40C66FF867C}">
                  <a14:compatExt spid="_x0000_s2617"/>
                </a:ext>
                <a:ext uri="{FF2B5EF4-FFF2-40B4-BE49-F238E27FC236}">
                  <a16:creationId xmlns:a16="http://schemas.microsoft.com/office/drawing/2014/main" id="{00000000-0008-0000-0100-000039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448</xdr:row>
          <xdr:rowOff>198120</xdr:rowOff>
        </xdr:from>
        <xdr:to>
          <xdr:col>4</xdr:col>
          <xdr:colOff>518160</xdr:colOff>
          <xdr:row>448</xdr:row>
          <xdr:rowOff>533400</xdr:rowOff>
        </xdr:to>
        <xdr:sp macro="" textlink="">
          <xdr:nvSpPr>
            <xdr:cNvPr id="2618" name="Check Box 570" hidden="1">
              <a:extLst>
                <a:ext uri="{63B3BB69-23CF-44E3-9099-C40C66FF867C}">
                  <a14:compatExt spid="_x0000_s2618"/>
                </a:ext>
                <a:ext uri="{FF2B5EF4-FFF2-40B4-BE49-F238E27FC236}">
                  <a16:creationId xmlns:a16="http://schemas.microsoft.com/office/drawing/2014/main" id="{00000000-0008-0000-0100-00003A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448</xdr:row>
          <xdr:rowOff>198120</xdr:rowOff>
        </xdr:from>
        <xdr:to>
          <xdr:col>4</xdr:col>
          <xdr:colOff>518160</xdr:colOff>
          <xdr:row>448</xdr:row>
          <xdr:rowOff>533400</xdr:rowOff>
        </xdr:to>
        <xdr:sp macro="" textlink="">
          <xdr:nvSpPr>
            <xdr:cNvPr id="2619" name="Check Box 571" hidden="1">
              <a:extLst>
                <a:ext uri="{63B3BB69-23CF-44E3-9099-C40C66FF867C}">
                  <a14:compatExt spid="_x0000_s2619"/>
                </a:ext>
                <a:ext uri="{FF2B5EF4-FFF2-40B4-BE49-F238E27FC236}">
                  <a16:creationId xmlns:a16="http://schemas.microsoft.com/office/drawing/2014/main" id="{00000000-0008-0000-0100-00003B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450</xdr:row>
          <xdr:rowOff>198120</xdr:rowOff>
        </xdr:from>
        <xdr:to>
          <xdr:col>4</xdr:col>
          <xdr:colOff>518160</xdr:colOff>
          <xdr:row>450</xdr:row>
          <xdr:rowOff>533400</xdr:rowOff>
        </xdr:to>
        <xdr:sp macro="" textlink="">
          <xdr:nvSpPr>
            <xdr:cNvPr id="2620" name="Check Box 572" hidden="1">
              <a:extLst>
                <a:ext uri="{63B3BB69-23CF-44E3-9099-C40C66FF867C}">
                  <a14:compatExt spid="_x0000_s2620"/>
                </a:ext>
                <a:ext uri="{FF2B5EF4-FFF2-40B4-BE49-F238E27FC236}">
                  <a16:creationId xmlns:a16="http://schemas.microsoft.com/office/drawing/2014/main" id="{00000000-0008-0000-0100-00003C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450</xdr:row>
          <xdr:rowOff>198120</xdr:rowOff>
        </xdr:from>
        <xdr:to>
          <xdr:col>4</xdr:col>
          <xdr:colOff>518160</xdr:colOff>
          <xdr:row>450</xdr:row>
          <xdr:rowOff>533400</xdr:rowOff>
        </xdr:to>
        <xdr:sp macro="" textlink="">
          <xdr:nvSpPr>
            <xdr:cNvPr id="2621" name="Check Box 573" hidden="1">
              <a:extLst>
                <a:ext uri="{63B3BB69-23CF-44E3-9099-C40C66FF867C}">
                  <a14:compatExt spid="_x0000_s2621"/>
                </a:ext>
                <a:ext uri="{FF2B5EF4-FFF2-40B4-BE49-F238E27FC236}">
                  <a16:creationId xmlns:a16="http://schemas.microsoft.com/office/drawing/2014/main" id="{00000000-0008-0000-0100-00003D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451</xdr:row>
          <xdr:rowOff>198120</xdr:rowOff>
        </xdr:from>
        <xdr:to>
          <xdr:col>4</xdr:col>
          <xdr:colOff>518160</xdr:colOff>
          <xdr:row>451</xdr:row>
          <xdr:rowOff>533400</xdr:rowOff>
        </xdr:to>
        <xdr:sp macro="" textlink="">
          <xdr:nvSpPr>
            <xdr:cNvPr id="2622" name="Check Box 574" hidden="1">
              <a:extLst>
                <a:ext uri="{63B3BB69-23CF-44E3-9099-C40C66FF867C}">
                  <a14:compatExt spid="_x0000_s2622"/>
                </a:ext>
                <a:ext uri="{FF2B5EF4-FFF2-40B4-BE49-F238E27FC236}">
                  <a16:creationId xmlns:a16="http://schemas.microsoft.com/office/drawing/2014/main" id="{00000000-0008-0000-0100-00003E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451</xdr:row>
          <xdr:rowOff>198120</xdr:rowOff>
        </xdr:from>
        <xdr:to>
          <xdr:col>4</xdr:col>
          <xdr:colOff>518160</xdr:colOff>
          <xdr:row>451</xdr:row>
          <xdr:rowOff>533400</xdr:rowOff>
        </xdr:to>
        <xdr:sp macro="" textlink="">
          <xdr:nvSpPr>
            <xdr:cNvPr id="2623" name="Check Box 575" hidden="1">
              <a:extLst>
                <a:ext uri="{63B3BB69-23CF-44E3-9099-C40C66FF867C}">
                  <a14:compatExt spid="_x0000_s2623"/>
                </a:ext>
                <a:ext uri="{FF2B5EF4-FFF2-40B4-BE49-F238E27FC236}">
                  <a16:creationId xmlns:a16="http://schemas.microsoft.com/office/drawing/2014/main" id="{00000000-0008-0000-0100-00003F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452</xdr:row>
          <xdr:rowOff>198120</xdr:rowOff>
        </xdr:from>
        <xdr:to>
          <xdr:col>4</xdr:col>
          <xdr:colOff>518160</xdr:colOff>
          <xdr:row>452</xdr:row>
          <xdr:rowOff>533400</xdr:rowOff>
        </xdr:to>
        <xdr:sp macro="" textlink="">
          <xdr:nvSpPr>
            <xdr:cNvPr id="2624" name="Check Box 576" hidden="1">
              <a:extLst>
                <a:ext uri="{63B3BB69-23CF-44E3-9099-C40C66FF867C}">
                  <a14:compatExt spid="_x0000_s2624"/>
                </a:ext>
                <a:ext uri="{FF2B5EF4-FFF2-40B4-BE49-F238E27FC236}">
                  <a16:creationId xmlns:a16="http://schemas.microsoft.com/office/drawing/2014/main" id="{00000000-0008-0000-0100-000040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452</xdr:row>
          <xdr:rowOff>198120</xdr:rowOff>
        </xdr:from>
        <xdr:to>
          <xdr:col>4</xdr:col>
          <xdr:colOff>518160</xdr:colOff>
          <xdr:row>452</xdr:row>
          <xdr:rowOff>533400</xdr:rowOff>
        </xdr:to>
        <xdr:sp macro="" textlink="">
          <xdr:nvSpPr>
            <xdr:cNvPr id="2625" name="Check Box 577" hidden="1">
              <a:extLst>
                <a:ext uri="{63B3BB69-23CF-44E3-9099-C40C66FF867C}">
                  <a14:compatExt spid="_x0000_s2625"/>
                </a:ext>
                <a:ext uri="{FF2B5EF4-FFF2-40B4-BE49-F238E27FC236}">
                  <a16:creationId xmlns:a16="http://schemas.microsoft.com/office/drawing/2014/main" id="{00000000-0008-0000-0100-000041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453</xdr:row>
          <xdr:rowOff>198120</xdr:rowOff>
        </xdr:from>
        <xdr:to>
          <xdr:col>4</xdr:col>
          <xdr:colOff>518160</xdr:colOff>
          <xdr:row>453</xdr:row>
          <xdr:rowOff>533400</xdr:rowOff>
        </xdr:to>
        <xdr:sp macro="" textlink="">
          <xdr:nvSpPr>
            <xdr:cNvPr id="2626" name="Check Box 578" hidden="1">
              <a:extLst>
                <a:ext uri="{63B3BB69-23CF-44E3-9099-C40C66FF867C}">
                  <a14:compatExt spid="_x0000_s2626"/>
                </a:ext>
                <a:ext uri="{FF2B5EF4-FFF2-40B4-BE49-F238E27FC236}">
                  <a16:creationId xmlns:a16="http://schemas.microsoft.com/office/drawing/2014/main" id="{00000000-0008-0000-0100-000042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453</xdr:row>
          <xdr:rowOff>198120</xdr:rowOff>
        </xdr:from>
        <xdr:to>
          <xdr:col>4</xdr:col>
          <xdr:colOff>518160</xdr:colOff>
          <xdr:row>453</xdr:row>
          <xdr:rowOff>533400</xdr:rowOff>
        </xdr:to>
        <xdr:sp macro="" textlink="">
          <xdr:nvSpPr>
            <xdr:cNvPr id="2627" name="Check Box 579" hidden="1">
              <a:extLst>
                <a:ext uri="{63B3BB69-23CF-44E3-9099-C40C66FF867C}">
                  <a14:compatExt spid="_x0000_s2627"/>
                </a:ext>
                <a:ext uri="{FF2B5EF4-FFF2-40B4-BE49-F238E27FC236}">
                  <a16:creationId xmlns:a16="http://schemas.microsoft.com/office/drawing/2014/main" id="{00000000-0008-0000-0100-000043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454</xdr:row>
          <xdr:rowOff>198120</xdr:rowOff>
        </xdr:from>
        <xdr:to>
          <xdr:col>4</xdr:col>
          <xdr:colOff>518160</xdr:colOff>
          <xdr:row>454</xdr:row>
          <xdr:rowOff>533400</xdr:rowOff>
        </xdr:to>
        <xdr:sp macro="" textlink="">
          <xdr:nvSpPr>
            <xdr:cNvPr id="2628" name="Check Box 580" hidden="1">
              <a:extLst>
                <a:ext uri="{63B3BB69-23CF-44E3-9099-C40C66FF867C}">
                  <a14:compatExt spid="_x0000_s2628"/>
                </a:ext>
                <a:ext uri="{FF2B5EF4-FFF2-40B4-BE49-F238E27FC236}">
                  <a16:creationId xmlns:a16="http://schemas.microsoft.com/office/drawing/2014/main" id="{00000000-0008-0000-0100-000044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454</xdr:row>
          <xdr:rowOff>198120</xdr:rowOff>
        </xdr:from>
        <xdr:to>
          <xdr:col>4</xdr:col>
          <xdr:colOff>518160</xdr:colOff>
          <xdr:row>454</xdr:row>
          <xdr:rowOff>533400</xdr:rowOff>
        </xdr:to>
        <xdr:sp macro="" textlink="">
          <xdr:nvSpPr>
            <xdr:cNvPr id="2629" name="Check Box 581" hidden="1">
              <a:extLst>
                <a:ext uri="{63B3BB69-23CF-44E3-9099-C40C66FF867C}">
                  <a14:compatExt spid="_x0000_s2629"/>
                </a:ext>
                <a:ext uri="{FF2B5EF4-FFF2-40B4-BE49-F238E27FC236}">
                  <a16:creationId xmlns:a16="http://schemas.microsoft.com/office/drawing/2014/main" id="{00000000-0008-0000-0100-000045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455</xdr:row>
          <xdr:rowOff>198120</xdr:rowOff>
        </xdr:from>
        <xdr:to>
          <xdr:col>4</xdr:col>
          <xdr:colOff>518160</xdr:colOff>
          <xdr:row>455</xdr:row>
          <xdr:rowOff>533400</xdr:rowOff>
        </xdr:to>
        <xdr:sp macro="" textlink="">
          <xdr:nvSpPr>
            <xdr:cNvPr id="2630" name="Check Box 582" hidden="1">
              <a:extLst>
                <a:ext uri="{63B3BB69-23CF-44E3-9099-C40C66FF867C}">
                  <a14:compatExt spid="_x0000_s2630"/>
                </a:ext>
                <a:ext uri="{FF2B5EF4-FFF2-40B4-BE49-F238E27FC236}">
                  <a16:creationId xmlns:a16="http://schemas.microsoft.com/office/drawing/2014/main" id="{00000000-0008-0000-0100-000046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455</xdr:row>
          <xdr:rowOff>198120</xdr:rowOff>
        </xdr:from>
        <xdr:to>
          <xdr:col>4</xdr:col>
          <xdr:colOff>518160</xdr:colOff>
          <xdr:row>455</xdr:row>
          <xdr:rowOff>533400</xdr:rowOff>
        </xdr:to>
        <xdr:sp macro="" textlink="">
          <xdr:nvSpPr>
            <xdr:cNvPr id="2631" name="Check Box 583" hidden="1">
              <a:extLst>
                <a:ext uri="{63B3BB69-23CF-44E3-9099-C40C66FF867C}">
                  <a14:compatExt spid="_x0000_s2631"/>
                </a:ext>
                <a:ext uri="{FF2B5EF4-FFF2-40B4-BE49-F238E27FC236}">
                  <a16:creationId xmlns:a16="http://schemas.microsoft.com/office/drawing/2014/main" id="{00000000-0008-0000-0100-000047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456</xdr:row>
          <xdr:rowOff>198120</xdr:rowOff>
        </xdr:from>
        <xdr:to>
          <xdr:col>4</xdr:col>
          <xdr:colOff>518160</xdr:colOff>
          <xdr:row>456</xdr:row>
          <xdr:rowOff>533400</xdr:rowOff>
        </xdr:to>
        <xdr:sp macro="" textlink="">
          <xdr:nvSpPr>
            <xdr:cNvPr id="2632" name="Check Box 584" hidden="1">
              <a:extLst>
                <a:ext uri="{63B3BB69-23CF-44E3-9099-C40C66FF867C}">
                  <a14:compatExt spid="_x0000_s2632"/>
                </a:ext>
                <a:ext uri="{FF2B5EF4-FFF2-40B4-BE49-F238E27FC236}">
                  <a16:creationId xmlns:a16="http://schemas.microsoft.com/office/drawing/2014/main" id="{00000000-0008-0000-0100-000048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456</xdr:row>
          <xdr:rowOff>198120</xdr:rowOff>
        </xdr:from>
        <xdr:to>
          <xdr:col>4</xdr:col>
          <xdr:colOff>518160</xdr:colOff>
          <xdr:row>456</xdr:row>
          <xdr:rowOff>533400</xdr:rowOff>
        </xdr:to>
        <xdr:sp macro="" textlink="">
          <xdr:nvSpPr>
            <xdr:cNvPr id="2633" name="Check Box 585" hidden="1">
              <a:extLst>
                <a:ext uri="{63B3BB69-23CF-44E3-9099-C40C66FF867C}">
                  <a14:compatExt spid="_x0000_s2633"/>
                </a:ext>
                <a:ext uri="{FF2B5EF4-FFF2-40B4-BE49-F238E27FC236}">
                  <a16:creationId xmlns:a16="http://schemas.microsoft.com/office/drawing/2014/main" id="{00000000-0008-0000-0100-000049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459</xdr:row>
          <xdr:rowOff>198120</xdr:rowOff>
        </xdr:from>
        <xdr:to>
          <xdr:col>4</xdr:col>
          <xdr:colOff>518160</xdr:colOff>
          <xdr:row>459</xdr:row>
          <xdr:rowOff>533400</xdr:rowOff>
        </xdr:to>
        <xdr:sp macro="" textlink="">
          <xdr:nvSpPr>
            <xdr:cNvPr id="2634" name="Check Box 586" hidden="1">
              <a:extLst>
                <a:ext uri="{63B3BB69-23CF-44E3-9099-C40C66FF867C}">
                  <a14:compatExt spid="_x0000_s2634"/>
                </a:ext>
                <a:ext uri="{FF2B5EF4-FFF2-40B4-BE49-F238E27FC236}">
                  <a16:creationId xmlns:a16="http://schemas.microsoft.com/office/drawing/2014/main" id="{00000000-0008-0000-0100-00004A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459</xdr:row>
          <xdr:rowOff>198120</xdr:rowOff>
        </xdr:from>
        <xdr:to>
          <xdr:col>4</xdr:col>
          <xdr:colOff>518160</xdr:colOff>
          <xdr:row>459</xdr:row>
          <xdr:rowOff>533400</xdr:rowOff>
        </xdr:to>
        <xdr:sp macro="" textlink="">
          <xdr:nvSpPr>
            <xdr:cNvPr id="2635" name="Check Box 587" hidden="1">
              <a:extLst>
                <a:ext uri="{63B3BB69-23CF-44E3-9099-C40C66FF867C}">
                  <a14:compatExt spid="_x0000_s2635"/>
                </a:ext>
                <a:ext uri="{FF2B5EF4-FFF2-40B4-BE49-F238E27FC236}">
                  <a16:creationId xmlns:a16="http://schemas.microsoft.com/office/drawing/2014/main" id="{00000000-0008-0000-0100-00004B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460</xdr:row>
          <xdr:rowOff>198120</xdr:rowOff>
        </xdr:from>
        <xdr:to>
          <xdr:col>4</xdr:col>
          <xdr:colOff>518160</xdr:colOff>
          <xdr:row>460</xdr:row>
          <xdr:rowOff>533400</xdr:rowOff>
        </xdr:to>
        <xdr:sp macro="" textlink="">
          <xdr:nvSpPr>
            <xdr:cNvPr id="2636" name="Check Box 588" hidden="1">
              <a:extLst>
                <a:ext uri="{63B3BB69-23CF-44E3-9099-C40C66FF867C}">
                  <a14:compatExt spid="_x0000_s2636"/>
                </a:ext>
                <a:ext uri="{FF2B5EF4-FFF2-40B4-BE49-F238E27FC236}">
                  <a16:creationId xmlns:a16="http://schemas.microsoft.com/office/drawing/2014/main" id="{00000000-0008-0000-0100-00004C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460</xdr:row>
          <xdr:rowOff>198120</xdr:rowOff>
        </xdr:from>
        <xdr:to>
          <xdr:col>4</xdr:col>
          <xdr:colOff>518160</xdr:colOff>
          <xdr:row>460</xdr:row>
          <xdr:rowOff>533400</xdr:rowOff>
        </xdr:to>
        <xdr:sp macro="" textlink="">
          <xdr:nvSpPr>
            <xdr:cNvPr id="2637" name="Check Box 589" hidden="1">
              <a:extLst>
                <a:ext uri="{63B3BB69-23CF-44E3-9099-C40C66FF867C}">
                  <a14:compatExt spid="_x0000_s2637"/>
                </a:ext>
                <a:ext uri="{FF2B5EF4-FFF2-40B4-BE49-F238E27FC236}">
                  <a16:creationId xmlns:a16="http://schemas.microsoft.com/office/drawing/2014/main" id="{00000000-0008-0000-0100-00004D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461</xdr:row>
          <xdr:rowOff>198120</xdr:rowOff>
        </xdr:from>
        <xdr:to>
          <xdr:col>4</xdr:col>
          <xdr:colOff>518160</xdr:colOff>
          <xdr:row>461</xdr:row>
          <xdr:rowOff>533400</xdr:rowOff>
        </xdr:to>
        <xdr:sp macro="" textlink="">
          <xdr:nvSpPr>
            <xdr:cNvPr id="2638" name="Check Box 590" hidden="1">
              <a:extLst>
                <a:ext uri="{63B3BB69-23CF-44E3-9099-C40C66FF867C}">
                  <a14:compatExt spid="_x0000_s2638"/>
                </a:ext>
                <a:ext uri="{FF2B5EF4-FFF2-40B4-BE49-F238E27FC236}">
                  <a16:creationId xmlns:a16="http://schemas.microsoft.com/office/drawing/2014/main" id="{00000000-0008-0000-0100-00004E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461</xdr:row>
          <xdr:rowOff>198120</xdr:rowOff>
        </xdr:from>
        <xdr:to>
          <xdr:col>4</xdr:col>
          <xdr:colOff>518160</xdr:colOff>
          <xdr:row>461</xdr:row>
          <xdr:rowOff>533400</xdr:rowOff>
        </xdr:to>
        <xdr:sp macro="" textlink="">
          <xdr:nvSpPr>
            <xdr:cNvPr id="2639" name="Check Box 591" hidden="1">
              <a:extLst>
                <a:ext uri="{63B3BB69-23CF-44E3-9099-C40C66FF867C}">
                  <a14:compatExt spid="_x0000_s2639"/>
                </a:ext>
                <a:ext uri="{FF2B5EF4-FFF2-40B4-BE49-F238E27FC236}">
                  <a16:creationId xmlns:a16="http://schemas.microsoft.com/office/drawing/2014/main" id="{00000000-0008-0000-0100-00004F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462</xdr:row>
          <xdr:rowOff>198120</xdr:rowOff>
        </xdr:from>
        <xdr:to>
          <xdr:col>4</xdr:col>
          <xdr:colOff>518160</xdr:colOff>
          <xdr:row>462</xdr:row>
          <xdr:rowOff>533400</xdr:rowOff>
        </xdr:to>
        <xdr:sp macro="" textlink="">
          <xdr:nvSpPr>
            <xdr:cNvPr id="2640" name="Check Box 592" hidden="1">
              <a:extLst>
                <a:ext uri="{63B3BB69-23CF-44E3-9099-C40C66FF867C}">
                  <a14:compatExt spid="_x0000_s2640"/>
                </a:ext>
                <a:ext uri="{FF2B5EF4-FFF2-40B4-BE49-F238E27FC236}">
                  <a16:creationId xmlns:a16="http://schemas.microsoft.com/office/drawing/2014/main" id="{00000000-0008-0000-0100-000050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462</xdr:row>
          <xdr:rowOff>198120</xdr:rowOff>
        </xdr:from>
        <xdr:to>
          <xdr:col>4</xdr:col>
          <xdr:colOff>518160</xdr:colOff>
          <xdr:row>462</xdr:row>
          <xdr:rowOff>533400</xdr:rowOff>
        </xdr:to>
        <xdr:sp macro="" textlink="">
          <xdr:nvSpPr>
            <xdr:cNvPr id="2641" name="Check Box 593" hidden="1">
              <a:extLst>
                <a:ext uri="{63B3BB69-23CF-44E3-9099-C40C66FF867C}">
                  <a14:compatExt spid="_x0000_s2641"/>
                </a:ext>
                <a:ext uri="{FF2B5EF4-FFF2-40B4-BE49-F238E27FC236}">
                  <a16:creationId xmlns:a16="http://schemas.microsoft.com/office/drawing/2014/main" id="{00000000-0008-0000-0100-000051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463</xdr:row>
          <xdr:rowOff>198120</xdr:rowOff>
        </xdr:from>
        <xdr:to>
          <xdr:col>4</xdr:col>
          <xdr:colOff>518160</xdr:colOff>
          <xdr:row>463</xdr:row>
          <xdr:rowOff>533400</xdr:rowOff>
        </xdr:to>
        <xdr:sp macro="" textlink="">
          <xdr:nvSpPr>
            <xdr:cNvPr id="2642" name="Check Box 594" hidden="1">
              <a:extLst>
                <a:ext uri="{63B3BB69-23CF-44E3-9099-C40C66FF867C}">
                  <a14:compatExt spid="_x0000_s2642"/>
                </a:ext>
                <a:ext uri="{FF2B5EF4-FFF2-40B4-BE49-F238E27FC236}">
                  <a16:creationId xmlns:a16="http://schemas.microsoft.com/office/drawing/2014/main" id="{00000000-0008-0000-0100-000052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463</xdr:row>
          <xdr:rowOff>198120</xdr:rowOff>
        </xdr:from>
        <xdr:to>
          <xdr:col>4</xdr:col>
          <xdr:colOff>518160</xdr:colOff>
          <xdr:row>463</xdr:row>
          <xdr:rowOff>533400</xdr:rowOff>
        </xdr:to>
        <xdr:sp macro="" textlink="">
          <xdr:nvSpPr>
            <xdr:cNvPr id="2643" name="Check Box 595" hidden="1">
              <a:extLst>
                <a:ext uri="{63B3BB69-23CF-44E3-9099-C40C66FF867C}">
                  <a14:compatExt spid="_x0000_s2643"/>
                </a:ext>
                <a:ext uri="{FF2B5EF4-FFF2-40B4-BE49-F238E27FC236}">
                  <a16:creationId xmlns:a16="http://schemas.microsoft.com/office/drawing/2014/main" id="{00000000-0008-0000-0100-000053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464</xdr:row>
          <xdr:rowOff>198120</xdr:rowOff>
        </xdr:from>
        <xdr:to>
          <xdr:col>4</xdr:col>
          <xdr:colOff>518160</xdr:colOff>
          <xdr:row>464</xdr:row>
          <xdr:rowOff>533400</xdr:rowOff>
        </xdr:to>
        <xdr:sp macro="" textlink="">
          <xdr:nvSpPr>
            <xdr:cNvPr id="2644" name="Check Box 596" hidden="1">
              <a:extLst>
                <a:ext uri="{63B3BB69-23CF-44E3-9099-C40C66FF867C}">
                  <a14:compatExt spid="_x0000_s2644"/>
                </a:ext>
                <a:ext uri="{FF2B5EF4-FFF2-40B4-BE49-F238E27FC236}">
                  <a16:creationId xmlns:a16="http://schemas.microsoft.com/office/drawing/2014/main" id="{00000000-0008-0000-0100-000054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464</xdr:row>
          <xdr:rowOff>198120</xdr:rowOff>
        </xdr:from>
        <xdr:to>
          <xdr:col>4</xdr:col>
          <xdr:colOff>518160</xdr:colOff>
          <xdr:row>464</xdr:row>
          <xdr:rowOff>533400</xdr:rowOff>
        </xdr:to>
        <xdr:sp macro="" textlink="">
          <xdr:nvSpPr>
            <xdr:cNvPr id="2645" name="Check Box 597" hidden="1">
              <a:extLst>
                <a:ext uri="{63B3BB69-23CF-44E3-9099-C40C66FF867C}">
                  <a14:compatExt spid="_x0000_s2645"/>
                </a:ext>
                <a:ext uri="{FF2B5EF4-FFF2-40B4-BE49-F238E27FC236}">
                  <a16:creationId xmlns:a16="http://schemas.microsoft.com/office/drawing/2014/main" id="{00000000-0008-0000-0100-000055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465</xdr:row>
          <xdr:rowOff>198120</xdr:rowOff>
        </xdr:from>
        <xdr:to>
          <xdr:col>4</xdr:col>
          <xdr:colOff>518160</xdr:colOff>
          <xdr:row>465</xdr:row>
          <xdr:rowOff>533400</xdr:rowOff>
        </xdr:to>
        <xdr:sp macro="" textlink="">
          <xdr:nvSpPr>
            <xdr:cNvPr id="2646" name="Check Box 598" hidden="1">
              <a:extLst>
                <a:ext uri="{63B3BB69-23CF-44E3-9099-C40C66FF867C}">
                  <a14:compatExt spid="_x0000_s2646"/>
                </a:ext>
                <a:ext uri="{FF2B5EF4-FFF2-40B4-BE49-F238E27FC236}">
                  <a16:creationId xmlns:a16="http://schemas.microsoft.com/office/drawing/2014/main" id="{00000000-0008-0000-0100-000056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465</xdr:row>
          <xdr:rowOff>198120</xdr:rowOff>
        </xdr:from>
        <xdr:to>
          <xdr:col>4</xdr:col>
          <xdr:colOff>518160</xdr:colOff>
          <xdr:row>465</xdr:row>
          <xdr:rowOff>533400</xdr:rowOff>
        </xdr:to>
        <xdr:sp macro="" textlink="">
          <xdr:nvSpPr>
            <xdr:cNvPr id="2647" name="Check Box 599" hidden="1">
              <a:extLst>
                <a:ext uri="{63B3BB69-23CF-44E3-9099-C40C66FF867C}">
                  <a14:compatExt spid="_x0000_s2647"/>
                </a:ext>
                <a:ext uri="{FF2B5EF4-FFF2-40B4-BE49-F238E27FC236}">
                  <a16:creationId xmlns:a16="http://schemas.microsoft.com/office/drawing/2014/main" id="{00000000-0008-0000-0100-000057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466</xdr:row>
          <xdr:rowOff>198120</xdr:rowOff>
        </xdr:from>
        <xdr:to>
          <xdr:col>4</xdr:col>
          <xdr:colOff>518160</xdr:colOff>
          <xdr:row>466</xdr:row>
          <xdr:rowOff>533400</xdr:rowOff>
        </xdr:to>
        <xdr:sp macro="" textlink="">
          <xdr:nvSpPr>
            <xdr:cNvPr id="2648" name="Check Box 600" hidden="1">
              <a:extLst>
                <a:ext uri="{63B3BB69-23CF-44E3-9099-C40C66FF867C}">
                  <a14:compatExt spid="_x0000_s2648"/>
                </a:ext>
                <a:ext uri="{FF2B5EF4-FFF2-40B4-BE49-F238E27FC236}">
                  <a16:creationId xmlns:a16="http://schemas.microsoft.com/office/drawing/2014/main" id="{00000000-0008-0000-0100-000058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466</xdr:row>
          <xdr:rowOff>198120</xdr:rowOff>
        </xdr:from>
        <xdr:to>
          <xdr:col>4</xdr:col>
          <xdr:colOff>518160</xdr:colOff>
          <xdr:row>466</xdr:row>
          <xdr:rowOff>533400</xdr:rowOff>
        </xdr:to>
        <xdr:sp macro="" textlink="">
          <xdr:nvSpPr>
            <xdr:cNvPr id="2649" name="Check Box 601" hidden="1">
              <a:extLst>
                <a:ext uri="{63B3BB69-23CF-44E3-9099-C40C66FF867C}">
                  <a14:compatExt spid="_x0000_s2649"/>
                </a:ext>
                <a:ext uri="{FF2B5EF4-FFF2-40B4-BE49-F238E27FC236}">
                  <a16:creationId xmlns:a16="http://schemas.microsoft.com/office/drawing/2014/main" id="{00000000-0008-0000-0100-000059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468</xdr:row>
          <xdr:rowOff>198120</xdr:rowOff>
        </xdr:from>
        <xdr:to>
          <xdr:col>4</xdr:col>
          <xdr:colOff>518160</xdr:colOff>
          <xdr:row>468</xdr:row>
          <xdr:rowOff>533400</xdr:rowOff>
        </xdr:to>
        <xdr:sp macro="" textlink="">
          <xdr:nvSpPr>
            <xdr:cNvPr id="2650" name="Check Box 602" hidden="1">
              <a:extLst>
                <a:ext uri="{63B3BB69-23CF-44E3-9099-C40C66FF867C}">
                  <a14:compatExt spid="_x0000_s2650"/>
                </a:ext>
                <a:ext uri="{FF2B5EF4-FFF2-40B4-BE49-F238E27FC236}">
                  <a16:creationId xmlns:a16="http://schemas.microsoft.com/office/drawing/2014/main" id="{00000000-0008-0000-0100-00005A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468</xdr:row>
          <xdr:rowOff>198120</xdr:rowOff>
        </xdr:from>
        <xdr:to>
          <xdr:col>4</xdr:col>
          <xdr:colOff>518160</xdr:colOff>
          <xdr:row>468</xdr:row>
          <xdr:rowOff>533400</xdr:rowOff>
        </xdr:to>
        <xdr:sp macro="" textlink="">
          <xdr:nvSpPr>
            <xdr:cNvPr id="2651" name="Check Box 603" hidden="1">
              <a:extLst>
                <a:ext uri="{63B3BB69-23CF-44E3-9099-C40C66FF867C}">
                  <a14:compatExt spid="_x0000_s2651"/>
                </a:ext>
                <a:ext uri="{FF2B5EF4-FFF2-40B4-BE49-F238E27FC236}">
                  <a16:creationId xmlns:a16="http://schemas.microsoft.com/office/drawing/2014/main" id="{00000000-0008-0000-0100-00005B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469</xdr:row>
          <xdr:rowOff>198120</xdr:rowOff>
        </xdr:from>
        <xdr:to>
          <xdr:col>4</xdr:col>
          <xdr:colOff>518160</xdr:colOff>
          <xdr:row>469</xdr:row>
          <xdr:rowOff>533400</xdr:rowOff>
        </xdr:to>
        <xdr:sp macro="" textlink="">
          <xdr:nvSpPr>
            <xdr:cNvPr id="2652" name="Check Box 604" hidden="1">
              <a:extLst>
                <a:ext uri="{63B3BB69-23CF-44E3-9099-C40C66FF867C}">
                  <a14:compatExt spid="_x0000_s2652"/>
                </a:ext>
                <a:ext uri="{FF2B5EF4-FFF2-40B4-BE49-F238E27FC236}">
                  <a16:creationId xmlns:a16="http://schemas.microsoft.com/office/drawing/2014/main" id="{00000000-0008-0000-0100-00005C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469</xdr:row>
          <xdr:rowOff>198120</xdr:rowOff>
        </xdr:from>
        <xdr:to>
          <xdr:col>4</xdr:col>
          <xdr:colOff>518160</xdr:colOff>
          <xdr:row>469</xdr:row>
          <xdr:rowOff>533400</xdr:rowOff>
        </xdr:to>
        <xdr:sp macro="" textlink="">
          <xdr:nvSpPr>
            <xdr:cNvPr id="2653" name="Check Box 605" hidden="1">
              <a:extLst>
                <a:ext uri="{63B3BB69-23CF-44E3-9099-C40C66FF867C}">
                  <a14:compatExt spid="_x0000_s2653"/>
                </a:ext>
                <a:ext uri="{FF2B5EF4-FFF2-40B4-BE49-F238E27FC236}">
                  <a16:creationId xmlns:a16="http://schemas.microsoft.com/office/drawing/2014/main" id="{00000000-0008-0000-0100-00005D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470</xdr:row>
          <xdr:rowOff>198120</xdr:rowOff>
        </xdr:from>
        <xdr:to>
          <xdr:col>4</xdr:col>
          <xdr:colOff>518160</xdr:colOff>
          <xdr:row>470</xdr:row>
          <xdr:rowOff>533400</xdr:rowOff>
        </xdr:to>
        <xdr:sp macro="" textlink="">
          <xdr:nvSpPr>
            <xdr:cNvPr id="2654" name="Check Box 606" hidden="1">
              <a:extLst>
                <a:ext uri="{63B3BB69-23CF-44E3-9099-C40C66FF867C}">
                  <a14:compatExt spid="_x0000_s2654"/>
                </a:ext>
                <a:ext uri="{FF2B5EF4-FFF2-40B4-BE49-F238E27FC236}">
                  <a16:creationId xmlns:a16="http://schemas.microsoft.com/office/drawing/2014/main" id="{00000000-0008-0000-0100-00005E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470</xdr:row>
          <xdr:rowOff>198120</xdr:rowOff>
        </xdr:from>
        <xdr:to>
          <xdr:col>4</xdr:col>
          <xdr:colOff>518160</xdr:colOff>
          <xdr:row>470</xdr:row>
          <xdr:rowOff>533400</xdr:rowOff>
        </xdr:to>
        <xdr:sp macro="" textlink="">
          <xdr:nvSpPr>
            <xdr:cNvPr id="2655" name="Check Box 607" hidden="1">
              <a:extLst>
                <a:ext uri="{63B3BB69-23CF-44E3-9099-C40C66FF867C}">
                  <a14:compatExt spid="_x0000_s2655"/>
                </a:ext>
                <a:ext uri="{FF2B5EF4-FFF2-40B4-BE49-F238E27FC236}">
                  <a16:creationId xmlns:a16="http://schemas.microsoft.com/office/drawing/2014/main" id="{00000000-0008-0000-0100-00005F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472</xdr:row>
          <xdr:rowOff>198120</xdr:rowOff>
        </xdr:from>
        <xdr:to>
          <xdr:col>4</xdr:col>
          <xdr:colOff>518160</xdr:colOff>
          <xdr:row>472</xdr:row>
          <xdr:rowOff>533400</xdr:rowOff>
        </xdr:to>
        <xdr:sp macro="" textlink="">
          <xdr:nvSpPr>
            <xdr:cNvPr id="2656" name="Check Box 608" hidden="1">
              <a:extLst>
                <a:ext uri="{63B3BB69-23CF-44E3-9099-C40C66FF867C}">
                  <a14:compatExt spid="_x0000_s2656"/>
                </a:ext>
                <a:ext uri="{FF2B5EF4-FFF2-40B4-BE49-F238E27FC236}">
                  <a16:creationId xmlns:a16="http://schemas.microsoft.com/office/drawing/2014/main" id="{00000000-0008-0000-0100-000060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472</xdr:row>
          <xdr:rowOff>198120</xdr:rowOff>
        </xdr:from>
        <xdr:to>
          <xdr:col>4</xdr:col>
          <xdr:colOff>518160</xdr:colOff>
          <xdr:row>472</xdr:row>
          <xdr:rowOff>533400</xdr:rowOff>
        </xdr:to>
        <xdr:sp macro="" textlink="">
          <xdr:nvSpPr>
            <xdr:cNvPr id="2657" name="Check Box 609" hidden="1">
              <a:extLst>
                <a:ext uri="{63B3BB69-23CF-44E3-9099-C40C66FF867C}">
                  <a14:compatExt spid="_x0000_s2657"/>
                </a:ext>
                <a:ext uri="{FF2B5EF4-FFF2-40B4-BE49-F238E27FC236}">
                  <a16:creationId xmlns:a16="http://schemas.microsoft.com/office/drawing/2014/main" id="{00000000-0008-0000-0100-000061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473</xdr:row>
          <xdr:rowOff>198120</xdr:rowOff>
        </xdr:from>
        <xdr:to>
          <xdr:col>4</xdr:col>
          <xdr:colOff>518160</xdr:colOff>
          <xdr:row>473</xdr:row>
          <xdr:rowOff>533400</xdr:rowOff>
        </xdr:to>
        <xdr:sp macro="" textlink="">
          <xdr:nvSpPr>
            <xdr:cNvPr id="2658" name="Check Box 610" hidden="1">
              <a:extLst>
                <a:ext uri="{63B3BB69-23CF-44E3-9099-C40C66FF867C}">
                  <a14:compatExt spid="_x0000_s2658"/>
                </a:ext>
                <a:ext uri="{FF2B5EF4-FFF2-40B4-BE49-F238E27FC236}">
                  <a16:creationId xmlns:a16="http://schemas.microsoft.com/office/drawing/2014/main" id="{00000000-0008-0000-0100-000062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473</xdr:row>
          <xdr:rowOff>198120</xdr:rowOff>
        </xdr:from>
        <xdr:to>
          <xdr:col>4</xdr:col>
          <xdr:colOff>518160</xdr:colOff>
          <xdr:row>473</xdr:row>
          <xdr:rowOff>533400</xdr:rowOff>
        </xdr:to>
        <xdr:sp macro="" textlink="">
          <xdr:nvSpPr>
            <xdr:cNvPr id="2659" name="Check Box 611" hidden="1">
              <a:extLst>
                <a:ext uri="{63B3BB69-23CF-44E3-9099-C40C66FF867C}">
                  <a14:compatExt spid="_x0000_s2659"/>
                </a:ext>
                <a:ext uri="{FF2B5EF4-FFF2-40B4-BE49-F238E27FC236}">
                  <a16:creationId xmlns:a16="http://schemas.microsoft.com/office/drawing/2014/main" id="{00000000-0008-0000-0100-000063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474</xdr:row>
          <xdr:rowOff>198120</xdr:rowOff>
        </xdr:from>
        <xdr:to>
          <xdr:col>4</xdr:col>
          <xdr:colOff>518160</xdr:colOff>
          <xdr:row>474</xdr:row>
          <xdr:rowOff>533400</xdr:rowOff>
        </xdr:to>
        <xdr:sp macro="" textlink="">
          <xdr:nvSpPr>
            <xdr:cNvPr id="2660" name="Check Box 612" hidden="1">
              <a:extLst>
                <a:ext uri="{63B3BB69-23CF-44E3-9099-C40C66FF867C}">
                  <a14:compatExt spid="_x0000_s2660"/>
                </a:ext>
                <a:ext uri="{FF2B5EF4-FFF2-40B4-BE49-F238E27FC236}">
                  <a16:creationId xmlns:a16="http://schemas.microsoft.com/office/drawing/2014/main" id="{00000000-0008-0000-0100-000064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474</xdr:row>
          <xdr:rowOff>198120</xdr:rowOff>
        </xdr:from>
        <xdr:to>
          <xdr:col>4</xdr:col>
          <xdr:colOff>518160</xdr:colOff>
          <xdr:row>474</xdr:row>
          <xdr:rowOff>533400</xdr:rowOff>
        </xdr:to>
        <xdr:sp macro="" textlink="">
          <xdr:nvSpPr>
            <xdr:cNvPr id="2661" name="Check Box 613" hidden="1">
              <a:extLst>
                <a:ext uri="{63B3BB69-23CF-44E3-9099-C40C66FF867C}">
                  <a14:compatExt spid="_x0000_s2661"/>
                </a:ext>
                <a:ext uri="{FF2B5EF4-FFF2-40B4-BE49-F238E27FC236}">
                  <a16:creationId xmlns:a16="http://schemas.microsoft.com/office/drawing/2014/main" id="{00000000-0008-0000-0100-000065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476</xdr:row>
          <xdr:rowOff>198120</xdr:rowOff>
        </xdr:from>
        <xdr:to>
          <xdr:col>4</xdr:col>
          <xdr:colOff>518160</xdr:colOff>
          <xdr:row>476</xdr:row>
          <xdr:rowOff>533400</xdr:rowOff>
        </xdr:to>
        <xdr:sp macro="" textlink="">
          <xdr:nvSpPr>
            <xdr:cNvPr id="2662" name="Check Box 614" hidden="1">
              <a:extLst>
                <a:ext uri="{63B3BB69-23CF-44E3-9099-C40C66FF867C}">
                  <a14:compatExt spid="_x0000_s2662"/>
                </a:ext>
                <a:ext uri="{FF2B5EF4-FFF2-40B4-BE49-F238E27FC236}">
                  <a16:creationId xmlns:a16="http://schemas.microsoft.com/office/drawing/2014/main" id="{00000000-0008-0000-0100-000066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476</xdr:row>
          <xdr:rowOff>198120</xdr:rowOff>
        </xdr:from>
        <xdr:to>
          <xdr:col>4</xdr:col>
          <xdr:colOff>518160</xdr:colOff>
          <xdr:row>476</xdr:row>
          <xdr:rowOff>533400</xdr:rowOff>
        </xdr:to>
        <xdr:sp macro="" textlink="">
          <xdr:nvSpPr>
            <xdr:cNvPr id="2663" name="Check Box 615" hidden="1">
              <a:extLst>
                <a:ext uri="{63B3BB69-23CF-44E3-9099-C40C66FF867C}">
                  <a14:compatExt spid="_x0000_s2663"/>
                </a:ext>
                <a:ext uri="{FF2B5EF4-FFF2-40B4-BE49-F238E27FC236}">
                  <a16:creationId xmlns:a16="http://schemas.microsoft.com/office/drawing/2014/main" id="{00000000-0008-0000-0100-000067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477</xdr:row>
          <xdr:rowOff>198120</xdr:rowOff>
        </xdr:from>
        <xdr:to>
          <xdr:col>4</xdr:col>
          <xdr:colOff>518160</xdr:colOff>
          <xdr:row>477</xdr:row>
          <xdr:rowOff>533400</xdr:rowOff>
        </xdr:to>
        <xdr:sp macro="" textlink="">
          <xdr:nvSpPr>
            <xdr:cNvPr id="2664" name="Check Box 616" hidden="1">
              <a:extLst>
                <a:ext uri="{63B3BB69-23CF-44E3-9099-C40C66FF867C}">
                  <a14:compatExt spid="_x0000_s2664"/>
                </a:ext>
                <a:ext uri="{FF2B5EF4-FFF2-40B4-BE49-F238E27FC236}">
                  <a16:creationId xmlns:a16="http://schemas.microsoft.com/office/drawing/2014/main" id="{00000000-0008-0000-0100-000068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477</xdr:row>
          <xdr:rowOff>198120</xdr:rowOff>
        </xdr:from>
        <xdr:to>
          <xdr:col>4</xdr:col>
          <xdr:colOff>518160</xdr:colOff>
          <xdr:row>477</xdr:row>
          <xdr:rowOff>533400</xdr:rowOff>
        </xdr:to>
        <xdr:sp macro="" textlink="">
          <xdr:nvSpPr>
            <xdr:cNvPr id="2665" name="Check Box 617" hidden="1">
              <a:extLst>
                <a:ext uri="{63B3BB69-23CF-44E3-9099-C40C66FF867C}">
                  <a14:compatExt spid="_x0000_s2665"/>
                </a:ext>
                <a:ext uri="{FF2B5EF4-FFF2-40B4-BE49-F238E27FC236}">
                  <a16:creationId xmlns:a16="http://schemas.microsoft.com/office/drawing/2014/main" id="{00000000-0008-0000-0100-000069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478</xdr:row>
          <xdr:rowOff>198120</xdr:rowOff>
        </xdr:from>
        <xdr:to>
          <xdr:col>4</xdr:col>
          <xdr:colOff>518160</xdr:colOff>
          <xdr:row>478</xdr:row>
          <xdr:rowOff>533400</xdr:rowOff>
        </xdr:to>
        <xdr:sp macro="" textlink="">
          <xdr:nvSpPr>
            <xdr:cNvPr id="2666" name="Check Box 618" hidden="1">
              <a:extLst>
                <a:ext uri="{63B3BB69-23CF-44E3-9099-C40C66FF867C}">
                  <a14:compatExt spid="_x0000_s2666"/>
                </a:ext>
                <a:ext uri="{FF2B5EF4-FFF2-40B4-BE49-F238E27FC236}">
                  <a16:creationId xmlns:a16="http://schemas.microsoft.com/office/drawing/2014/main" id="{00000000-0008-0000-0100-00006A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478</xdr:row>
          <xdr:rowOff>198120</xdr:rowOff>
        </xdr:from>
        <xdr:to>
          <xdr:col>4</xdr:col>
          <xdr:colOff>518160</xdr:colOff>
          <xdr:row>478</xdr:row>
          <xdr:rowOff>533400</xdr:rowOff>
        </xdr:to>
        <xdr:sp macro="" textlink="">
          <xdr:nvSpPr>
            <xdr:cNvPr id="2667" name="Check Box 619" hidden="1">
              <a:extLst>
                <a:ext uri="{63B3BB69-23CF-44E3-9099-C40C66FF867C}">
                  <a14:compatExt spid="_x0000_s2667"/>
                </a:ext>
                <a:ext uri="{FF2B5EF4-FFF2-40B4-BE49-F238E27FC236}">
                  <a16:creationId xmlns:a16="http://schemas.microsoft.com/office/drawing/2014/main" id="{00000000-0008-0000-0100-00006B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479</xdr:row>
          <xdr:rowOff>198120</xdr:rowOff>
        </xdr:from>
        <xdr:to>
          <xdr:col>4</xdr:col>
          <xdr:colOff>518160</xdr:colOff>
          <xdr:row>479</xdr:row>
          <xdr:rowOff>533400</xdr:rowOff>
        </xdr:to>
        <xdr:sp macro="" textlink="">
          <xdr:nvSpPr>
            <xdr:cNvPr id="2668" name="Check Box 620" hidden="1">
              <a:extLst>
                <a:ext uri="{63B3BB69-23CF-44E3-9099-C40C66FF867C}">
                  <a14:compatExt spid="_x0000_s2668"/>
                </a:ext>
                <a:ext uri="{FF2B5EF4-FFF2-40B4-BE49-F238E27FC236}">
                  <a16:creationId xmlns:a16="http://schemas.microsoft.com/office/drawing/2014/main" id="{00000000-0008-0000-0100-00006C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479</xdr:row>
          <xdr:rowOff>198120</xdr:rowOff>
        </xdr:from>
        <xdr:to>
          <xdr:col>4</xdr:col>
          <xdr:colOff>518160</xdr:colOff>
          <xdr:row>479</xdr:row>
          <xdr:rowOff>533400</xdr:rowOff>
        </xdr:to>
        <xdr:sp macro="" textlink="">
          <xdr:nvSpPr>
            <xdr:cNvPr id="2669" name="Check Box 621" hidden="1">
              <a:extLst>
                <a:ext uri="{63B3BB69-23CF-44E3-9099-C40C66FF867C}">
                  <a14:compatExt spid="_x0000_s2669"/>
                </a:ext>
                <a:ext uri="{FF2B5EF4-FFF2-40B4-BE49-F238E27FC236}">
                  <a16:creationId xmlns:a16="http://schemas.microsoft.com/office/drawing/2014/main" id="{00000000-0008-0000-0100-00006D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480</xdr:row>
          <xdr:rowOff>198120</xdr:rowOff>
        </xdr:from>
        <xdr:to>
          <xdr:col>4</xdr:col>
          <xdr:colOff>518160</xdr:colOff>
          <xdr:row>480</xdr:row>
          <xdr:rowOff>533400</xdr:rowOff>
        </xdr:to>
        <xdr:sp macro="" textlink="">
          <xdr:nvSpPr>
            <xdr:cNvPr id="2670" name="Check Box 622" hidden="1">
              <a:extLst>
                <a:ext uri="{63B3BB69-23CF-44E3-9099-C40C66FF867C}">
                  <a14:compatExt spid="_x0000_s2670"/>
                </a:ext>
                <a:ext uri="{FF2B5EF4-FFF2-40B4-BE49-F238E27FC236}">
                  <a16:creationId xmlns:a16="http://schemas.microsoft.com/office/drawing/2014/main" id="{00000000-0008-0000-0100-00006E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480</xdr:row>
          <xdr:rowOff>198120</xdr:rowOff>
        </xdr:from>
        <xdr:to>
          <xdr:col>4</xdr:col>
          <xdr:colOff>518160</xdr:colOff>
          <xdr:row>480</xdr:row>
          <xdr:rowOff>533400</xdr:rowOff>
        </xdr:to>
        <xdr:sp macro="" textlink="">
          <xdr:nvSpPr>
            <xdr:cNvPr id="2671" name="Check Box 623" hidden="1">
              <a:extLst>
                <a:ext uri="{63B3BB69-23CF-44E3-9099-C40C66FF867C}">
                  <a14:compatExt spid="_x0000_s2671"/>
                </a:ext>
                <a:ext uri="{FF2B5EF4-FFF2-40B4-BE49-F238E27FC236}">
                  <a16:creationId xmlns:a16="http://schemas.microsoft.com/office/drawing/2014/main" id="{00000000-0008-0000-0100-00006F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482</xdr:row>
          <xdr:rowOff>198120</xdr:rowOff>
        </xdr:from>
        <xdr:to>
          <xdr:col>4</xdr:col>
          <xdr:colOff>518160</xdr:colOff>
          <xdr:row>482</xdr:row>
          <xdr:rowOff>533400</xdr:rowOff>
        </xdr:to>
        <xdr:sp macro="" textlink="">
          <xdr:nvSpPr>
            <xdr:cNvPr id="2672" name="Check Box 624" hidden="1">
              <a:extLst>
                <a:ext uri="{63B3BB69-23CF-44E3-9099-C40C66FF867C}">
                  <a14:compatExt spid="_x0000_s2672"/>
                </a:ext>
                <a:ext uri="{FF2B5EF4-FFF2-40B4-BE49-F238E27FC236}">
                  <a16:creationId xmlns:a16="http://schemas.microsoft.com/office/drawing/2014/main" id="{00000000-0008-0000-0100-000070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482</xdr:row>
          <xdr:rowOff>198120</xdr:rowOff>
        </xdr:from>
        <xdr:to>
          <xdr:col>4</xdr:col>
          <xdr:colOff>518160</xdr:colOff>
          <xdr:row>482</xdr:row>
          <xdr:rowOff>533400</xdr:rowOff>
        </xdr:to>
        <xdr:sp macro="" textlink="">
          <xdr:nvSpPr>
            <xdr:cNvPr id="2673" name="Check Box 625" hidden="1">
              <a:extLst>
                <a:ext uri="{63B3BB69-23CF-44E3-9099-C40C66FF867C}">
                  <a14:compatExt spid="_x0000_s2673"/>
                </a:ext>
                <a:ext uri="{FF2B5EF4-FFF2-40B4-BE49-F238E27FC236}">
                  <a16:creationId xmlns:a16="http://schemas.microsoft.com/office/drawing/2014/main" id="{00000000-0008-0000-0100-000071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483</xdr:row>
          <xdr:rowOff>198120</xdr:rowOff>
        </xdr:from>
        <xdr:to>
          <xdr:col>4</xdr:col>
          <xdr:colOff>518160</xdr:colOff>
          <xdr:row>483</xdr:row>
          <xdr:rowOff>533400</xdr:rowOff>
        </xdr:to>
        <xdr:sp macro="" textlink="">
          <xdr:nvSpPr>
            <xdr:cNvPr id="2674" name="Check Box 626" hidden="1">
              <a:extLst>
                <a:ext uri="{63B3BB69-23CF-44E3-9099-C40C66FF867C}">
                  <a14:compatExt spid="_x0000_s2674"/>
                </a:ext>
                <a:ext uri="{FF2B5EF4-FFF2-40B4-BE49-F238E27FC236}">
                  <a16:creationId xmlns:a16="http://schemas.microsoft.com/office/drawing/2014/main" id="{00000000-0008-0000-0100-000072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483</xdr:row>
          <xdr:rowOff>198120</xdr:rowOff>
        </xdr:from>
        <xdr:to>
          <xdr:col>4</xdr:col>
          <xdr:colOff>518160</xdr:colOff>
          <xdr:row>483</xdr:row>
          <xdr:rowOff>533400</xdr:rowOff>
        </xdr:to>
        <xdr:sp macro="" textlink="">
          <xdr:nvSpPr>
            <xdr:cNvPr id="2675" name="Check Box 627" hidden="1">
              <a:extLst>
                <a:ext uri="{63B3BB69-23CF-44E3-9099-C40C66FF867C}">
                  <a14:compatExt spid="_x0000_s2675"/>
                </a:ext>
                <a:ext uri="{FF2B5EF4-FFF2-40B4-BE49-F238E27FC236}">
                  <a16:creationId xmlns:a16="http://schemas.microsoft.com/office/drawing/2014/main" id="{00000000-0008-0000-0100-000073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5.xml"/><Relationship Id="rId21" Type="http://schemas.openxmlformats.org/officeDocument/2006/relationships/ctrlProp" Target="../ctrlProps/ctrlProp19.xml"/><Relationship Id="rId324" Type="http://schemas.openxmlformats.org/officeDocument/2006/relationships/ctrlProp" Target="../ctrlProps/ctrlProp322.xml"/><Relationship Id="rId531" Type="http://schemas.openxmlformats.org/officeDocument/2006/relationships/ctrlProp" Target="../ctrlProps/ctrlProp529.xml"/><Relationship Id="rId170" Type="http://schemas.openxmlformats.org/officeDocument/2006/relationships/ctrlProp" Target="../ctrlProps/ctrlProp168.xml"/><Relationship Id="rId268" Type="http://schemas.openxmlformats.org/officeDocument/2006/relationships/ctrlProp" Target="../ctrlProps/ctrlProp266.xml"/><Relationship Id="rId475" Type="http://schemas.openxmlformats.org/officeDocument/2006/relationships/ctrlProp" Target="../ctrlProps/ctrlProp473.xml"/><Relationship Id="rId32" Type="http://schemas.openxmlformats.org/officeDocument/2006/relationships/ctrlProp" Target="../ctrlProps/ctrlProp30.xml"/><Relationship Id="rId128" Type="http://schemas.openxmlformats.org/officeDocument/2006/relationships/ctrlProp" Target="../ctrlProps/ctrlProp126.xml"/><Relationship Id="rId335" Type="http://schemas.openxmlformats.org/officeDocument/2006/relationships/ctrlProp" Target="../ctrlProps/ctrlProp333.xml"/><Relationship Id="rId542" Type="http://schemas.openxmlformats.org/officeDocument/2006/relationships/ctrlProp" Target="../ctrlProps/ctrlProp540.xml"/><Relationship Id="rId181" Type="http://schemas.openxmlformats.org/officeDocument/2006/relationships/ctrlProp" Target="../ctrlProps/ctrlProp179.xml"/><Relationship Id="rId402" Type="http://schemas.openxmlformats.org/officeDocument/2006/relationships/ctrlProp" Target="../ctrlProps/ctrlProp400.xml"/><Relationship Id="rId279" Type="http://schemas.openxmlformats.org/officeDocument/2006/relationships/ctrlProp" Target="../ctrlProps/ctrlProp277.xml"/><Relationship Id="rId486" Type="http://schemas.openxmlformats.org/officeDocument/2006/relationships/ctrlProp" Target="../ctrlProps/ctrlProp484.xml"/><Relationship Id="rId43" Type="http://schemas.openxmlformats.org/officeDocument/2006/relationships/ctrlProp" Target="../ctrlProps/ctrlProp41.xml"/><Relationship Id="rId139" Type="http://schemas.openxmlformats.org/officeDocument/2006/relationships/ctrlProp" Target="../ctrlProps/ctrlProp137.xml"/><Relationship Id="rId346" Type="http://schemas.openxmlformats.org/officeDocument/2006/relationships/ctrlProp" Target="../ctrlProps/ctrlProp344.xml"/><Relationship Id="rId553" Type="http://schemas.openxmlformats.org/officeDocument/2006/relationships/ctrlProp" Target="../ctrlProps/ctrlProp551.xml"/><Relationship Id="rId192" Type="http://schemas.openxmlformats.org/officeDocument/2006/relationships/ctrlProp" Target="../ctrlProps/ctrlProp190.xml"/><Relationship Id="rId206" Type="http://schemas.openxmlformats.org/officeDocument/2006/relationships/ctrlProp" Target="../ctrlProps/ctrlProp204.xml"/><Relationship Id="rId413" Type="http://schemas.openxmlformats.org/officeDocument/2006/relationships/ctrlProp" Target="../ctrlProps/ctrlProp411.xml"/><Relationship Id="rId497" Type="http://schemas.openxmlformats.org/officeDocument/2006/relationships/ctrlProp" Target="../ctrlProps/ctrlProp495.xml"/><Relationship Id="rId357" Type="http://schemas.openxmlformats.org/officeDocument/2006/relationships/ctrlProp" Target="../ctrlProps/ctrlProp355.xml"/><Relationship Id="rId54" Type="http://schemas.openxmlformats.org/officeDocument/2006/relationships/ctrlProp" Target="../ctrlProps/ctrlProp52.xml"/><Relationship Id="rId217" Type="http://schemas.openxmlformats.org/officeDocument/2006/relationships/ctrlProp" Target="../ctrlProps/ctrlProp215.xml"/><Relationship Id="rId564" Type="http://schemas.openxmlformats.org/officeDocument/2006/relationships/ctrlProp" Target="../ctrlProps/ctrlProp562.xml"/><Relationship Id="rId424" Type="http://schemas.openxmlformats.org/officeDocument/2006/relationships/ctrlProp" Target="../ctrlProps/ctrlProp422.xml"/><Relationship Id="rId270" Type="http://schemas.openxmlformats.org/officeDocument/2006/relationships/ctrlProp" Target="../ctrlProps/ctrlProp268.xml"/><Relationship Id="rId65" Type="http://schemas.openxmlformats.org/officeDocument/2006/relationships/ctrlProp" Target="../ctrlProps/ctrlProp63.xml"/><Relationship Id="rId130" Type="http://schemas.openxmlformats.org/officeDocument/2006/relationships/ctrlProp" Target="../ctrlProps/ctrlProp128.xml"/><Relationship Id="rId368" Type="http://schemas.openxmlformats.org/officeDocument/2006/relationships/ctrlProp" Target="../ctrlProps/ctrlProp366.xml"/><Relationship Id="rId575" Type="http://schemas.openxmlformats.org/officeDocument/2006/relationships/ctrlProp" Target="../ctrlProps/ctrlProp573.xml"/><Relationship Id="rId228" Type="http://schemas.openxmlformats.org/officeDocument/2006/relationships/ctrlProp" Target="../ctrlProps/ctrlProp226.xml"/><Relationship Id="rId435" Type="http://schemas.openxmlformats.org/officeDocument/2006/relationships/ctrlProp" Target="../ctrlProps/ctrlProp433.xml"/><Relationship Id="rId281" Type="http://schemas.openxmlformats.org/officeDocument/2006/relationships/ctrlProp" Target="../ctrlProps/ctrlProp279.xml"/><Relationship Id="rId502" Type="http://schemas.openxmlformats.org/officeDocument/2006/relationships/ctrlProp" Target="../ctrlProps/ctrlProp500.xml"/><Relationship Id="rId76" Type="http://schemas.openxmlformats.org/officeDocument/2006/relationships/ctrlProp" Target="../ctrlProps/ctrlProp74.xml"/><Relationship Id="rId141" Type="http://schemas.openxmlformats.org/officeDocument/2006/relationships/ctrlProp" Target="../ctrlProps/ctrlProp139.xml"/><Relationship Id="rId379" Type="http://schemas.openxmlformats.org/officeDocument/2006/relationships/ctrlProp" Target="../ctrlProps/ctrlProp377.xml"/><Relationship Id="rId586" Type="http://schemas.openxmlformats.org/officeDocument/2006/relationships/ctrlProp" Target="../ctrlProps/ctrlProp584.xml"/><Relationship Id="rId7" Type="http://schemas.openxmlformats.org/officeDocument/2006/relationships/ctrlProp" Target="../ctrlProps/ctrlProp5.xml"/><Relationship Id="rId239" Type="http://schemas.openxmlformats.org/officeDocument/2006/relationships/ctrlProp" Target="../ctrlProps/ctrlProp237.xml"/><Relationship Id="rId446" Type="http://schemas.openxmlformats.org/officeDocument/2006/relationships/ctrlProp" Target="../ctrlProps/ctrlProp444.xml"/><Relationship Id="rId292" Type="http://schemas.openxmlformats.org/officeDocument/2006/relationships/ctrlProp" Target="../ctrlProps/ctrlProp290.xml"/><Relationship Id="rId306" Type="http://schemas.openxmlformats.org/officeDocument/2006/relationships/ctrlProp" Target="../ctrlProps/ctrlProp304.xml"/><Relationship Id="rId87" Type="http://schemas.openxmlformats.org/officeDocument/2006/relationships/ctrlProp" Target="../ctrlProps/ctrlProp85.xml"/><Relationship Id="rId513" Type="http://schemas.openxmlformats.org/officeDocument/2006/relationships/ctrlProp" Target="../ctrlProps/ctrlProp511.xml"/><Relationship Id="rId597" Type="http://schemas.openxmlformats.org/officeDocument/2006/relationships/ctrlProp" Target="../ctrlProps/ctrlProp595.xml"/><Relationship Id="rId152" Type="http://schemas.openxmlformats.org/officeDocument/2006/relationships/ctrlProp" Target="../ctrlProps/ctrlProp150.xml"/><Relationship Id="rId457" Type="http://schemas.openxmlformats.org/officeDocument/2006/relationships/ctrlProp" Target="../ctrlProps/ctrlProp455.xml"/><Relationship Id="rId14" Type="http://schemas.openxmlformats.org/officeDocument/2006/relationships/ctrlProp" Target="../ctrlProps/ctrlProp12.xml"/><Relationship Id="rId317" Type="http://schemas.openxmlformats.org/officeDocument/2006/relationships/ctrlProp" Target="../ctrlProps/ctrlProp315.xml"/><Relationship Id="rId524" Type="http://schemas.openxmlformats.org/officeDocument/2006/relationships/ctrlProp" Target="../ctrlProps/ctrlProp522.xml"/><Relationship Id="rId98" Type="http://schemas.openxmlformats.org/officeDocument/2006/relationships/ctrlProp" Target="../ctrlProps/ctrlProp96.xml"/><Relationship Id="rId163" Type="http://schemas.openxmlformats.org/officeDocument/2006/relationships/ctrlProp" Target="../ctrlProps/ctrlProp161.xml"/><Relationship Id="rId370" Type="http://schemas.openxmlformats.org/officeDocument/2006/relationships/ctrlProp" Target="../ctrlProps/ctrlProp368.xml"/><Relationship Id="rId230" Type="http://schemas.openxmlformats.org/officeDocument/2006/relationships/ctrlProp" Target="../ctrlProps/ctrlProp228.xml"/><Relationship Id="rId468" Type="http://schemas.openxmlformats.org/officeDocument/2006/relationships/ctrlProp" Target="../ctrlProps/ctrlProp466.xml"/><Relationship Id="rId25" Type="http://schemas.openxmlformats.org/officeDocument/2006/relationships/ctrlProp" Target="../ctrlProps/ctrlProp23.xml"/><Relationship Id="rId67" Type="http://schemas.openxmlformats.org/officeDocument/2006/relationships/ctrlProp" Target="../ctrlProps/ctrlProp65.xml"/><Relationship Id="rId272" Type="http://schemas.openxmlformats.org/officeDocument/2006/relationships/ctrlProp" Target="../ctrlProps/ctrlProp270.xml"/><Relationship Id="rId328" Type="http://schemas.openxmlformats.org/officeDocument/2006/relationships/ctrlProp" Target="../ctrlProps/ctrlProp326.xml"/><Relationship Id="rId535" Type="http://schemas.openxmlformats.org/officeDocument/2006/relationships/ctrlProp" Target="../ctrlProps/ctrlProp533.xml"/><Relationship Id="rId577" Type="http://schemas.openxmlformats.org/officeDocument/2006/relationships/ctrlProp" Target="../ctrlProps/ctrlProp575.xml"/><Relationship Id="rId132" Type="http://schemas.openxmlformats.org/officeDocument/2006/relationships/ctrlProp" Target="../ctrlProps/ctrlProp130.xml"/><Relationship Id="rId174" Type="http://schemas.openxmlformats.org/officeDocument/2006/relationships/ctrlProp" Target="../ctrlProps/ctrlProp172.xml"/><Relationship Id="rId381" Type="http://schemas.openxmlformats.org/officeDocument/2006/relationships/ctrlProp" Target="../ctrlProps/ctrlProp379.xml"/><Relationship Id="rId602" Type="http://schemas.openxmlformats.org/officeDocument/2006/relationships/ctrlProp" Target="../ctrlProps/ctrlProp600.xml"/><Relationship Id="rId241" Type="http://schemas.openxmlformats.org/officeDocument/2006/relationships/ctrlProp" Target="../ctrlProps/ctrlProp239.xml"/><Relationship Id="rId437" Type="http://schemas.openxmlformats.org/officeDocument/2006/relationships/ctrlProp" Target="../ctrlProps/ctrlProp435.xml"/><Relationship Id="rId479" Type="http://schemas.openxmlformats.org/officeDocument/2006/relationships/ctrlProp" Target="../ctrlProps/ctrlProp477.xml"/><Relationship Id="rId36" Type="http://schemas.openxmlformats.org/officeDocument/2006/relationships/ctrlProp" Target="../ctrlProps/ctrlProp34.xml"/><Relationship Id="rId283" Type="http://schemas.openxmlformats.org/officeDocument/2006/relationships/ctrlProp" Target="../ctrlProps/ctrlProp281.xml"/><Relationship Id="rId339" Type="http://schemas.openxmlformats.org/officeDocument/2006/relationships/ctrlProp" Target="../ctrlProps/ctrlProp337.xml"/><Relationship Id="rId490" Type="http://schemas.openxmlformats.org/officeDocument/2006/relationships/ctrlProp" Target="../ctrlProps/ctrlProp488.xml"/><Relationship Id="rId504" Type="http://schemas.openxmlformats.org/officeDocument/2006/relationships/ctrlProp" Target="../ctrlProps/ctrlProp502.xml"/><Relationship Id="rId546" Type="http://schemas.openxmlformats.org/officeDocument/2006/relationships/ctrlProp" Target="../ctrlProps/ctrlProp544.xml"/><Relationship Id="rId78" Type="http://schemas.openxmlformats.org/officeDocument/2006/relationships/ctrlProp" Target="../ctrlProps/ctrlProp76.xml"/><Relationship Id="rId101" Type="http://schemas.openxmlformats.org/officeDocument/2006/relationships/ctrlProp" Target="../ctrlProps/ctrlProp99.xml"/><Relationship Id="rId143" Type="http://schemas.openxmlformats.org/officeDocument/2006/relationships/ctrlProp" Target="../ctrlProps/ctrlProp141.xml"/><Relationship Id="rId185" Type="http://schemas.openxmlformats.org/officeDocument/2006/relationships/ctrlProp" Target="../ctrlProps/ctrlProp183.xml"/><Relationship Id="rId350" Type="http://schemas.openxmlformats.org/officeDocument/2006/relationships/ctrlProp" Target="../ctrlProps/ctrlProp348.xml"/><Relationship Id="rId406" Type="http://schemas.openxmlformats.org/officeDocument/2006/relationships/ctrlProp" Target="../ctrlProps/ctrlProp404.xml"/><Relationship Id="rId588" Type="http://schemas.openxmlformats.org/officeDocument/2006/relationships/ctrlProp" Target="../ctrlProps/ctrlProp586.xml"/><Relationship Id="rId9" Type="http://schemas.openxmlformats.org/officeDocument/2006/relationships/ctrlProp" Target="../ctrlProps/ctrlProp7.xml"/><Relationship Id="rId210" Type="http://schemas.openxmlformats.org/officeDocument/2006/relationships/ctrlProp" Target="../ctrlProps/ctrlProp208.xml"/><Relationship Id="rId392" Type="http://schemas.openxmlformats.org/officeDocument/2006/relationships/ctrlProp" Target="../ctrlProps/ctrlProp390.xml"/><Relationship Id="rId448" Type="http://schemas.openxmlformats.org/officeDocument/2006/relationships/ctrlProp" Target="../ctrlProps/ctrlProp446.xml"/><Relationship Id="rId613" Type="http://schemas.openxmlformats.org/officeDocument/2006/relationships/ctrlProp" Target="../ctrlProps/ctrlProp611.xml"/><Relationship Id="rId252" Type="http://schemas.openxmlformats.org/officeDocument/2006/relationships/ctrlProp" Target="../ctrlProps/ctrlProp250.xml"/><Relationship Id="rId294" Type="http://schemas.openxmlformats.org/officeDocument/2006/relationships/ctrlProp" Target="../ctrlProps/ctrlProp292.xml"/><Relationship Id="rId308" Type="http://schemas.openxmlformats.org/officeDocument/2006/relationships/ctrlProp" Target="../ctrlProps/ctrlProp306.xml"/><Relationship Id="rId515" Type="http://schemas.openxmlformats.org/officeDocument/2006/relationships/ctrlProp" Target="../ctrlProps/ctrlProp513.xml"/><Relationship Id="rId47" Type="http://schemas.openxmlformats.org/officeDocument/2006/relationships/ctrlProp" Target="../ctrlProps/ctrlProp45.xml"/><Relationship Id="rId89" Type="http://schemas.openxmlformats.org/officeDocument/2006/relationships/ctrlProp" Target="../ctrlProps/ctrlProp87.xml"/><Relationship Id="rId112" Type="http://schemas.openxmlformats.org/officeDocument/2006/relationships/ctrlProp" Target="../ctrlProps/ctrlProp110.xml"/><Relationship Id="rId154" Type="http://schemas.openxmlformats.org/officeDocument/2006/relationships/ctrlProp" Target="../ctrlProps/ctrlProp152.xml"/><Relationship Id="rId361" Type="http://schemas.openxmlformats.org/officeDocument/2006/relationships/ctrlProp" Target="../ctrlProps/ctrlProp359.xml"/><Relationship Id="rId557" Type="http://schemas.openxmlformats.org/officeDocument/2006/relationships/ctrlProp" Target="../ctrlProps/ctrlProp555.xml"/><Relationship Id="rId599" Type="http://schemas.openxmlformats.org/officeDocument/2006/relationships/ctrlProp" Target="../ctrlProps/ctrlProp597.xml"/><Relationship Id="rId196" Type="http://schemas.openxmlformats.org/officeDocument/2006/relationships/ctrlProp" Target="../ctrlProps/ctrlProp194.xml"/><Relationship Id="rId417" Type="http://schemas.openxmlformats.org/officeDocument/2006/relationships/ctrlProp" Target="../ctrlProps/ctrlProp415.xml"/><Relationship Id="rId459" Type="http://schemas.openxmlformats.org/officeDocument/2006/relationships/ctrlProp" Target="../ctrlProps/ctrlProp457.xml"/><Relationship Id="rId16" Type="http://schemas.openxmlformats.org/officeDocument/2006/relationships/ctrlProp" Target="../ctrlProps/ctrlProp14.xml"/><Relationship Id="rId221" Type="http://schemas.openxmlformats.org/officeDocument/2006/relationships/ctrlProp" Target="../ctrlProps/ctrlProp219.xml"/><Relationship Id="rId263" Type="http://schemas.openxmlformats.org/officeDocument/2006/relationships/ctrlProp" Target="../ctrlProps/ctrlProp261.xml"/><Relationship Id="rId319" Type="http://schemas.openxmlformats.org/officeDocument/2006/relationships/ctrlProp" Target="../ctrlProps/ctrlProp317.xml"/><Relationship Id="rId470" Type="http://schemas.openxmlformats.org/officeDocument/2006/relationships/ctrlProp" Target="../ctrlProps/ctrlProp468.xml"/><Relationship Id="rId526" Type="http://schemas.openxmlformats.org/officeDocument/2006/relationships/ctrlProp" Target="../ctrlProps/ctrlProp524.xml"/><Relationship Id="rId58" Type="http://schemas.openxmlformats.org/officeDocument/2006/relationships/ctrlProp" Target="../ctrlProps/ctrlProp56.xml"/><Relationship Id="rId123" Type="http://schemas.openxmlformats.org/officeDocument/2006/relationships/ctrlProp" Target="../ctrlProps/ctrlProp121.xml"/><Relationship Id="rId330" Type="http://schemas.openxmlformats.org/officeDocument/2006/relationships/ctrlProp" Target="../ctrlProps/ctrlProp328.xml"/><Relationship Id="rId568" Type="http://schemas.openxmlformats.org/officeDocument/2006/relationships/ctrlProp" Target="../ctrlProps/ctrlProp566.xml"/><Relationship Id="rId165" Type="http://schemas.openxmlformats.org/officeDocument/2006/relationships/ctrlProp" Target="../ctrlProps/ctrlProp163.xml"/><Relationship Id="rId372" Type="http://schemas.openxmlformats.org/officeDocument/2006/relationships/ctrlProp" Target="../ctrlProps/ctrlProp370.xml"/><Relationship Id="rId428" Type="http://schemas.openxmlformats.org/officeDocument/2006/relationships/ctrlProp" Target="../ctrlProps/ctrlProp426.xml"/><Relationship Id="rId232" Type="http://schemas.openxmlformats.org/officeDocument/2006/relationships/ctrlProp" Target="../ctrlProps/ctrlProp230.xml"/><Relationship Id="rId274" Type="http://schemas.openxmlformats.org/officeDocument/2006/relationships/ctrlProp" Target="../ctrlProps/ctrlProp272.xml"/><Relationship Id="rId481" Type="http://schemas.openxmlformats.org/officeDocument/2006/relationships/ctrlProp" Target="../ctrlProps/ctrlProp479.xml"/><Relationship Id="rId27" Type="http://schemas.openxmlformats.org/officeDocument/2006/relationships/ctrlProp" Target="../ctrlProps/ctrlProp25.xml"/><Relationship Id="rId69" Type="http://schemas.openxmlformats.org/officeDocument/2006/relationships/ctrlProp" Target="../ctrlProps/ctrlProp67.xml"/><Relationship Id="rId134" Type="http://schemas.openxmlformats.org/officeDocument/2006/relationships/ctrlProp" Target="../ctrlProps/ctrlProp132.xml"/><Relationship Id="rId537" Type="http://schemas.openxmlformats.org/officeDocument/2006/relationships/ctrlProp" Target="../ctrlProps/ctrlProp535.xml"/><Relationship Id="rId579" Type="http://schemas.openxmlformats.org/officeDocument/2006/relationships/ctrlProp" Target="../ctrlProps/ctrlProp577.xml"/><Relationship Id="rId80" Type="http://schemas.openxmlformats.org/officeDocument/2006/relationships/ctrlProp" Target="../ctrlProps/ctrlProp78.xml"/><Relationship Id="rId176" Type="http://schemas.openxmlformats.org/officeDocument/2006/relationships/ctrlProp" Target="../ctrlProps/ctrlProp174.xml"/><Relationship Id="rId341" Type="http://schemas.openxmlformats.org/officeDocument/2006/relationships/ctrlProp" Target="../ctrlProps/ctrlProp339.xml"/><Relationship Id="rId383" Type="http://schemas.openxmlformats.org/officeDocument/2006/relationships/ctrlProp" Target="../ctrlProps/ctrlProp381.xml"/><Relationship Id="rId439" Type="http://schemas.openxmlformats.org/officeDocument/2006/relationships/ctrlProp" Target="../ctrlProps/ctrlProp437.xml"/><Relationship Id="rId590" Type="http://schemas.openxmlformats.org/officeDocument/2006/relationships/ctrlProp" Target="../ctrlProps/ctrlProp588.xml"/><Relationship Id="rId604" Type="http://schemas.openxmlformats.org/officeDocument/2006/relationships/ctrlProp" Target="../ctrlProps/ctrlProp602.xml"/><Relationship Id="rId201" Type="http://schemas.openxmlformats.org/officeDocument/2006/relationships/ctrlProp" Target="../ctrlProps/ctrlProp199.xml"/><Relationship Id="rId243" Type="http://schemas.openxmlformats.org/officeDocument/2006/relationships/ctrlProp" Target="../ctrlProps/ctrlProp241.xml"/><Relationship Id="rId285" Type="http://schemas.openxmlformats.org/officeDocument/2006/relationships/ctrlProp" Target="../ctrlProps/ctrlProp283.xml"/><Relationship Id="rId450" Type="http://schemas.openxmlformats.org/officeDocument/2006/relationships/ctrlProp" Target="../ctrlProps/ctrlProp448.xml"/><Relationship Id="rId506" Type="http://schemas.openxmlformats.org/officeDocument/2006/relationships/ctrlProp" Target="../ctrlProps/ctrlProp504.xml"/><Relationship Id="rId38" Type="http://schemas.openxmlformats.org/officeDocument/2006/relationships/ctrlProp" Target="../ctrlProps/ctrlProp36.xml"/><Relationship Id="rId103" Type="http://schemas.openxmlformats.org/officeDocument/2006/relationships/ctrlProp" Target="../ctrlProps/ctrlProp101.xml"/><Relationship Id="rId310" Type="http://schemas.openxmlformats.org/officeDocument/2006/relationships/ctrlProp" Target="../ctrlProps/ctrlProp308.xml"/><Relationship Id="rId492" Type="http://schemas.openxmlformats.org/officeDocument/2006/relationships/ctrlProp" Target="../ctrlProps/ctrlProp490.xml"/><Relationship Id="rId548" Type="http://schemas.openxmlformats.org/officeDocument/2006/relationships/ctrlProp" Target="../ctrlProps/ctrlProp546.xml"/><Relationship Id="rId91" Type="http://schemas.openxmlformats.org/officeDocument/2006/relationships/ctrlProp" Target="../ctrlProps/ctrlProp89.xml"/><Relationship Id="rId145" Type="http://schemas.openxmlformats.org/officeDocument/2006/relationships/ctrlProp" Target="../ctrlProps/ctrlProp143.xml"/><Relationship Id="rId187" Type="http://schemas.openxmlformats.org/officeDocument/2006/relationships/ctrlProp" Target="../ctrlProps/ctrlProp185.xml"/><Relationship Id="rId352" Type="http://schemas.openxmlformats.org/officeDocument/2006/relationships/ctrlProp" Target="../ctrlProps/ctrlProp350.xml"/><Relationship Id="rId394" Type="http://schemas.openxmlformats.org/officeDocument/2006/relationships/ctrlProp" Target="../ctrlProps/ctrlProp392.xml"/><Relationship Id="rId408" Type="http://schemas.openxmlformats.org/officeDocument/2006/relationships/ctrlProp" Target="../ctrlProps/ctrlProp406.xml"/><Relationship Id="rId615" Type="http://schemas.openxmlformats.org/officeDocument/2006/relationships/ctrlProp" Target="../ctrlProps/ctrlProp613.xml"/><Relationship Id="rId212" Type="http://schemas.openxmlformats.org/officeDocument/2006/relationships/ctrlProp" Target="../ctrlProps/ctrlProp210.xml"/><Relationship Id="rId254" Type="http://schemas.openxmlformats.org/officeDocument/2006/relationships/ctrlProp" Target="../ctrlProps/ctrlProp252.xml"/><Relationship Id="rId49" Type="http://schemas.openxmlformats.org/officeDocument/2006/relationships/ctrlProp" Target="../ctrlProps/ctrlProp47.xml"/><Relationship Id="rId114" Type="http://schemas.openxmlformats.org/officeDocument/2006/relationships/ctrlProp" Target="../ctrlProps/ctrlProp112.xml"/><Relationship Id="rId296" Type="http://schemas.openxmlformats.org/officeDocument/2006/relationships/ctrlProp" Target="../ctrlProps/ctrlProp294.xml"/><Relationship Id="rId461" Type="http://schemas.openxmlformats.org/officeDocument/2006/relationships/ctrlProp" Target="../ctrlProps/ctrlProp459.xml"/><Relationship Id="rId517" Type="http://schemas.openxmlformats.org/officeDocument/2006/relationships/ctrlProp" Target="../ctrlProps/ctrlProp515.xml"/><Relationship Id="rId559" Type="http://schemas.openxmlformats.org/officeDocument/2006/relationships/ctrlProp" Target="../ctrlProps/ctrlProp557.xml"/><Relationship Id="rId60" Type="http://schemas.openxmlformats.org/officeDocument/2006/relationships/ctrlProp" Target="../ctrlProps/ctrlProp58.xml"/><Relationship Id="rId156" Type="http://schemas.openxmlformats.org/officeDocument/2006/relationships/ctrlProp" Target="../ctrlProps/ctrlProp154.xml"/><Relationship Id="rId198" Type="http://schemas.openxmlformats.org/officeDocument/2006/relationships/ctrlProp" Target="../ctrlProps/ctrlProp196.xml"/><Relationship Id="rId321" Type="http://schemas.openxmlformats.org/officeDocument/2006/relationships/ctrlProp" Target="../ctrlProps/ctrlProp319.xml"/><Relationship Id="rId363" Type="http://schemas.openxmlformats.org/officeDocument/2006/relationships/ctrlProp" Target="../ctrlProps/ctrlProp361.xml"/><Relationship Id="rId419" Type="http://schemas.openxmlformats.org/officeDocument/2006/relationships/ctrlProp" Target="../ctrlProps/ctrlProp417.xml"/><Relationship Id="rId570" Type="http://schemas.openxmlformats.org/officeDocument/2006/relationships/ctrlProp" Target="../ctrlProps/ctrlProp568.xml"/><Relationship Id="rId223" Type="http://schemas.openxmlformats.org/officeDocument/2006/relationships/ctrlProp" Target="../ctrlProps/ctrlProp221.xml"/><Relationship Id="rId430" Type="http://schemas.openxmlformats.org/officeDocument/2006/relationships/ctrlProp" Target="../ctrlProps/ctrlProp428.xml"/><Relationship Id="rId18" Type="http://schemas.openxmlformats.org/officeDocument/2006/relationships/ctrlProp" Target="../ctrlProps/ctrlProp16.xml"/><Relationship Id="rId265" Type="http://schemas.openxmlformats.org/officeDocument/2006/relationships/ctrlProp" Target="../ctrlProps/ctrlProp263.xml"/><Relationship Id="rId472" Type="http://schemas.openxmlformats.org/officeDocument/2006/relationships/ctrlProp" Target="../ctrlProps/ctrlProp470.xml"/><Relationship Id="rId528" Type="http://schemas.openxmlformats.org/officeDocument/2006/relationships/ctrlProp" Target="../ctrlProps/ctrlProp526.xml"/><Relationship Id="rId125" Type="http://schemas.openxmlformats.org/officeDocument/2006/relationships/ctrlProp" Target="../ctrlProps/ctrlProp123.xml"/><Relationship Id="rId167" Type="http://schemas.openxmlformats.org/officeDocument/2006/relationships/ctrlProp" Target="../ctrlProps/ctrlProp165.xml"/><Relationship Id="rId332" Type="http://schemas.openxmlformats.org/officeDocument/2006/relationships/ctrlProp" Target="../ctrlProps/ctrlProp330.xml"/><Relationship Id="rId374" Type="http://schemas.openxmlformats.org/officeDocument/2006/relationships/ctrlProp" Target="../ctrlProps/ctrlProp372.xml"/><Relationship Id="rId581" Type="http://schemas.openxmlformats.org/officeDocument/2006/relationships/ctrlProp" Target="../ctrlProps/ctrlProp579.xml"/><Relationship Id="rId71" Type="http://schemas.openxmlformats.org/officeDocument/2006/relationships/ctrlProp" Target="../ctrlProps/ctrlProp69.xml"/><Relationship Id="rId234" Type="http://schemas.openxmlformats.org/officeDocument/2006/relationships/ctrlProp" Target="../ctrlProps/ctrlProp232.xml"/><Relationship Id="rId2" Type="http://schemas.openxmlformats.org/officeDocument/2006/relationships/vmlDrawing" Target="../drawings/vmlDrawing1.vml"/><Relationship Id="rId29" Type="http://schemas.openxmlformats.org/officeDocument/2006/relationships/ctrlProp" Target="../ctrlProps/ctrlProp27.xml"/><Relationship Id="rId276" Type="http://schemas.openxmlformats.org/officeDocument/2006/relationships/ctrlProp" Target="../ctrlProps/ctrlProp274.xml"/><Relationship Id="rId441" Type="http://schemas.openxmlformats.org/officeDocument/2006/relationships/ctrlProp" Target="../ctrlProps/ctrlProp439.xml"/><Relationship Id="rId483" Type="http://schemas.openxmlformats.org/officeDocument/2006/relationships/ctrlProp" Target="../ctrlProps/ctrlProp481.xml"/><Relationship Id="rId539" Type="http://schemas.openxmlformats.org/officeDocument/2006/relationships/ctrlProp" Target="../ctrlProps/ctrlProp537.xml"/><Relationship Id="rId40" Type="http://schemas.openxmlformats.org/officeDocument/2006/relationships/ctrlProp" Target="../ctrlProps/ctrlProp38.xml"/><Relationship Id="rId136" Type="http://schemas.openxmlformats.org/officeDocument/2006/relationships/ctrlProp" Target="../ctrlProps/ctrlProp134.xml"/><Relationship Id="rId178" Type="http://schemas.openxmlformats.org/officeDocument/2006/relationships/ctrlProp" Target="../ctrlProps/ctrlProp176.xml"/><Relationship Id="rId301" Type="http://schemas.openxmlformats.org/officeDocument/2006/relationships/ctrlProp" Target="../ctrlProps/ctrlProp299.xml"/><Relationship Id="rId343" Type="http://schemas.openxmlformats.org/officeDocument/2006/relationships/ctrlProp" Target="../ctrlProps/ctrlProp341.xml"/><Relationship Id="rId550" Type="http://schemas.openxmlformats.org/officeDocument/2006/relationships/ctrlProp" Target="../ctrlProps/ctrlProp548.xml"/><Relationship Id="rId82" Type="http://schemas.openxmlformats.org/officeDocument/2006/relationships/ctrlProp" Target="../ctrlProps/ctrlProp80.xml"/><Relationship Id="rId203" Type="http://schemas.openxmlformats.org/officeDocument/2006/relationships/ctrlProp" Target="../ctrlProps/ctrlProp201.xml"/><Relationship Id="rId385" Type="http://schemas.openxmlformats.org/officeDocument/2006/relationships/ctrlProp" Target="../ctrlProps/ctrlProp383.xml"/><Relationship Id="rId592" Type="http://schemas.openxmlformats.org/officeDocument/2006/relationships/ctrlProp" Target="../ctrlProps/ctrlProp590.xml"/><Relationship Id="rId606" Type="http://schemas.openxmlformats.org/officeDocument/2006/relationships/ctrlProp" Target="../ctrlProps/ctrlProp604.xml"/><Relationship Id="rId245" Type="http://schemas.openxmlformats.org/officeDocument/2006/relationships/ctrlProp" Target="../ctrlProps/ctrlProp243.xml"/><Relationship Id="rId287" Type="http://schemas.openxmlformats.org/officeDocument/2006/relationships/ctrlProp" Target="../ctrlProps/ctrlProp285.xml"/><Relationship Id="rId410" Type="http://schemas.openxmlformats.org/officeDocument/2006/relationships/ctrlProp" Target="../ctrlProps/ctrlProp408.xml"/><Relationship Id="rId452" Type="http://schemas.openxmlformats.org/officeDocument/2006/relationships/ctrlProp" Target="../ctrlProps/ctrlProp450.xml"/><Relationship Id="rId494" Type="http://schemas.openxmlformats.org/officeDocument/2006/relationships/ctrlProp" Target="../ctrlProps/ctrlProp492.xml"/><Relationship Id="rId508" Type="http://schemas.openxmlformats.org/officeDocument/2006/relationships/ctrlProp" Target="../ctrlProps/ctrlProp506.xml"/><Relationship Id="rId105" Type="http://schemas.openxmlformats.org/officeDocument/2006/relationships/ctrlProp" Target="../ctrlProps/ctrlProp103.xml"/><Relationship Id="rId147" Type="http://schemas.openxmlformats.org/officeDocument/2006/relationships/ctrlProp" Target="../ctrlProps/ctrlProp145.xml"/><Relationship Id="rId312" Type="http://schemas.openxmlformats.org/officeDocument/2006/relationships/ctrlProp" Target="../ctrlProps/ctrlProp310.xml"/><Relationship Id="rId354" Type="http://schemas.openxmlformats.org/officeDocument/2006/relationships/ctrlProp" Target="../ctrlProps/ctrlProp352.xml"/><Relationship Id="rId51" Type="http://schemas.openxmlformats.org/officeDocument/2006/relationships/ctrlProp" Target="../ctrlProps/ctrlProp49.xml"/><Relationship Id="rId93" Type="http://schemas.openxmlformats.org/officeDocument/2006/relationships/ctrlProp" Target="../ctrlProps/ctrlProp91.xml"/><Relationship Id="rId189" Type="http://schemas.openxmlformats.org/officeDocument/2006/relationships/ctrlProp" Target="../ctrlProps/ctrlProp187.xml"/><Relationship Id="rId396" Type="http://schemas.openxmlformats.org/officeDocument/2006/relationships/ctrlProp" Target="../ctrlProps/ctrlProp394.xml"/><Relationship Id="rId561" Type="http://schemas.openxmlformats.org/officeDocument/2006/relationships/ctrlProp" Target="../ctrlProps/ctrlProp559.xml"/><Relationship Id="rId214" Type="http://schemas.openxmlformats.org/officeDocument/2006/relationships/ctrlProp" Target="../ctrlProps/ctrlProp212.xml"/><Relationship Id="rId256" Type="http://schemas.openxmlformats.org/officeDocument/2006/relationships/ctrlProp" Target="../ctrlProps/ctrlProp254.xml"/><Relationship Id="rId298" Type="http://schemas.openxmlformats.org/officeDocument/2006/relationships/ctrlProp" Target="../ctrlProps/ctrlProp296.xml"/><Relationship Id="rId421" Type="http://schemas.openxmlformats.org/officeDocument/2006/relationships/ctrlProp" Target="../ctrlProps/ctrlProp419.xml"/><Relationship Id="rId463" Type="http://schemas.openxmlformats.org/officeDocument/2006/relationships/ctrlProp" Target="../ctrlProps/ctrlProp461.xml"/><Relationship Id="rId519" Type="http://schemas.openxmlformats.org/officeDocument/2006/relationships/ctrlProp" Target="../ctrlProps/ctrlProp517.xml"/><Relationship Id="rId116" Type="http://schemas.openxmlformats.org/officeDocument/2006/relationships/ctrlProp" Target="../ctrlProps/ctrlProp114.xml"/><Relationship Id="rId158" Type="http://schemas.openxmlformats.org/officeDocument/2006/relationships/ctrlProp" Target="../ctrlProps/ctrlProp156.xml"/><Relationship Id="rId323" Type="http://schemas.openxmlformats.org/officeDocument/2006/relationships/ctrlProp" Target="../ctrlProps/ctrlProp321.xml"/><Relationship Id="rId530" Type="http://schemas.openxmlformats.org/officeDocument/2006/relationships/ctrlProp" Target="../ctrlProps/ctrlProp528.xml"/><Relationship Id="rId20" Type="http://schemas.openxmlformats.org/officeDocument/2006/relationships/ctrlProp" Target="../ctrlProps/ctrlProp18.xml"/><Relationship Id="rId62" Type="http://schemas.openxmlformats.org/officeDocument/2006/relationships/ctrlProp" Target="../ctrlProps/ctrlProp60.xml"/><Relationship Id="rId365" Type="http://schemas.openxmlformats.org/officeDocument/2006/relationships/ctrlProp" Target="../ctrlProps/ctrlProp363.xml"/><Relationship Id="rId572" Type="http://schemas.openxmlformats.org/officeDocument/2006/relationships/ctrlProp" Target="../ctrlProps/ctrlProp570.xml"/><Relationship Id="rId225" Type="http://schemas.openxmlformats.org/officeDocument/2006/relationships/ctrlProp" Target="../ctrlProps/ctrlProp223.xml"/><Relationship Id="rId267" Type="http://schemas.openxmlformats.org/officeDocument/2006/relationships/ctrlProp" Target="../ctrlProps/ctrlProp265.xml"/><Relationship Id="rId432" Type="http://schemas.openxmlformats.org/officeDocument/2006/relationships/ctrlProp" Target="../ctrlProps/ctrlProp430.xml"/><Relationship Id="rId474" Type="http://schemas.openxmlformats.org/officeDocument/2006/relationships/ctrlProp" Target="../ctrlProps/ctrlProp472.xml"/><Relationship Id="rId127" Type="http://schemas.openxmlformats.org/officeDocument/2006/relationships/ctrlProp" Target="../ctrlProps/ctrlProp125.xml"/><Relationship Id="rId31" Type="http://schemas.openxmlformats.org/officeDocument/2006/relationships/ctrlProp" Target="../ctrlProps/ctrlProp29.xml"/><Relationship Id="rId73" Type="http://schemas.openxmlformats.org/officeDocument/2006/relationships/ctrlProp" Target="../ctrlProps/ctrlProp71.xml"/><Relationship Id="rId169" Type="http://schemas.openxmlformats.org/officeDocument/2006/relationships/ctrlProp" Target="../ctrlProps/ctrlProp167.xml"/><Relationship Id="rId334" Type="http://schemas.openxmlformats.org/officeDocument/2006/relationships/ctrlProp" Target="../ctrlProps/ctrlProp332.xml"/><Relationship Id="rId376" Type="http://schemas.openxmlformats.org/officeDocument/2006/relationships/ctrlProp" Target="../ctrlProps/ctrlProp374.xml"/><Relationship Id="rId541" Type="http://schemas.openxmlformats.org/officeDocument/2006/relationships/ctrlProp" Target="../ctrlProps/ctrlProp539.xml"/><Relationship Id="rId583" Type="http://schemas.openxmlformats.org/officeDocument/2006/relationships/ctrlProp" Target="../ctrlProps/ctrlProp581.xml"/><Relationship Id="rId4" Type="http://schemas.openxmlformats.org/officeDocument/2006/relationships/ctrlProp" Target="../ctrlProps/ctrlProp2.xml"/><Relationship Id="rId180" Type="http://schemas.openxmlformats.org/officeDocument/2006/relationships/ctrlProp" Target="../ctrlProps/ctrlProp178.xml"/><Relationship Id="rId236" Type="http://schemas.openxmlformats.org/officeDocument/2006/relationships/ctrlProp" Target="../ctrlProps/ctrlProp234.xml"/><Relationship Id="rId278" Type="http://schemas.openxmlformats.org/officeDocument/2006/relationships/ctrlProp" Target="../ctrlProps/ctrlProp276.xml"/><Relationship Id="rId401" Type="http://schemas.openxmlformats.org/officeDocument/2006/relationships/ctrlProp" Target="../ctrlProps/ctrlProp399.xml"/><Relationship Id="rId443" Type="http://schemas.openxmlformats.org/officeDocument/2006/relationships/ctrlProp" Target="../ctrlProps/ctrlProp441.xml"/><Relationship Id="rId303" Type="http://schemas.openxmlformats.org/officeDocument/2006/relationships/ctrlProp" Target="../ctrlProps/ctrlProp301.xml"/><Relationship Id="rId485" Type="http://schemas.openxmlformats.org/officeDocument/2006/relationships/ctrlProp" Target="../ctrlProps/ctrlProp483.xml"/><Relationship Id="rId42" Type="http://schemas.openxmlformats.org/officeDocument/2006/relationships/ctrlProp" Target="../ctrlProps/ctrlProp40.xml"/><Relationship Id="rId84" Type="http://schemas.openxmlformats.org/officeDocument/2006/relationships/ctrlProp" Target="../ctrlProps/ctrlProp82.xml"/><Relationship Id="rId138" Type="http://schemas.openxmlformats.org/officeDocument/2006/relationships/ctrlProp" Target="../ctrlProps/ctrlProp136.xml"/><Relationship Id="rId345" Type="http://schemas.openxmlformats.org/officeDocument/2006/relationships/ctrlProp" Target="../ctrlProps/ctrlProp343.xml"/><Relationship Id="rId387" Type="http://schemas.openxmlformats.org/officeDocument/2006/relationships/ctrlProp" Target="../ctrlProps/ctrlProp385.xml"/><Relationship Id="rId510" Type="http://schemas.openxmlformats.org/officeDocument/2006/relationships/ctrlProp" Target="../ctrlProps/ctrlProp508.xml"/><Relationship Id="rId552" Type="http://schemas.openxmlformats.org/officeDocument/2006/relationships/ctrlProp" Target="../ctrlProps/ctrlProp550.xml"/><Relationship Id="rId594" Type="http://schemas.openxmlformats.org/officeDocument/2006/relationships/ctrlProp" Target="../ctrlProps/ctrlProp592.xml"/><Relationship Id="rId608" Type="http://schemas.openxmlformats.org/officeDocument/2006/relationships/ctrlProp" Target="../ctrlProps/ctrlProp606.xml"/><Relationship Id="rId191" Type="http://schemas.openxmlformats.org/officeDocument/2006/relationships/ctrlProp" Target="../ctrlProps/ctrlProp189.xml"/><Relationship Id="rId205" Type="http://schemas.openxmlformats.org/officeDocument/2006/relationships/ctrlProp" Target="../ctrlProps/ctrlProp203.xml"/><Relationship Id="rId247" Type="http://schemas.openxmlformats.org/officeDocument/2006/relationships/ctrlProp" Target="../ctrlProps/ctrlProp245.xml"/><Relationship Id="rId412" Type="http://schemas.openxmlformats.org/officeDocument/2006/relationships/ctrlProp" Target="../ctrlProps/ctrlProp410.xml"/><Relationship Id="rId107" Type="http://schemas.openxmlformats.org/officeDocument/2006/relationships/ctrlProp" Target="../ctrlProps/ctrlProp105.xml"/><Relationship Id="rId289" Type="http://schemas.openxmlformats.org/officeDocument/2006/relationships/ctrlProp" Target="../ctrlProps/ctrlProp287.xml"/><Relationship Id="rId454" Type="http://schemas.openxmlformats.org/officeDocument/2006/relationships/ctrlProp" Target="../ctrlProps/ctrlProp452.xml"/><Relationship Id="rId496" Type="http://schemas.openxmlformats.org/officeDocument/2006/relationships/ctrlProp" Target="../ctrlProps/ctrlProp494.xml"/><Relationship Id="rId11" Type="http://schemas.openxmlformats.org/officeDocument/2006/relationships/ctrlProp" Target="../ctrlProps/ctrlProp9.xml"/><Relationship Id="rId53" Type="http://schemas.openxmlformats.org/officeDocument/2006/relationships/ctrlProp" Target="../ctrlProps/ctrlProp51.xml"/><Relationship Id="rId149" Type="http://schemas.openxmlformats.org/officeDocument/2006/relationships/ctrlProp" Target="../ctrlProps/ctrlProp147.xml"/><Relationship Id="rId314" Type="http://schemas.openxmlformats.org/officeDocument/2006/relationships/ctrlProp" Target="../ctrlProps/ctrlProp312.xml"/><Relationship Id="rId356" Type="http://schemas.openxmlformats.org/officeDocument/2006/relationships/ctrlProp" Target="../ctrlProps/ctrlProp354.xml"/><Relationship Id="rId398" Type="http://schemas.openxmlformats.org/officeDocument/2006/relationships/ctrlProp" Target="../ctrlProps/ctrlProp396.xml"/><Relationship Id="rId521" Type="http://schemas.openxmlformats.org/officeDocument/2006/relationships/ctrlProp" Target="../ctrlProps/ctrlProp519.xml"/><Relationship Id="rId563" Type="http://schemas.openxmlformats.org/officeDocument/2006/relationships/ctrlProp" Target="../ctrlProps/ctrlProp561.xml"/><Relationship Id="rId95" Type="http://schemas.openxmlformats.org/officeDocument/2006/relationships/ctrlProp" Target="../ctrlProps/ctrlProp93.xml"/><Relationship Id="rId160" Type="http://schemas.openxmlformats.org/officeDocument/2006/relationships/ctrlProp" Target="../ctrlProps/ctrlProp158.xml"/><Relationship Id="rId216" Type="http://schemas.openxmlformats.org/officeDocument/2006/relationships/ctrlProp" Target="../ctrlProps/ctrlProp214.xml"/><Relationship Id="rId423" Type="http://schemas.openxmlformats.org/officeDocument/2006/relationships/ctrlProp" Target="../ctrlProps/ctrlProp421.xml"/><Relationship Id="rId258" Type="http://schemas.openxmlformats.org/officeDocument/2006/relationships/ctrlProp" Target="../ctrlProps/ctrlProp256.xml"/><Relationship Id="rId465" Type="http://schemas.openxmlformats.org/officeDocument/2006/relationships/ctrlProp" Target="../ctrlProps/ctrlProp463.xml"/><Relationship Id="rId22" Type="http://schemas.openxmlformats.org/officeDocument/2006/relationships/ctrlProp" Target="../ctrlProps/ctrlProp20.xml"/><Relationship Id="rId64" Type="http://schemas.openxmlformats.org/officeDocument/2006/relationships/ctrlProp" Target="../ctrlProps/ctrlProp62.xml"/><Relationship Id="rId118" Type="http://schemas.openxmlformats.org/officeDocument/2006/relationships/ctrlProp" Target="../ctrlProps/ctrlProp116.xml"/><Relationship Id="rId325" Type="http://schemas.openxmlformats.org/officeDocument/2006/relationships/ctrlProp" Target="../ctrlProps/ctrlProp323.xml"/><Relationship Id="rId367" Type="http://schemas.openxmlformats.org/officeDocument/2006/relationships/ctrlProp" Target="../ctrlProps/ctrlProp365.xml"/><Relationship Id="rId532" Type="http://schemas.openxmlformats.org/officeDocument/2006/relationships/ctrlProp" Target="../ctrlProps/ctrlProp530.xml"/><Relationship Id="rId574" Type="http://schemas.openxmlformats.org/officeDocument/2006/relationships/ctrlProp" Target="../ctrlProps/ctrlProp572.xml"/><Relationship Id="rId171" Type="http://schemas.openxmlformats.org/officeDocument/2006/relationships/ctrlProp" Target="../ctrlProps/ctrlProp169.xml"/><Relationship Id="rId227" Type="http://schemas.openxmlformats.org/officeDocument/2006/relationships/ctrlProp" Target="../ctrlProps/ctrlProp225.xml"/><Relationship Id="rId269" Type="http://schemas.openxmlformats.org/officeDocument/2006/relationships/ctrlProp" Target="../ctrlProps/ctrlProp267.xml"/><Relationship Id="rId434" Type="http://schemas.openxmlformats.org/officeDocument/2006/relationships/ctrlProp" Target="../ctrlProps/ctrlProp432.xml"/><Relationship Id="rId476" Type="http://schemas.openxmlformats.org/officeDocument/2006/relationships/ctrlProp" Target="../ctrlProps/ctrlProp474.xml"/><Relationship Id="rId33" Type="http://schemas.openxmlformats.org/officeDocument/2006/relationships/ctrlProp" Target="../ctrlProps/ctrlProp31.xml"/><Relationship Id="rId129" Type="http://schemas.openxmlformats.org/officeDocument/2006/relationships/ctrlProp" Target="../ctrlProps/ctrlProp127.xml"/><Relationship Id="rId280" Type="http://schemas.openxmlformats.org/officeDocument/2006/relationships/ctrlProp" Target="../ctrlProps/ctrlProp278.xml"/><Relationship Id="rId336" Type="http://schemas.openxmlformats.org/officeDocument/2006/relationships/ctrlProp" Target="../ctrlProps/ctrlProp334.xml"/><Relationship Id="rId501" Type="http://schemas.openxmlformats.org/officeDocument/2006/relationships/ctrlProp" Target="../ctrlProps/ctrlProp499.xml"/><Relationship Id="rId543" Type="http://schemas.openxmlformats.org/officeDocument/2006/relationships/ctrlProp" Target="../ctrlProps/ctrlProp541.xml"/><Relationship Id="rId75" Type="http://schemas.openxmlformats.org/officeDocument/2006/relationships/ctrlProp" Target="../ctrlProps/ctrlProp73.xml"/><Relationship Id="rId140" Type="http://schemas.openxmlformats.org/officeDocument/2006/relationships/ctrlProp" Target="../ctrlProps/ctrlProp138.xml"/><Relationship Id="rId182" Type="http://schemas.openxmlformats.org/officeDocument/2006/relationships/ctrlProp" Target="../ctrlProps/ctrlProp180.xml"/><Relationship Id="rId378" Type="http://schemas.openxmlformats.org/officeDocument/2006/relationships/ctrlProp" Target="../ctrlProps/ctrlProp376.xml"/><Relationship Id="rId403" Type="http://schemas.openxmlformats.org/officeDocument/2006/relationships/ctrlProp" Target="../ctrlProps/ctrlProp401.xml"/><Relationship Id="rId585" Type="http://schemas.openxmlformats.org/officeDocument/2006/relationships/ctrlProp" Target="../ctrlProps/ctrlProp583.xml"/><Relationship Id="rId6" Type="http://schemas.openxmlformats.org/officeDocument/2006/relationships/ctrlProp" Target="../ctrlProps/ctrlProp4.xml"/><Relationship Id="rId238" Type="http://schemas.openxmlformats.org/officeDocument/2006/relationships/ctrlProp" Target="../ctrlProps/ctrlProp236.xml"/><Relationship Id="rId445" Type="http://schemas.openxmlformats.org/officeDocument/2006/relationships/ctrlProp" Target="../ctrlProps/ctrlProp443.xml"/><Relationship Id="rId487" Type="http://schemas.openxmlformats.org/officeDocument/2006/relationships/ctrlProp" Target="../ctrlProps/ctrlProp485.xml"/><Relationship Id="rId610" Type="http://schemas.openxmlformats.org/officeDocument/2006/relationships/ctrlProp" Target="../ctrlProps/ctrlProp608.xml"/><Relationship Id="rId291" Type="http://schemas.openxmlformats.org/officeDocument/2006/relationships/ctrlProp" Target="../ctrlProps/ctrlProp289.xml"/><Relationship Id="rId305" Type="http://schemas.openxmlformats.org/officeDocument/2006/relationships/ctrlProp" Target="../ctrlProps/ctrlProp303.xml"/><Relationship Id="rId347" Type="http://schemas.openxmlformats.org/officeDocument/2006/relationships/ctrlProp" Target="../ctrlProps/ctrlProp345.xml"/><Relationship Id="rId512" Type="http://schemas.openxmlformats.org/officeDocument/2006/relationships/ctrlProp" Target="../ctrlProps/ctrlProp510.xml"/><Relationship Id="rId44" Type="http://schemas.openxmlformats.org/officeDocument/2006/relationships/ctrlProp" Target="../ctrlProps/ctrlProp42.xml"/><Relationship Id="rId86" Type="http://schemas.openxmlformats.org/officeDocument/2006/relationships/ctrlProp" Target="../ctrlProps/ctrlProp84.xml"/><Relationship Id="rId151" Type="http://schemas.openxmlformats.org/officeDocument/2006/relationships/ctrlProp" Target="../ctrlProps/ctrlProp149.xml"/><Relationship Id="rId389" Type="http://schemas.openxmlformats.org/officeDocument/2006/relationships/ctrlProp" Target="../ctrlProps/ctrlProp387.xml"/><Relationship Id="rId554" Type="http://schemas.openxmlformats.org/officeDocument/2006/relationships/ctrlProp" Target="../ctrlProps/ctrlProp552.xml"/><Relationship Id="rId596" Type="http://schemas.openxmlformats.org/officeDocument/2006/relationships/ctrlProp" Target="../ctrlProps/ctrlProp594.xml"/><Relationship Id="rId193" Type="http://schemas.openxmlformats.org/officeDocument/2006/relationships/ctrlProp" Target="../ctrlProps/ctrlProp191.xml"/><Relationship Id="rId207" Type="http://schemas.openxmlformats.org/officeDocument/2006/relationships/ctrlProp" Target="../ctrlProps/ctrlProp205.xml"/><Relationship Id="rId249" Type="http://schemas.openxmlformats.org/officeDocument/2006/relationships/ctrlProp" Target="../ctrlProps/ctrlProp247.xml"/><Relationship Id="rId414" Type="http://schemas.openxmlformats.org/officeDocument/2006/relationships/ctrlProp" Target="../ctrlProps/ctrlProp412.xml"/><Relationship Id="rId456" Type="http://schemas.openxmlformats.org/officeDocument/2006/relationships/ctrlProp" Target="../ctrlProps/ctrlProp454.xml"/><Relationship Id="rId498" Type="http://schemas.openxmlformats.org/officeDocument/2006/relationships/ctrlProp" Target="../ctrlProps/ctrlProp496.xml"/><Relationship Id="rId13" Type="http://schemas.openxmlformats.org/officeDocument/2006/relationships/ctrlProp" Target="../ctrlProps/ctrlProp11.xml"/><Relationship Id="rId109" Type="http://schemas.openxmlformats.org/officeDocument/2006/relationships/ctrlProp" Target="../ctrlProps/ctrlProp107.xml"/><Relationship Id="rId260" Type="http://schemas.openxmlformats.org/officeDocument/2006/relationships/ctrlProp" Target="../ctrlProps/ctrlProp258.xml"/><Relationship Id="rId316" Type="http://schemas.openxmlformats.org/officeDocument/2006/relationships/ctrlProp" Target="../ctrlProps/ctrlProp314.xml"/><Relationship Id="rId523" Type="http://schemas.openxmlformats.org/officeDocument/2006/relationships/ctrlProp" Target="../ctrlProps/ctrlProp521.xml"/><Relationship Id="rId55" Type="http://schemas.openxmlformats.org/officeDocument/2006/relationships/ctrlProp" Target="../ctrlProps/ctrlProp53.xml"/><Relationship Id="rId97" Type="http://schemas.openxmlformats.org/officeDocument/2006/relationships/ctrlProp" Target="../ctrlProps/ctrlProp95.xml"/><Relationship Id="rId120" Type="http://schemas.openxmlformats.org/officeDocument/2006/relationships/ctrlProp" Target="../ctrlProps/ctrlProp118.xml"/><Relationship Id="rId358" Type="http://schemas.openxmlformats.org/officeDocument/2006/relationships/ctrlProp" Target="../ctrlProps/ctrlProp356.xml"/><Relationship Id="rId565" Type="http://schemas.openxmlformats.org/officeDocument/2006/relationships/ctrlProp" Target="../ctrlProps/ctrlProp563.xml"/><Relationship Id="rId162" Type="http://schemas.openxmlformats.org/officeDocument/2006/relationships/ctrlProp" Target="../ctrlProps/ctrlProp160.xml"/><Relationship Id="rId218" Type="http://schemas.openxmlformats.org/officeDocument/2006/relationships/ctrlProp" Target="../ctrlProps/ctrlProp216.xml"/><Relationship Id="rId425" Type="http://schemas.openxmlformats.org/officeDocument/2006/relationships/ctrlProp" Target="../ctrlProps/ctrlProp423.xml"/><Relationship Id="rId467" Type="http://schemas.openxmlformats.org/officeDocument/2006/relationships/ctrlProp" Target="../ctrlProps/ctrlProp465.xml"/><Relationship Id="rId271" Type="http://schemas.openxmlformats.org/officeDocument/2006/relationships/ctrlProp" Target="../ctrlProps/ctrlProp269.xml"/><Relationship Id="rId24" Type="http://schemas.openxmlformats.org/officeDocument/2006/relationships/ctrlProp" Target="../ctrlProps/ctrlProp22.xml"/><Relationship Id="rId66" Type="http://schemas.openxmlformats.org/officeDocument/2006/relationships/ctrlProp" Target="../ctrlProps/ctrlProp64.xml"/><Relationship Id="rId131" Type="http://schemas.openxmlformats.org/officeDocument/2006/relationships/ctrlProp" Target="../ctrlProps/ctrlProp129.xml"/><Relationship Id="rId327" Type="http://schemas.openxmlformats.org/officeDocument/2006/relationships/ctrlProp" Target="../ctrlProps/ctrlProp325.xml"/><Relationship Id="rId369" Type="http://schemas.openxmlformats.org/officeDocument/2006/relationships/ctrlProp" Target="../ctrlProps/ctrlProp367.xml"/><Relationship Id="rId534" Type="http://schemas.openxmlformats.org/officeDocument/2006/relationships/ctrlProp" Target="../ctrlProps/ctrlProp532.xml"/><Relationship Id="rId576" Type="http://schemas.openxmlformats.org/officeDocument/2006/relationships/ctrlProp" Target="../ctrlProps/ctrlProp574.xml"/><Relationship Id="rId173" Type="http://schemas.openxmlformats.org/officeDocument/2006/relationships/ctrlProp" Target="../ctrlProps/ctrlProp171.xml"/><Relationship Id="rId229" Type="http://schemas.openxmlformats.org/officeDocument/2006/relationships/ctrlProp" Target="../ctrlProps/ctrlProp227.xml"/><Relationship Id="rId380" Type="http://schemas.openxmlformats.org/officeDocument/2006/relationships/ctrlProp" Target="../ctrlProps/ctrlProp378.xml"/><Relationship Id="rId436" Type="http://schemas.openxmlformats.org/officeDocument/2006/relationships/ctrlProp" Target="../ctrlProps/ctrlProp434.xml"/><Relationship Id="rId601" Type="http://schemas.openxmlformats.org/officeDocument/2006/relationships/ctrlProp" Target="../ctrlProps/ctrlProp599.xml"/><Relationship Id="rId240" Type="http://schemas.openxmlformats.org/officeDocument/2006/relationships/ctrlProp" Target="../ctrlProps/ctrlProp238.xml"/><Relationship Id="rId478" Type="http://schemas.openxmlformats.org/officeDocument/2006/relationships/ctrlProp" Target="../ctrlProps/ctrlProp476.xml"/><Relationship Id="rId35" Type="http://schemas.openxmlformats.org/officeDocument/2006/relationships/ctrlProp" Target="../ctrlProps/ctrlProp33.xml"/><Relationship Id="rId77" Type="http://schemas.openxmlformats.org/officeDocument/2006/relationships/ctrlProp" Target="../ctrlProps/ctrlProp75.xml"/><Relationship Id="rId100" Type="http://schemas.openxmlformats.org/officeDocument/2006/relationships/ctrlProp" Target="../ctrlProps/ctrlProp98.xml"/><Relationship Id="rId282" Type="http://schemas.openxmlformats.org/officeDocument/2006/relationships/ctrlProp" Target="../ctrlProps/ctrlProp280.xml"/><Relationship Id="rId338" Type="http://schemas.openxmlformats.org/officeDocument/2006/relationships/ctrlProp" Target="../ctrlProps/ctrlProp336.xml"/><Relationship Id="rId503" Type="http://schemas.openxmlformats.org/officeDocument/2006/relationships/ctrlProp" Target="../ctrlProps/ctrlProp501.xml"/><Relationship Id="rId545" Type="http://schemas.openxmlformats.org/officeDocument/2006/relationships/ctrlProp" Target="../ctrlProps/ctrlProp543.xml"/><Relationship Id="rId587" Type="http://schemas.openxmlformats.org/officeDocument/2006/relationships/ctrlProp" Target="../ctrlProps/ctrlProp585.xml"/><Relationship Id="rId8" Type="http://schemas.openxmlformats.org/officeDocument/2006/relationships/ctrlProp" Target="../ctrlProps/ctrlProp6.xml"/><Relationship Id="rId142" Type="http://schemas.openxmlformats.org/officeDocument/2006/relationships/ctrlProp" Target="../ctrlProps/ctrlProp140.xml"/><Relationship Id="rId184" Type="http://schemas.openxmlformats.org/officeDocument/2006/relationships/ctrlProp" Target="../ctrlProps/ctrlProp182.xml"/><Relationship Id="rId391" Type="http://schemas.openxmlformats.org/officeDocument/2006/relationships/ctrlProp" Target="../ctrlProps/ctrlProp389.xml"/><Relationship Id="rId405" Type="http://schemas.openxmlformats.org/officeDocument/2006/relationships/ctrlProp" Target="../ctrlProps/ctrlProp403.xml"/><Relationship Id="rId447" Type="http://schemas.openxmlformats.org/officeDocument/2006/relationships/ctrlProp" Target="../ctrlProps/ctrlProp445.xml"/><Relationship Id="rId612" Type="http://schemas.openxmlformats.org/officeDocument/2006/relationships/ctrlProp" Target="../ctrlProps/ctrlProp610.xml"/><Relationship Id="rId251" Type="http://schemas.openxmlformats.org/officeDocument/2006/relationships/ctrlProp" Target="../ctrlProps/ctrlProp249.xml"/><Relationship Id="rId489" Type="http://schemas.openxmlformats.org/officeDocument/2006/relationships/ctrlProp" Target="../ctrlProps/ctrlProp487.xml"/><Relationship Id="rId46" Type="http://schemas.openxmlformats.org/officeDocument/2006/relationships/ctrlProp" Target="../ctrlProps/ctrlProp44.xml"/><Relationship Id="rId293" Type="http://schemas.openxmlformats.org/officeDocument/2006/relationships/ctrlProp" Target="../ctrlProps/ctrlProp291.xml"/><Relationship Id="rId307" Type="http://schemas.openxmlformats.org/officeDocument/2006/relationships/ctrlProp" Target="../ctrlProps/ctrlProp305.xml"/><Relationship Id="rId349" Type="http://schemas.openxmlformats.org/officeDocument/2006/relationships/ctrlProp" Target="../ctrlProps/ctrlProp347.xml"/><Relationship Id="rId514" Type="http://schemas.openxmlformats.org/officeDocument/2006/relationships/ctrlProp" Target="../ctrlProps/ctrlProp512.xml"/><Relationship Id="rId556" Type="http://schemas.openxmlformats.org/officeDocument/2006/relationships/ctrlProp" Target="../ctrlProps/ctrlProp554.xml"/><Relationship Id="rId88" Type="http://schemas.openxmlformats.org/officeDocument/2006/relationships/ctrlProp" Target="../ctrlProps/ctrlProp86.xml"/><Relationship Id="rId111" Type="http://schemas.openxmlformats.org/officeDocument/2006/relationships/ctrlProp" Target="../ctrlProps/ctrlProp109.xml"/><Relationship Id="rId153" Type="http://schemas.openxmlformats.org/officeDocument/2006/relationships/ctrlProp" Target="../ctrlProps/ctrlProp151.xml"/><Relationship Id="rId195" Type="http://schemas.openxmlformats.org/officeDocument/2006/relationships/ctrlProp" Target="../ctrlProps/ctrlProp193.xml"/><Relationship Id="rId209" Type="http://schemas.openxmlformats.org/officeDocument/2006/relationships/ctrlProp" Target="../ctrlProps/ctrlProp207.xml"/><Relationship Id="rId360" Type="http://schemas.openxmlformats.org/officeDocument/2006/relationships/ctrlProp" Target="../ctrlProps/ctrlProp358.xml"/><Relationship Id="rId416" Type="http://schemas.openxmlformats.org/officeDocument/2006/relationships/ctrlProp" Target="../ctrlProps/ctrlProp414.xml"/><Relationship Id="rId598" Type="http://schemas.openxmlformats.org/officeDocument/2006/relationships/ctrlProp" Target="../ctrlProps/ctrlProp596.xml"/><Relationship Id="rId220" Type="http://schemas.openxmlformats.org/officeDocument/2006/relationships/ctrlProp" Target="../ctrlProps/ctrlProp218.xml"/><Relationship Id="rId458" Type="http://schemas.openxmlformats.org/officeDocument/2006/relationships/ctrlProp" Target="../ctrlProps/ctrlProp456.xml"/><Relationship Id="rId15" Type="http://schemas.openxmlformats.org/officeDocument/2006/relationships/ctrlProp" Target="../ctrlProps/ctrlProp13.xml"/><Relationship Id="rId57" Type="http://schemas.openxmlformats.org/officeDocument/2006/relationships/ctrlProp" Target="../ctrlProps/ctrlProp55.xml"/><Relationship Id="rId262" Type="http://schemas.openxmlformats.org/officeDocument/2006/relationships/ctrlProp" Target="../ctrlProps/ctrlProp260.xml"/><Relationship Id="rId318" Type="http://schemas.openxmlformats.org/officeDocument/2006/relationships/ctrlProp" Target="../ctrlProps/ctrlProp316.xml"/><Relationship Id="rId525" Type="http://schemas.openxmlformats.org/officeDocument/2006/relationships/ctrlProp" Target="../ctrlProps/ctrlProp523.xml"/><Relationship Id="rId567" Type="http://schemas.openxmlformats.org/officeDocument/2006/relationships/ctrlProp" Target="../ctrlProps/ctrlProp565.xml"/><Relationship Id="rId99" Type="http://schemas.openxmlformats.org/officeDocument/2006/relationships/ctrlProp" Target="../ctrlProps/ctrlProp97.xml"/><Relationship Id="rId122" Type="http://schemas.openxmlformats.org/officeDocument/2006/relationships/ctrlProp" Target="../ctrlProps/ctrlProp120.xml"/><Relationship Id="rId164" Type="http://schemas.openxmlformats.org/officeDocument/2006/relationships/ctrlProp" Target="../ctrlProps/ctrlProp162.xml"/><Relationship Id="rId371" Type="http://schemas.openxmlformats.org/officeDocument/2006/relationships/ctrlProp" Target="../ctrlProps/ctrlProp369.xml"/><Relationship Id="rId427" Type="http://schemas.openxmlformats.org/officeDocument/2006/relationships/ctrlProp" Target="../ctrlProps/ctrlProp425.xml"/><Relationship Id="rId469" Type="http://schemas.openxmlformats.org/officeDocument/2006/relationships/ctrlProp" Target="../ctrlProps/ctrlProp467.xml"/><Relationship Id="rId26" Type="http://schemas.openxmlformats.org/officeDocument/2006/relationships/ctrlProp" Target="../ctrlProps/ctrlProp24.xml"/><Relationship Id="rId231" Type="http://schemas.openxmlformats.org/officeDocument/2006/relationships/ctrlProp" Target="../ctrlProps/ctrlProp229.xml"/><Relationship Id="rId273" Type="http://schemas.openxmlformats.org/officeDocument/2006/relationships/ctrlProp" Target="../ctrlProps/ctrlProp271.xml"/><Relationship Id="rId329" Type="http://schemas.openxmlformats.org/officeDocument/2006/relationships/ctrlProp" Target="../ctrlProps/ctrlProp327.xml"/><Relationship Id="rId480" Type="http://schemas.openxmlformats.org/officeDocument/2006/relationships/ctrlProp" Target="../ctrlProps/ctrlProp478.xml"/><Relationship Id="rId536" Type="http://schemas.openxmlformats.org/officeDocument/2006/relationships/ctrlProp" Target="../ctrlProps/ctrlProp534.xml"/><Relationship Id="rId68" Type="http://schemas.openxmlformats.org/officeDocument/2006/relationships/ctrlProp" Target="../ctrlProps/ctrlProp66.xml"/><Relationship Id="rId133" Type="http://schemas.openxmlformats.org/officeDocument/2006/relationships/ctrlProp" Target="../ctrlProps/ctrlProp131.xml"/><Relationship Id="rId175" Type="http://schemas.openxmlformats.org/officeDocument/2006/relationships/ctrlProp" Target="../ctrlProps/ctrlProp173.xml"/><Relationship Id="rId340" Type="http://schemas.openxmlformats.org/officeDocument/2006/relationships/ctrlProp" Target="../ctrlProps/ctrlProp338.xml"/><Relationship Id="rId578" Type="http://schemas.openxmlformats.org/officeDocument/2006/relationships/ctrlProp" Target="../ctrlProps/ctrlProp576.xml"/><Relationship Id="rId200" Type="http://schemas.openxmlformats.org/officeDocument/2006/relationships/ctrlProp" Target="../ctrlProps/ctrlProp198.xml"/><Relationship Id="rId382" Type="http://schemas.openxmlformats.org/officeDocument/2006/relationships/ctrlProp" Target="../ctrlProps/ctrlProp380.xml"/><Relationship Id="rId438" Type="http://schemas.openxmlformats.org/officeDocument/2006/relationships/ctrlProp" Target="../ctrlProps/ctrlProp436.xml"/><Relationship Id="rId603" Type="http://schemas.openxmlformats.org/officeDocument/2006/relationships/ctrlProp" Target="../ctrlProps/ctrlProp601.xml"/><Relationship Id="rId242" Type="http://schemas.openxmlformats.org/officeDocument/2006/relationships/ctrlProp" Target="../ctrlProps/ctrlProp240.xml"/><Relationship Id="rId284" Type="http://schemas.openxmlformats.org/officeDocument/2006/relationships/ctrlProp" Target="../ctrlProps/ctrlProp282.xml"/><Relationship Id="rId491" Type="http://schemas.openxmlformats.org/officeDocument/2006/relationships/ctrlProp" Target="../ctrlProps/ctrlProp489.xml"/><Relationship Id="rId505" Type="http://schemas.openxmlformats.org/officeDocument/2006/relationships/ctrlProp" Target="../ctrlProps/ctrlProp503.xml"/><Relationship Id="rId37" Type="http://schemas.openxmlformats.org/officeDocument/2006/relationships/ctrlProp" Target="../ctrlProps/ctrlProp35.xml"/><Relationship Id="rId79" Type="http://schemas.openxmlformats.org/officeDocument/2006/relationships/ctrlProp" Target="../ctrlProps/ctrlProp77.xml"/><Relationship Id="rId102" Type="http://schemas.openxmlformats.org/officeDocument/2006/relationships/ctrlProp" Target="../ctrlProps/ctrlProp100.xml"/><Relationship Id="rId144" Type="http://schemas.openxmlformats.org/officeDocument/2006/relationships/ctrlProp" Target="../ctrlProps/ctrlProp142.xml"/><Relationship Id="rId547" Type="http://schemas.openxmlformats.org/officeDocument/2006/relationships/ctrlProp" Target="../ctrlProps/ctrlProp545.xml"/><Relationship Id="rId589" Type="http://schemas.openxmlformats.org/officeDocument/2006/relationships/ctrlProp" Target="../ctrlProps/ctrlProp587.xml"/><Relationship Id="rId90" Type="http://schemas.openxmlformats.org/officeDocument/2006/relationships/ctrlProp" Target="../ctrlProps/ctrlProp88.xml"/><Relationship Id="rId186" Type="http://schemas.openxmlformats.org/officeDocument/2006/relationships/ctrlProp" Target="../ctrlProps/ctrlProp184.xml"/><Relationship Id="rId351" Type="http://schemas.openxmlformats.org/officeDocument/2006/relationships/ctrlProp" Target="../ctrlProps/ctrlProp349.xml"/><Relationship Id="rId393" Type="http://schemas.openxmlformats.org/officeDocument/2006/relationships/ctrlProp" Target="../ctrlProps/ctrlProp391.xml"/><Relationship Id="rId407" Type="http://schemas.openxmlformats.org/officeDocument/2006/relationships/ctrlProp" Target="../ctrlProps/ctrlProp405.xml"/><Relationship Id="rId449" Type="http://schemas.openxmlformats.org/officeDocument/2006/relationships/ctrlProp" Target="../ctrlProps/ctrlProp447.xml"/><Relationship Id="rId614" Type="http://schemas.openxmlformats.org/officeDocument/2006/relationships/ctrlProp" Target="../ctrlProps/ctrlProp612.xml"/><Relationship Id="rId211" Type="http://schemas.openxmlformats.org/officeDocument/2006/relationships/ctrlProp" Target="../ctrlProps/ctrlProp209.xml"/><Relationship Id="rId253" Type="http://schemas.openxmlformats.org/officeDocument/2006/relationships/ctrlProp" Target="../ctrlProps/ctrlProp251.xml"/><Relationship Id="rId295" Type="http://schemas.openxmlformats.org/officeDocument/2006/relationships/ctrlProp" Target="../ctrlProps/ctrlProp293.xml"/><Relationship Id="rId309" Type="http://schemas.openxmlformats.org/officeDocument/2006/relationships/ctrlProp" Target="../ctrlProps/ctrlProp307.xml"/><Relationship Id="rId460" Type="http://schemas.openxmlformats.org/officeDocument/2006/relationships/ctrlProp" Target="../ctrlProps/ctrlProp458.xml"/><Relationship Id="rId516" Type="http://schemas.openxmlformats.org/officeDocument/2006/relationships/ctrlProp" Target="../ctrlProps/ctrlProp514.xml"/><Relationship Id="rId48" Type="http://schemas.openxmlformats.org/officeDocument/2006/relationships/ctrlProp" Target="../ctrlProps/ctrlProp46.xml"/><Relationship Id="rId113" Type="http://schemas.openxmlformats.org/officeDocument/2006/relationships/ctrlProp" Target="../ctrlProps/ctrlProp111.xml"/><Relationship Id="rId320" Type="http://schemas.openxmlformats.org/officeDocument/2006/relationships/ctrlProp" Target="../ctrlProps/ctrlProp318.xml"/><Relationship Id="rId558" Type="http://schemas.openxmlformats.org/officeDocument/2006/relationships/ctrlProp" Target="../ctrlProps/ctrlProp556.xml"/><Relationship Id="rId155" Type="http://schemas.openxmlformats.org/officeDocument/2006/relationships/ctrlProp" Target="../ctrlProps/ctrlProp153.xml"/><Relationship Id="rId197" Type="http://schemas.openxmlformats.org/officeDocument/2006/relationships/ctrlProp" Target="../ctrlProps/ctrlProp195.xml"/><Relationship Id="rId362" Type="http://schemas.openxmlformats.org/officeDocument/2006/relationships/ctrlProp" Target="../ctrlProps/ctrlProp360.xml"/><Relationship Id="rId418" Type="http://schemas.openxmlformats.org/officeDocument/2006/relationships/ctrlProp" Target="../ctrlProps/ctrlProp416.xml"/><Relationship Id="rId222" Type="http://schemas.openxmlformats.org/officeDocument/2006/relationships/ctrlProp" Target="../ctrlProps/ctrlProp220.xml"/><Relationship Id="rId264" Type="http://schemas.openxmlformats.org/officeDocument/2006/relationships/ctrlProp" Target="../ctrlProps/ctrlProp262.xml"/><Relationship Id="rId471" Type="http://schemas.openxmlformats.org/officeDocument/2006/relationships/ctrlProp" Target="../ctrlProps/ctrlProp469.xml"/><Relationship Id="rId17" Type="http://schemas.openxmlformats.org/officeDocument/2006/relationships/ctrlProp" Target="../ctrlProps/ctrlProp15.xml"/><Relationship Id="rId59" Type="http://schemas.openxmlformats.org/officeDocument/2006/relationships/ctrlProp" Target="../ctrlProps/ctrlProp57.xml"/><Relationship Id="rId124" Type="http://schemas.openxmlformats.org/officeDocument/2006/relationships/ctrlProp" Target="../ctrlProps/ctrlProp122.xml"/><Relationship Id="rId527" Type="http://schemas.openxmlformats.org/officeDocument/2006/relationships/ctrlProp" Target="../ctrlProps/ctrlProp525.xml"/><Relationship Id="rId569" Type="http://schemas.openxmlformats.org/officeDocument/2006/relationships/ctrlProp" Target="../ctrlProps/ctrlProp567.xml"/><Relationship Id="rId70" Type="http://schemas.openxmlformats.org/officeDocument/2006/relationships/ctrlProp" Target="../ctrlProps/ctrlProp68.xml"/><Relationship Id="rId166" Type="http://schemas.openxmlformats.org/officeDocument/2006/relationships/ctrlProp" Target="../ctrlProps/ctrlProp164.xml"/><Relationship Id="rId331" Type="http://schemas.openxmlformats.org/officeDocument/2006/relationships/ctrlProp" Target="../ctrlProps/ctrlProp329.xml"/><Relationship Id="rId373" Type="http://schemas.openxmlformats.org/officeDocument/2006/relationships/ctrlProp" Target="../ctrlProps/ctrlProp371.xml"/><Relationship Id="rId429" Type="http://schemas.openxmlformats.org/officeDocument/2006/relationships/ctrlProp" Target="../ctrlProps/ctrlProp427.xml"/><Relationship Id="rId580" Type="http://schemas.openxmlformats.org/officeDocument/2006/relationships/ctrlProp" Target="../ctrlProps/ctrlProp578.xml"/><Relationship Id="rId1" Type="http://schemas.openxmlformats.org/officeDocument/2006/relationships/drawing" Target="../drawings/drawing1.xml"/><Relationship Id="rId233" Type="http://schemas.openxmlformats.org/officeDocument/2006/relationships/ctrlProp" Target="../ctrlProps/ctrlProp231.xml"/><Relationship Id="rId440" Type="http://schemas.openxmlformats.org/officeDocument/2006/relationships/ctrlProp" Target="../ctrlProps/ctrlProp438.xml"/><Relationship Id="rId28" Type="http://schemas.openxmlformats.org/officeDocument/2006/relationships/ctrlProp" Target="../ctrlProps/ctrlProp26.xml"/><Relationship Id="rId275" Type="http://schemas.openxmlformats.org/officeDocument/2006/relationships/ctrlProp" Target="../ctrlProps/ctrlProp273.xml"/><Relationship Id="rId300" Type="http://schemas.openxmlformats.org/officeDocument/2006/relationships/ctrlProp" Target="../ctrlProps/ctrlProp298.xml"/><Relationship Id="rId482" Type="http://schemas.openxmlformats.org/officeDocument/2006/relationships/ctrlProp" Target="../ctrlProps/ctrlProp480.xml"/><Relationship Id="rId538" Type="http://schemas.openxmlformats.org/officeDocument/2006/relationships/ctrlProp" Target="../ctrlProps/ctrlProp536.xml"/><Relationship Id="rId81" Type="http://schemas.openxmlformats.org/officeDocument/2006/relationships/ctrlProp" Target="../ctrlProps/ctrlProp79.xml"/><Relationship Id="rId135" Type="http://schemas.openxmlformats.org/officeDocument/2006/relationships/ctrlProp" Target="../ctrlProps/ctrlProp133.xml"/><Relationship Id="rId177" Type="http://schemas.openxmlformats.org/officeDocument/2006/relationships/ctrlProp" Target="../ctrlProps/ctrlProp175.xml"/><Relationship Id="rId342" Type="http://schemas.openxmlformats.org/officeDocument/2006/relationships/ctrlProp" Target="../ctrlProps/ctrlProp340.xml"/><Relationship Id="rId384" Type="http://schemas.openxmlformats.org/officeDocument/2006/relationships/ctrlProp" Target="../ctrlProps/ctrlProp382.xml"/><Relationship Id="rId591" Type="http://schemas.openxmlformats.org/officeDocument/2006/relationships/ctrlProp" Target="../ctrlProps/ctrlProp589.xml"/><Relationship Id="rId605" Type="http://schemas.openxmlformats.org/officeDocument/2006/relationships/ctrlProp" Target="../ctrlProps/ctrlProp603.xml"/><Relationship Id="rId202" Type="http://schemas.openxmlformats.org/officeDocument/2006/relationships/ctrlProp" Target="../ctrlProps/ctrlProp200.xml"/><Relationship Id="rId244" Type="http://schemas.openxmlformats.org/officeDocument/2006/relationships/ctrlProp" Target="../ctrlProps/ctrlProp242.xml"/><Relationship Id="rId39" Type="http://schemas.openxmlformats.org/officeDocument/2006/relationships/ctrlProp" Target="../ctrlProps/ctrlProp37.xml"/><Relationship Id="rId286" Type="http://schemas.openxmlformats.org/officeDocument/2006/relationships/ctrlProp" Target="../ctrlProps/ctrlProp284.xml"/><Relationship Id="rId451" Type="http://schemas.openxmlformats.org/officeDocument/2006/relationships/ctrlProp" Target="../ctrlProps/ctrlProp449.xml"/><Relationship Id="rId493" Type="http://schemas.openxmlformats.org/officeDocument/2006/relationships/ctrlProp" Target="../ctrlProps/ctrlProp491.xml"/><Relationship Id="rId507" Type="http://schemas.openxmlformats.org/officeDocument/2006/relationships/ctrlProp" Target="../ctrlProps/ctrlProp505.xml"/><Relationship Id="rId549" Type="http://schemas.openxmlformats.org/officeDocument/2006/relationships/ctrlProp" Target="../ctrlProps/ctrlProp547.xml"/><Relationship Id="rId50" Type="http://schemas.openxmlformats.org/officeDocument/2006/relationships/ctrlProp" Target="../ctrlProps/ctrlProp48.xml"/><Relationship Id="rId104" Type="http://schemas.openxmlformats.org/officeDocument/2006/relationships/ctrlProp" Target="../ctrlProps/ctrlProp102.xml"/><Relationship Id="rId146" Type="http://schemas.openxmlformats.org/officeDocument/2006/relationships/ctrlProp" Target="../ctrlProps/ctrlProp144.xml"/><Relationship Id="rId188" Type="http://schemas.openxmlformats.org/officeDocument/2006/relationships/ctrlProp" Target="../ctrlProps/ctrlProp186.xml"/><Relationship Id="rId311" Type="http://schemas.openxmlformats.org/officeDocument/2006/relationships/ctrlProp" Target="../ctrlProps/ctrlProp309.xml"/><Relationship Id="rId353" Type="http://schemas.openxmlformats.org/officeDocument/2006/relationships/ctrlProp" Target="../ctrlProps/ctrlProp351.xml"/><Relationship Id="rId395" Type="http://schemas.openxmlformats.org/officeDocument/2006/relationships/ctrlProp" Target="../ctrlProps/ctrlProp393.xml"/><Relationship Id="rId409" Type="http://schemas.openxmlformats.org/officeDocument/2006/relationships/ctrlProp" Target="../ctrlProps/ctrlProp407.xml"/><Relationship Id="rId560" Type="http://schemas.openxmlformats.org/officeDocument/2006/relationships/ctrlProp" Target="../ctrlProps/ctrlProp558.xml"/><Relationship Id="rId92" Type="http://schemas.openxmlformats.org/officeDocument/2006/relationships/ctrlProp" Target="../ctrlProps/ctrlProp90.xml"/><Relationship Id="rId213" Type="http://schemas.openxmlformats.org/officeDocument/2006/relationships/ctrlProp" Target="../ctrlProps/ctrlProp211.xml"/><Relationship Id="rId420" Type="http://schemas.openxmlformats.org/officeDocument/2006/relationships/ctrlProp" Target="../ctrlProps/ctrlProp418.xml"/><Relationship Id="rId616" Type="http://schemas.openxmlformats.org/officeDocument/2006/relationships/ctrlProp" Target="../ctrlProps/ctrlProp614.xml"/><Relationship Id="rId255" Type="http://schemas.openxmlformats.org/officeDocument/2006/relationships/ctrlProp" Target="../ctrlProps/ctrlProp253.xml"/><Relationship Id="rId297" Type="http://schemas.openxmlformats.org/officeDocument/2006/relationships/ctrlProp" Target="../ctrlProps/ctrlProp295.xml"/><Relationship Id="rId462" Type="http://schemas.openxmlformats.org/officeDocument/2006/relationships/ctrlProp" Target="../ctrlProps/ctrlProp460.xml"/><Relationship Id="rId518" Type="http://schemas.openxmlformats.org/officeDocument/2006/relationships/ctrlProp" Target="../ctrlProps/ctrlProp516.xml"/><Relationship Id="rId115" Type="http://schemas.openxmlformats.org/officeDocument/2006/relationships/ctrlProp" Target="../ctrlProps/ctrlProp113.xml"/><Relationship Id="rId157" Type="http://schemas.openxmlformats.org/officeDocument/2006/relationships/ctrlProp" Target="../ctrlProps/ctrlProp155.xml"/><Relationship Id="rId322" Type="http://schemas.openxmlformats.org/officeDocument/2006/relationships/ctrlProp" Target="../ctrlProps/ctrlProp320.xml"/><Relationship Id="rId364" Type="http://schemas.openxmlformats.org/officeDocument/2006/relationships/ctrlProp" Target="../ctrlProps/ctrlProp362.xml"/><Relationship Id="rId61" Type="http://schemas.openxmlformats.org/officeDocument/2006/relationships/ctrlProp" Target="../ctrlProps/ctrlProp59.xml"/><Relationship Id="rId199" Type="http://schemas.openxmlformats.org/officeDocument/2006/relationships/ctrlProp" Target="../ctrlProps/ctrlProp197.xml"/><Relationship Id="rId571" Type="http://schemas.openxmlformats.org/officeDocument/2006/relationships/ctrlProp" Target="../ctrlProps/ctrlProp569.xml"/><Relationship Id="rId19" Type="http://schemas.openxmlformats.org/officeDocument/2006/relationships/ctrlProp" Target="../ctrlProps/ctrlProp17.xml"/><Relationship Id="rId224" Type="http://schemas.openxmlformats.org/officeDocument/2006/relationships/ctrlProp" Target="../ctrlProps/ctrlProp222.xml"/><Relationship Id="rId266" Type="http://schemas.openxmlformats.org/officeDocument/2006/relationships/ctrlProp" Target="../ctrlProps/ctrlProp264.xml"/><Relationship Id="rId431" Type="http://schemas.openxmlformats.org/officeDocument/2006/relationships/ctrlProp" Target="../ctrlProps/ctrlProp429.xml"/><Relationship Id="rId473" Type="http://schemas.openxmlformats.org/officeDocument/2006/relationships/ctrlProp" Target="../ctrlProps/ctrlProp471.xml"/><Relationship Id="rId529" Type="http://schemas.openxmlformats.org/officeDocument/2006/relationships/ctrlProp" Target="../ctrlProps/ctrlProp527.xml"/><Relationship Id="rId30" Type="http://schemas.openxmlformats.org/officeDocument/2006/relationships/ctrlProp" Target="../ctrlProps/ctrlProp28.xml"/><Relationship Id="rId126" Type="http://schemas.openxmlformats.org/officeDocument/2006/relationships/ctrlProp" Target="../ctrlProps/ctrlProp124.xml"/><Relationship Id="rId168" Type="http://schemas.openxmlformats.org/officeDocument/2006/relationships/ctrlProp" Target="../ctrlProps/ctrlProp166.xml"/><Relationship Id="rId333" Type="http://schemas.openxmlformats.org/officeDocument/2006/relationships/ctrlProp" Target="../ctrlProps/ctrlProp331.xml"/><Relationship Id="rId540" Type="http://schemas.openxmlformats.org/officeDocument/2006/relationships/ctrlProp" Target="../ctrlProps/ctrlProp538.xml"/><Relationship Id="rId72" Type="http://schemas.openxmlformats.org/officeDocument/2006/relationships/ctrlProp" Target="../ctrlProps/ctrlProp70.xml"/><Relationship Id="rId375" Type="http://schemas.openxmlformats.org/officeDocument/2006/relationships/ctrlProp" Target="../ctrlProps/ctrlProp373.xml"/><Relationship Id="rId582" Type="http://schemas.openxmlformats.org/officeDocument/2006/relationships/ctrlProp" Target="../ctrlProps/ctrlProp580.xml"/><Relationship Id="rId3" Type="http://schemas.openxmlformats.org/officeDocument/2006/relationships/ctrlProp" Target="../ctrlProps/ctrlProp1.xml"/><Relationship Id="rId235" Type="http://schemas.openxmlformats.org/officeDocument/2006/relationships/ctrlProp" Target="../ctrlProps/ctrlProp233.xml"/><Relationship Id="rId277" Type="http://schemas.openxmlformats.org/officeDocument/2006/relationships/ctrlProp" Target="../ctrlProps/ctrlProp275.xml"/><Relationship Id="rId400" Type="http://schemas.openxmlformats.org/officeDocument/2006/relationships/ctrlProp" Target="../ctrlProps/ctrlProp398.xml"/><Relationship Id="rId442" Type="http://schemas.openxmlformats.org/officeDocument/2006/relationships/ctrlProp" Target="../ctrlProps/ctrlProp440.xml"/><Relationship Id="rId484" Type="http://schemas.openxmlformats.org/officeDocument/2006/relationships/ctrlProp" Target="../ctrlProps/ctrlProp482.xml"/><Relationship Id="rId137" Type="http://schemas.openxmlformats.org/officeDocument/2006/relationships/ctrlProp" Target="../ctrlProps/ctrlProp135.xml"/><Relationship Id="rId302" Type="http://schemas.openxmlformats.org/officeDocument/2006/relationships/ctrlProp" Target="../ctrlProps/ctrlProp300.xml"/><Relationship Id="rId344" Type="http://schemas.openxmlformats.org/officeDocument/2006/relationships/ctrlProp" Target="../ctrlProps/ctrlProp342.xml"/><Relationship Id="rId41" Type="http://schemas.openxmlformats.org/officeDocument/2006/relationships/ctrlProp" Target="../ctrlProps/ctrlProp39.xml"/><Relationship Id="rId83" Type="http://schemas.openxmlformats.org/officeDocument/2006/relationships/ctrlProp" Target="../ctrlProps/ctrlProp81.xml"/><Relationship Id="rId179" Type="http://schemas.openxmlformats.org/officeDocument/2006/relationships/ctrlProp" Target="../ctrlProps/ctrlProp177.xml"/><Relationship Id="rId386" Type="http://schemas.openxmlformats.org/officeDocument/2006/relationships/ctrlProp" Target="../ctrlProps/ctrlProp384.xml"/><Relationship Id="rId551" Type="http://schemas.openxmlformats.org/officeDocument/2006/relationships/ctrlProp" Target="../ctrlProps/ctrlProp549.xml"/><Relationship Id="rId593" Type="http://schemas.openxmlformats.org/officeDocument/2006/relationships/ctrlProp" Target="../ctrlProps/ctrlProp591.xml"/><Relationship Id="rId607" Type="http://schemas.openxmlformats.org/officeDocument/2006/relationships/ctrlProp" Target="../ctrlProps/ctrlProp605.xml"/><Relationship Id="rId190" Type="http://schemas.openxmlformats.org/officeDocument/2006/relationships/ctrlProp" Target="../ctrlProps/ctrlProp188.xml"/><Relationship Id="rId204" Type="http://schemas.openxmlformats.org/officeDocument/2006/relationships/ctrlProp" Target="../ctrlProps/ctrlProp202.xml"/><Relationship Id="rId246" Type="http://schemas.openxmlformats.org/officeDocument/2006/relationships/ctrlProp" Target="../ctrlProps/ctrlProp244.xml"/><Relationship Id="rId288" Type="http://schemas.openxmlformats.org/officeDocument/2006/relationships/ctrlProp" Target="../ctrlProps/ctrlProp286.xml"/><Relationship Id="rId411" Type="http://schemas.openxmlformats.org/officeDocument/2006/relationships/ctrlProp" Target="../ctrlProps/ctrlProp409.xml"/><Relationship Id="rId453" Type="http://schemas.openxmlformats.org/officeDocument/2006/relationships/ctrlProp" Target="../ctrlProps/ctrlProp451.xml"/><Relationship Id="rId509" Type="http://schemas.openxmlformats.org/officeDocument/2006/relationships/ctrlProp" Target="../ctrlProps/ctrlProp507.xml"/><Relationship Id="rId106" Type="http://schemas.openxmlformats.org/officeDocument/2006/relationships/ctrlProp" Target="../ctrlProps/ctrlProp104.xml"/><Relationship Id="rId313" Type="http://schemas.openxmlformats.org/officeDocument/2006/relationships/ctrlProp" Target="../ctrlProps/ctrlProp311.xml"/><Relationship Id="rId495" Type="http://schemas.openxmlformats.org/officeDocument/2006/relationships/ctrlProp" Target="../ctrlProps/ctrlProp493.xml"/><Relationship Id="rId10" Type="http://schemas.openxmlformats.org/officeDocument/2006/relationships/ctrlProp" Target="../ctrlProps/ctrlProp8.xml"/><Relationship Id="rId52" Type="http://schemas.openxmlformats.org/officeDocument/2006/relationships/ctrlProp" Target="../ctrlProps/ctrlProp50.xml"/><Relationship Id="rId94" Type="http://schemas.openxmlformats.org/officeDocument/2006/relationships/ctrlProp" Target="../ctrlProps/ctrlProp92.xml"/><Relationship Id="rId148" Type="http://schemas.openxmlformats.org/officeDocument/2006/relationships/ctrlProp" Target="../ctrlProps/ctrlProp146.xml"/><Relationship Id="rId355" Type="http://schemas.openxmlformats.org/officeDocument/2006/relationships/ctrlProp" Target="../ctrlProps/ctrlProp353.xml"/><Relationship Id="rId397" Type="http://schemas.openxmlformats.org/officeDocument/2006/relationships/ctrlProp" Target="../ctrlProps/ctrlProp395.xml"/><Relationship Id="rId520" Type="http://schemas.openxmlformats.org/officeDocument/2006/relationships/ctrlProp" Target="../ctrlProps/ctrlProp518.xml"/><Relationship Id="rId562" Type="http://schemas.openxmlformats.org/officeDocument/2006/relationships/ctrlProp" Target="../ctrlProps/ctrlProp560.xml"/><Relationship Id="rId215" Type="http://schemas.openxmlformats.org/officeDocument/2006/relationships/ctrlProp" Target="../ctrlProps/ctrlProp213.xml"/><Relationship Id="rId257" Type="http://schemas.openxmlformats.org/officeDocument/2006/relationships/ctrlProp" Target="../ctrlProps/ctrlProp255.xml"/><Relationship Id="rId422" Type="http://schemas.openxmlformats.org/officeDocument/2006/relationships/ctrlProp" Target="../ctrlProps/ctrlProp420.xml"/><Relationship Id="rId464" Type="http://schemas.openxmlformats.org/officeDocument/2006/relationships/ctrlProp" Target="../ctrlProps/ctrlProp462.xml"/><Relationship Id="rId299" Type="http://schemas.openxmlformats.org/officeDocument/2006/relationships/ctrlProp" Target="../ctrlProps/ctrlProp297.xml"/><Relationship Id="rId63" Type="http://schemas.openxmlformats.org/officeDocument/2006/relationships/ctrlProp" Target="../ctrlProps/ctrlProp61.xml"/><Relationship Id="rId159" Type="http://schemas.openxmlformats.org/officeDocument/2006/relationships/ctrlProp" Target="../ctrlProps/ctrlProp157.xml"/><Relationship Id="rId366" Type="http://schemas.openxmlformats.org/officeDocument/2006/relationships/ctrlProp" Target="../ctrlProps/ctrlProp364.xml"/><Relationship Id="rId573" Type="http://schemas.openxmlformats.org/officeDocument/2006/relationships/ctrlProp" Target="../ctrlProps/ctrlProp571.xml"/><Relationship Id="rId226" Type="http://schemas.openxmlformats.org/officeDocument/2006/relationships/ctrlProp" Target="../ctrlProps/ctrlProp224.xml"/><Relationship Id="rId433" Type="http://schemas.openxmlformats.org/officeDocument/2006/relationships/ctrlProp" Target="../ctrlProps/ctrlProp431.xml"/><Relationship Id="rId74" Type="http://schemas.openxmlformats.org/officeDocument/2006/relationships/ctrlProp" Target="../ctrlProps/ctrlProp72.xml"/><Relationship Id="rId377" Type="http://schemas.openxmlformats.org/officeDocument/2006/relationships/ctrlProp" Target="../ctrlProps/ctrlProp375.xml"/><Relationship Id="rId500" Type="http://schemas.openxmlformats.org/officeDocument/2006/relationships/ctrlProp" Target="../ctrlProps/ctrlProp498.xml"/><Relationship Id="rId584" Type="http://schemas.openxmlformats.org/officeDocument/2006/relationships/ctrlProp" Target="../ctrlProps/ctrlProp582.xml"/><Relationship Id="rId5" Type="http://schemas.openxmlformats.org/officeDocument/2006/relationships/ctrlProp" Target="../ctrlProps/ctrlProp3.xml"/><Relationship Id="rId237" Type="http://schemas.openxmlformats.org/officeDocument/2006/relationships/ctrlProp" Target="../ctrlProps/ctrlProp235.xml"/><Relationship Id="rId444" Type="http://schemas.openxmlformats.org/officeDocument/2006/relationships/ctrlProp" Target="../ctrlProps/ctrlProp442.xml"/><Relationship Id="rId290" Type="http://schemas.openxmlformats.org/officeDocument/2006/relationships/ctrlProp" Target="../ctrlProps/ctrlProp288.xml"/><Relationship Id="rId304" Type="http://schemas.openxmlformats.org/officeDocument/2006/relationships/ctrlProp" Target="../ctrlProps/ctrlProp302.xml"/><Relationship Id="rId388" Type="http://schemas.openxmlformats.org/officeDocument/2006/relationships/ctrlProp" Target="../ctrlProps/ctrlProp386.xml"/><Relationship Id="rId511" Type="http://schemas.openxmlformats.org/officeDocument/2006/relationships/ctrlProp" Target="../ctrlProps/ctrlProp509.xml"/><Relationship Id="rId609" Type="http://schemas.openxmlformats.org/officeDocument/2006/relationships/ctrlProp" Target="../ctrlProps/ctrlProp607.xml"/><Relationship Id="rId85" Type="http://schemas.openxmlformats.org/officeDocument/2006/relationships/ctrlProp" Target="../ctrlProps/ctrlProp83.xml"/><Relationship Id="rId150" Type="http://schemas.openxmlformats.org/officeDocument/2006/relationships/ctrlProp" Target="../ctrlProps/ctrlProp148.xml"/><Relationship Id="rId595" Type="http://schemas.openxmlformats.org/officeDocument/2006/relationships/ctrlProp" Target="../ctrlProps/ctrlProp593.xml"/><Relationship Id="rId248" Type="http://schemas.openxmlformats.org/officeDocument/2006/relationships/ctrlProp" Target="../ctrlProps/ctrlProp246.xml"/><Relationship Id="rId455" Type="http://schemas.openxmlformats.org/officeDocument/2006/relationships/ctrlProp" Target="../ctrlProps/ctrlProp453.xml"/><Relationship Id="rId12" Type="http://schemas.openxmlformats.org/officeDocument/2006/relationships/ctrlProp" Target="../ctrlProps/ctrlProp10.xml"/><Relationship Id="rId108" Type="http://schemas.openxmlformats.org/officeDocument/2006/relationships/ctrlProp" Target="../ctrlProps/ctrlProp106.xml"/><Relationship Id="rId315" Type="http://schemas.openxmlformats.org/officeDocument/2006/relationships/ctrlProp" Target="../ctrlProps/ctrlProp313.xml"/><Relationship Id="rId522" Type="http://schemas.openxmlformats.org/officeDocument/2006/relationships/ctrlProp" Target="../ctrlProps/ctrlProp520.xml"/><Relationship Id="rId96" Type="http://schemas.openxmlformats.org/officeDocument/2006/relationships/ctrlProp" Target="../ctrlProps/ctrlProp94.xml"/><Relationship Id="rId161" Type="http://schemas.openxmlformats.org/officeDocument/2006/relationships/ctrlProp" Target="../ctrlProps/ctrlProp159.xml"/><Relationship Id="rId399" Type="http://schemas.openxmlformats.org/officeDocument/2006/relationships/ctrlProp" Target="../ctrlProps/ctrlProp397.xml"/><Relationship Id="rId259" Type="http://schemas.openxmlformats.org/officeDocument/2006/relationships/ctrlProp" Target="../ctrlProps/ctrlProp257.xml"/><Relationship Id="rId466" Type="http://schemas.openxmlformats.org/officeDocument/2006/relationships/ctrlProp" Target="../ctrlProps/ctrlProp464.xml"/><Relationship Id="rId23" Type="http://schemas.openxmlformats.org/officeDocument/2006/relationships/ctrlProp" Target="../ctrlProps/ctrlProp21.xml"/><Relationship Id="rId119" Type="http://schemas.openxmlformats.org/officeDocument/2006/relationships/ctrlProp" Target="../ctrlProps/ctrlProp117.xml"/><Relationship Id="rId326" Type="http://schemas.openxmlformats.org/officeDocument/2006/relationships/ctrlProp" Target="../ctrlProps/ctrlProp324.xml"/><Relationship Id="rId533" Type="http://schemas.openxmlformats.org/officeDocument/2006/relationships/ctrlProp" Target="../ctrlProps/ctrlProp531.xml"/><Relationship Id="rId172" Type="http://schemas.openxmlformats.org/officeDocument/2006/relationships/ctrlProp" Target="../ctrlProps/ctrlProp170.xml"/><Relationship Id="rId477" Type="http://schemas.openxmlformats.org/officeDocument/2006/relationships/ctrlProp" Target="../ctrlProps/ctrlProp475.xml"/><Relationship Id="rId600" Type="http://schemas.openxmlformats.org/officeDocument/2006/relationships/ctrlProp" Target="../ctrlProps/ctrlProp598.xml"/><Relationship Id="rId337" Type="http://schemas.openxmlformats.org/officeDocument/2006/relationships/ctrlProp" Target="../ctrlProps/ctrlProp335.xml"/><Relationship Id="rId34" Type="http://schemas.openxmlformats.org/officeDocument/2006/relationships/ctrlProp" Target="../ctrlProps/ctrlProp32.xml"/><Relationship Id="rId544" Type="http://schemas.openxmlformats.org/officeDocument/2006/relationships/ctrlProp" Target="../ctrlProps/ctrlProp542.xml"/><Relationship Id="rId183" Type="http://schemas.openxmlformats.org/officeDocument/2006/relationships/ctrlProp" Target="../ctrlProps/ctrlProp181.xml"/><Relationship Id="rId390" Type="http://schemas.openxmlformats.org/officeDocument/2006/relationships/ctrlProp" Target="../ctrlProps/ctrlProp388.xml"/><Relationship Id="rId404" Type="http://schemas.openxmlformats.org/officeDocument/2006/relationships/ctrlProp" Target="../ctrlProps/ctrlProp402.xml"/><Relationship Id="rId611" Type="http://schemas.openxmlformats.org/officeDocument/2006/relationships/ctrlProp" Target="../ctrlProps/ctrlProp609.xml"/><Relationship Id="rId250" Type="http://schemas.openxmlformats.org/officeDocument/2006/relationships/ctrlProp" Target="../ctrlProps/ctrlProp248.xml"/><Relationship Id="rId488" Type="http://schemas.openxmlformats.org/officeDocument/2006/relationships/ctrlProp" Target="../ctrlProps/ctrlProp486.xml"/><Relationship Id="rId45" Type="http://schemas.openxmlformats.org/officeDocument/2006/relationships/ctrlProp" Target="../ctrlProps/ctrlProp43.xml"/><Relationship Id="rId110" Type="http://schemas.openxmlformats.org/officeDocument/2006/relationships/ctrlProp" Target="../ctrlProps/ctrlProp108.xml"/><Relationship Id="rId348" Type="http://schemas.openxmlformats.org/officeDocument/2006/relationships/ctrlProp" Target="../ctrlProps/ctrlProp346.xml"/><Relationship Id="rId555" Type="http://schemas.openxmlformats.org/officeDocument/2006/relationships/ctrlProp" Target="../ctrlProps/ctrlProp553.xml"/><Relationship Id="rId194" Type="http://schemas.openxmlformats.org/officeDocument/2006/relationships/ctrlProp" Target="../ctrlProps/ctrlProp192.xml"/><Relationship Id="rId208" Type="http://schemas.openxmlformats.org/officeDocument/2006/relationships/ctrlProp" Target="../ctrlProps/ctrlProp206.xml"/><Relationship Id="rId415" Type="http://schemas.openxmlformats.org/officeDocument/2006/relationships/ctrlProp" Target="../ctrlProps/ctrlProp413.xml"/><Relationship Id="rId261" Type="http://schemas.openxmlformats.org/officeDocument/2006/relationships/ctrlProp" Target="../ctrlProps/ctrlProp259.xml"/><Relationship Id="rId499" Type="http://schemas.openxmlformats.org/officeDocument/2006/relationships/ctrlProp" Target="../ctrlProps/ctrlProp497.xml"/><Relationship Id="rId56" Type="http://schemas.openxmlformats.org/officeDocument/2006/relationships/ctrlProp" Target="../ctrlProps/ctrlProp54.xml"/><Relationship Id="rId359" Type="http://schemas.openxmlformats.org/officeDocument/2006/relationships/ctrlProp" Target="../ctrlProps/ctrlProp357.xml"/><Relationship Id="rId566" Type="http://schemas.openxmlformats.org/officeDocument/2006/relationships/ctrlProp" Target="../ctrlProps/ctrlProp564.xml"/><Relationship Id="rId121" Type="http://schemas.openxmlformats.org/officeDocument/2006/relationships/ctrlProp" Target="../ctrlProps/ctrlProp119.xml"/><Relationship Id="rId219" Type="http://schemas.openxmlformats.org/officeDocument/2006/relationships/ctrlProp" Target="../ctrlProps/ctrlProp217.xml"/><Relationship Id="rId426" Type="http://schemas.openxmlformats.org/officeDocument/2006/relationships/ctrlProp" Target="../ctrlProps/ctrlProp4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A699"/>
  <sheetViews>
    <sheetView topLeftCell="A4" zoomScale="82" zoomScaleNormal="82" workbookViewId="0">
      <selection activeCell="H9" sqref="H9"/>
    </sheetView>
  </sheetViews>
  <sheetFormatPr baseColWidth="10" defaultRowHeight="14.4" x14ac:dyDescent="0.3"/>
  <cols>
    <col min="1" max="1" width="4.88671875" customWidth="1"/>
    <col min="2" max="2" width="15.5546875" bestFit="1" customWidth="1"/>
    <col min="4" max="4" width="11.6640625" customWidth="1"/>
    <col min="5" max="6" width="18.5546875" bestFit="1" customWidth="1"/>
    <col min="7" max="7" width="18.5546875" customWidth="1"/>
    <col min="8" max="8" width="12.33203125" customWidth="1"/>
    <col min="9" max="38" width="5.77734375" customWidth="1"/>
    <col min="39" max="39" width="51.5546875" customWidth="1"/>
  </cols>
  <sheetData>
    <row r="1" spans="1:53" x14ac:dyDescent="0.3">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row>
    <row r="2" spans="1:53" x14ac:dyDescent="0.3">
      <c r="A2" s="1"/>
      <c r="B2" s="4" t="s">
        <v>0</v>
      </c>
      <c r="C2" s="74">
        <f ca="1">TODAY()</f>
        <v>45333</v>
      </c>
      <c r="D2" s="4" t="s">
        <v>3</v>
      </c>
      <c r="E2" s="71">
        <f>'F2'!I6</f>
        <v>6</v>
      </c>
      <c r="F2" s="4" t="s">
        <v>6</v>
      </c>
      <c r="G2" s="71">
        <v>93</v>
      </c>
      <c r="H2" s="40"/>
      <c r="I2" s="1"/>
      <c r="J2" s="1"/>
      <c r="K2" s="1"/>
      <c r="L2" s="1"/>
      <c r="M2" s="1"/>
      <c r="N2" s="1"/>
      <c r="O2" s="1"/>
      <c r="P2" s="1"/>
      <c r="Q2" s="1"/>
      <c r="R2" s="1"/>
      <c r="S2" s="1"/>
      <c r="T2" s="1"/>
      <c r="U2" s="1"/>
      <c r="V2" s="1"/>
      <c r="W2" s="1"/>
      <c r="X2" s="28"/>
      <c r="Y2" s="28"/>
      <c r="Z2" s="30" t="s">
        <v>32</v>
      </c>
      <c r="AA2" s="29"/>
      <c r="AB2" s="28"/>
      <c r="AC2" s="28"/>
      <c r="AD2" s="28"/>
      <c r="AE2" s="28"/>
      <c r="AF2" s="28"/>
      <c r="AG2" s="28"/>
      <c r="AH2" s="1"/>
      <c r="AI2" s="1"/>
      <c r="AJ2" s="1"/>
      <c r="AK2" s="1"/>
      <c r="AL2" s="1"/>
      <c r="AM2" s="1"/>
      <c r="AN2" s="1"/>
      <c r="AO2" s="1"/>
      <c r="AP2" s="1"/>
      <c r="AQ2" s="1"/>
      <c r="AR2" s="1"/>
      <c r="AS2" s="1"/>
      <c r="AT2" s="1"/>
      <c r="AU2" s="1"/>
      <c r="AV2" s="1"/>
      <c r="AW2" s="1"/>
      <c r="AX2" s="1"/>
      <c r="AY2" s="1"/>
      <c r="AZ2" s="1"/>
      <c r="BA2" s="1"/>
    </row>
    <row r="3" spans="1:53" x14ac:dyDescent="0.3">
      <c r="A3" s="1"/>
      <c r="B3" s="5" t="s">
        <v>1</v>
      </c>
      <c r="C3" s="7">
        <v>45527</v>
      </c>
      <c r="D3" s="5" t="s">
        <v>4</v>
      </c>
      <c r="E3" s="72">
        <f>E2/93 * 100</f>
        <v>6.4516129032258061</v>
      </c>
      <c r="F3" s="5" t="s">
        <v>7</v>
      </c>
      <c r="G3" s="73">
        <v>1</v>
      </c>
      <c r="H3" s="40"/>
      <c r="I3" s="1"/>
      <c r="J3" s="1"/>
      <c r="K3" s="1"/>
      <c r="L3" s="1"/>
      <c r="M3" s="1"/>
      <c r="N3" s="1"/>
      <c r="O3" s="1"/>
      <c r="P3" s="1"/>
      <c r="Q3" s="1"/>
      <c r="R3" s="1"/>
      <c r="S3" s="1"/>
      <c r="T3" s="1"/>
      <c r="U3" s="1"/>
      <c r="V3" s="1"/>
      <c r="W3" s="1"/>
      <c r="X3" s="27">
        <v>1</v>
      </c>
      <c r="Y3" s="27">
        <v>2</v>
      </c>
      <c r="Z3" s="27">
        <f>Y3+1</f>
        <v>3</v>
      </c>
      <c r="AA3" s="27">
        <f t="shared" ref="AA3:AB3" si="0">Z3+1</f>
        <v>4</v>
      </c>
      <c r="AB3" s="27">
        <f t="shared" si="0"/>
        <v>5</v>
      </c>
      <c r="AC3" s="27">
        <v>7</v>
      </c>
      <c r="AD3" s="27">
        <v>9</v>
      </c>
      <c r="AE3" s="27">
        <v>11</v>
      </c>
      <c r="AF3" s="27">
        <v>13</v>
      </c>
      <c r="AG3" s="27">
        <v>15</v>
      </c>
      <c r="AH3" s="24"/>
      <c r="AI3" s="24"/>
      <c r="AJ3" s="24"/>
      <c r="AK3" s="24"/>
      <c r="AL3" s="24"/>
      <c r="AM3" s="1"/>
      <c r="AN3" s="1"/>
      <c r="AO3" s="1"/>
      <c r="AP3" s="1"/>
      <c r="AQ3" s="1"/>
      <c r="AR3" s="1"/>
      <c r="AS3" s="1"/>
      <c r="AT3" s="1"/>
      <c r="AU3" s="1"/>
      <c r="AV3" s="1"/>
      <c r="AW3" s="1"/>
      <c r="AX3" s="1"/>
      <c r="AY3" s="1"/>
      <c r="AZ3" s="1"/>
      <c r="BA3" s="1"/>
    </row>
    <row r="4" spans="1:53" x14ac:dyDescent="0.3">
      <c r="A4" s="1"/>
      <c r="B4" s="6" t="s">
        <v>2</v>
      </c>
      <c r="C4" s="8">
        <f ca="1">C3-C2</f>
        <v>194</v>
      </c>
      <c r="D4" s="6" t="s">
        <v>5</v>
      </c>
      <c r="E4" s="8">
        <f>93 - E2</f>
        <v>87</v>
      </c>
      <c r="F4" s="6" t="s">
        <v>8</v>
      </c>
      <c r="G4" s="8">
        <f ca="1">C3-D5</f>
        <v>95</v>
      </c>
      <c r="H4" s="40"/>
      <c r="I4" s="25"/>
      <c r="J4" s="25"/>
      <c r="K4" s="25"/>
      <c r="L4" s="25"/>
      <c r="M4" s="25"/>
      <c r="N4" s="25"/>
      <c r="O4" s="26" t="s">
        <v>31</v>
      </c>
      <c r="P4" s="26"/>
      <c r="Q4" s="26"/>
      <c r="R4" s="25"/>
      <c r="S4" s="25"/>
      <c r="T4" s="25"/>
      <c r="U4" s="25"/>
      <c r="V4" s="25"/>
      <c r="W4" s="25"/>
      <c r="X4" s="31"/>
      <c r="Y4" s="31"/>
      <c r="Z4" s="31"/>
      <c r="AA4" s="31"/>
      <c r="AB4" s="31"/>
      <c r="AC4" s="31"/>
      <c r="AD4" s="34" t="s">
        <v>31</v>
      </c>
      <c r="AE4" s="32"/>
      <c r="AF4" s="32"/>
      <c r="AG4" s="31"/>
      <c r="AH4" s="31"/>
      <c r="AI4" s="31"/>
      <c r="AJ4" s="31"/>
      <c r="AK4" s="31"/>
      <c r="AL4" s="31"/>
      <c r="AM4" s="37"/>
      <c r="AN4" s="1"/>
      <c r="AO4" s="1"/>
      <c r="AP4" s="1"/>
      <c r="AQ4" s="1"/>
      <c r="AR4" s="1"/>
      <c r="AS4" s="1"/>
      <c r="AT4" s="1"/>
      <c r="AU4" s="1"/>
      <c r="AV4" s="1"/>
      <c r="AW4" s="1"/>
      <c r="AX4" s="1"/>
      <c r="AY4" s="1"/>
      <c r="AZ4" s="1"/>
      <c r="BA4" s="1"/>
    </row>
    <row r="5" spans="1:53" ht="14.4" customHeight="1" x14ac:dyDescent="0.3">
      <c r="A5" s="1"/>
      <c r="B5" s="17" t="s">
        <v>9</v>
      </c>
      <c r="C5" s="16"/>
      <c r="D5" s="81">
        <f ca="1">TODAY() + E4 + INT(E4/7)</f>
        <v>45432</v>
      </c>
      <c r="E5" s="18" t="s">
        <v>10</v>
      </c>
      <c r="F5" s="15"/>
      <c r="G5" s="75">
        <v>475</v>
      </c>
      <c r="H5" s="40"/>
      <c r="I5" s="23">
        <v>1</v>
      </c>
      <c r="J5" s="23">
        <v>2</v>
      </c>
      <c r="K5" s="23">
        <f>J5+1</f>
        <v>3</v>
      </c>
      <c r="L5" s="23">
        <f t="shared" ref="L5:V5" si="1">K5+1</f>
        <v>4</v>
      </c>
      <c r="M5" s="23">
        <f t="shared" si="1"/>
        <v>5</v>
      </c>
      <c r="N5" s="23">
        <f t="shared" si="1"/>
        <v>6</v>
      </c>
      <c r="O5" s="23">
        <f t="shared" si="1"/>
        <v>7</v>
      </c>
      <c r="P5" s="23">
        <f>O5+1</f>
        <v>8</v>
      </c>
      <c r="Q5" s="23">
        <f t="shared" si="1"/>
        <v>9</v>
      </c>
      <c r="R5" s="23">
        <f t="shared" si="1"/>
        <v>10</v>
      </c>
      <c r="S5" s="23">
        <f>R5+1</f>
        <v>11</v>
      </c>
      <c r="T5" s="23">
        <f t="shared" si="1"/>
        <v>12</v>
      </c>
      <c r="U5" s="23">
        <f t="shared" si="1"/>
        <v>13</v>
      </c>
      <c r="V5" s="23">
        <f t="shared" si="1"/>
        <v>14</v>
      </c>
      <c r="W5" s="23">
        <f>V5+1</f>
        <v>15</v>
      </c>
      <c r="X5" s="33">
        <v>1</v>
      </c>
      <c r="Y5" s="33">
        <v>2</v>
      </c>
      <c r="Z5" s="33">
        <f>Y5+1</f>
        <v>3</v>
      </c>
      <c r="AA5" s="33">
        <f t="shared" ref="AA5:AD5" si="2">Z5+1</f>
        <v>4</v>
      </c>
      <c r="AB5" s="33">
        <f t="shared" si="2"/>
        <v>5</v>
      </c>
      <c r="AC5" s="33">
        <f t="shared" si="2"/>
        <v>6</v>
      </c>
      <c r="AD5" s="33">
        <f t="shared" si="2"/>
        <v>7</v>
      </c>
      <c r="AE5" s="33">
        <f>AD5+1</f>
        <v>8</v>
      </c>
      <c r="AF5" s="33">
        <f t="shared" ref="AF5:AG5" si="3">AE5+1</f>
        <v>9</v>
      </c>
      <c r="AG5" s="33">
        <f t="shared" si="3"/>
        <v>10</v>
      </c>
      <c r="AH5" s="33">
        <f>AG5+1</f>
        <v>11</v>
      </c>
      <c r="AI5" s="33">
        <f t="shared" ref="AI5:AK5" si="4">AH5+1</f>
        <v>12</v>
      </c>
      <c r="AJ5" s="33">
        <f t="shared" si="4"/>
        <v>13</v>
      </c>
      <c r="AK5" s="33">
        <f t="shared" si="4"/>
        <v>14</v>
      </c>
      <c r="AL5" s="33">
        <f>AK5+1</f>
        <v>15</v>
      </c>
      <c r="AM5" s="38"/>
      <c r="AN5" s="1"/>
      <c r="AO5" s="1"/>
      <c r="AP5" s="1"/>
      <c r="AQ5" s="1"/>
      <c r="AR5" s="1"/>
      <c r="AS5" s="1"/>
      <c r="AT5" s="1"/>
      <c r="AU5" s="1"/>
      <c r="AV5" s="1"/>
      <c r="AW5" s="1"/>
      <c r="AX5" s="1"/>
      <c r="AY5" s="1"/>
      <c r="AZ5" s="1"/>
      <c r="BA5" s="1"/>
    </row>
    <row r="6" spans="1:53" x14ac:dyDescent="0.3">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39" t="s">
        <v>34</v>
      </c>
      <c r="AN6" s="1"/>
      <c r="AO6" s="1"/>
      <c r="AP6" s="1"/>
      <c r="AQ6" s="1"/>
      <c r="AR6" s="1"/>
      <c r="AS6" s="1"/>
      <c r="AT6" s="1"/>
      <c r="AU6" s="1"/>
      <c r="AV6" s="1"/>
      <c r="AW6" s="1"/>
      <c r="AX6" s="1"/>
      <c r="AY6" s="1"/>
      <c r="AZ6" s="1"/>
      <c r="BA6" s="1"/>
    </row>
    <row r="7" spans="1:53" x14ac:dyDescent="0.3">
      <c r="A7" s="14"/>
      <c r="B7" s="14"/>
      <c r="C7" s="14"/>
      <c r="D7" s="14"/>
      <c r="E7" s="14"/>
      <c r="F7" s="14"/>
      <c r="G7" s="14"/>
      <c r="H7" s="41" t="s">
        <v>119</v>
      </c>
      <c r="I7" s="76">
        <v>0</v>
      </c>
      <c r="J7" s="78"/>
      <c r="K7" s="54"/>
      <c r="L7" s="80" t="s">
        <v>530</v>
      </c>
      <c r="M7" s="54"/>
      <c r="N7" s="54"/>
      <c r="O7" s="77">
        <v>10</v>
      </c>
      <c r="P7" s="14"/>
      <c r="Q7" s="14"/>
      <c r="R7" s="14"/>
      <c r="S7" s="14"/>
      <c r="T7" s="14"/>
      <c r="U7" s="14"/>
      <c r="V7" s="14"/>
      <c r="W7" s="16"/>
      <c r="X7" s="35" t="s">
        <v>33</v>
      </c>
      <c r="Y7" s="36"/>
      <c r="Z7" s="36"/>
      <c r="AA7" s="36"/>
      <c r="AB7" s="36"/>
      <c r="AC7" s="36"/>
      <c r="AD7" s="36"/>
      <c r="AE7" s="36"/>
      <c r="AF7" s="36"/>
      <c r="AG7" s="36"/>
      <c r="AH7" s="36"/>
      <c r="AI7" s="36"/>
      <c r="AJ7" s="36"/>
      <c r="AK7" s="36"/>
      <c r="AL7" s="36"/>
      <c r="AM7" s="70" cm="1">
        <f t="array" ref="AM7">CompterTexte(AM8:AM699)</f>
        <v>1</v>
      </c>
      <c r="AN7" s="1"/>
      <c r="AO7" s="1"/>
      <c r="AP7" s="1"/>
      <c r="AQ7" s="1"/>
      <c r="AR7" s="1"/>
      <c r="AS7" s="1"/>
      <c r="AT7" s="1"/>
      <c r="AU7" s="1"/>
      <c r="AV7" s="1"/>
      <c r="AW7" s="1"/>
      <c r="AX7" s="1"/>
      <c r="AY7" s="1"/>
      <c r="AZ7" s="1"/>
      <c r="BA7" s="1"/>
    </row>
    <row r="8" spans="1:53" x14ac:dyDescent="0.3">
      <c r="A8" s="20" t="s">
        <v>160</v>
      </c>
      <c r="B8" s="19"/>
      <c r="C8" s="19"/>
      <c r="D8" s="19"/>
      <c r="E8" s="19"/>
      <c r="F8" s="22"/>
      <c r="G8" s="93">
        <f>'F2'!J7</f>
        <v>6</v>
      </c>
      <c r="H8" s="42"/>
      <c r="I8" s="2"/>
      <c r="J8" s="1"/>
      <c r="K8" s="1"/>
      <c r="L8" s="79"/>
      <c r="M8" s="1"/>
      <c r="N8" s="1"/>
      <c r="O8" s="1"/>
      <c r="P8" s="1"/>
      <c r="Q8" s="1"/>
      <c r="R8" s="1"/>
      <c r="S8" s="1"/>
      <c r="T8" s="1"/>
      <c r="U8" s="1"/>
      <c r="V8" s="9"/>
      <c r="W8" s="10"/>
      <c r="X8" s="67"/>
      <c r="Y8" s="68"/>
      <c r="Z8" s="68"/>
      <c r="AA8" s="68"/>
      <c r="AB8" s="68"/>
      <c r="AC8" s="68"/>
      <c r="AD8" s="68"/>
      <c r="AE8" s="68"/>
      <c r="AF8" s="68"/>
      <c r="AG8" s="68"/>
      <c r="AH8" s="68"/>
      <c r="AI8" s="68"/>
      <c r="AJ8" s="68"/>
      <c r="AK8" s="68"/>
      <c r="AL8" s="68"/>
      <c r="AM8" s="38"/>
      <c r="AN8" s="1"/>
      <c r="AO8" s="1"/>
      <c r="AP8" s="1"/>
      <c r="AQ8" s="1"/>
      <c r="AR8" s="1"/>
      <c r="AS8" s="1"/>
      <c r="AT8" s="1"/>
      <c r="AU8" s="1"/>
      <c r="AV8" s="1"/>
      <c r="AW8" s="1"/>
      <c r="AX8" s="1"/>
      <c r="AY8" s="1"/>
      <c r="AZ8" s="1"/>
      <c r="BA8" s="1"/>
    </row>
    <row r="9" spans="1:53" x14ac:dyDescent="0.3">
      <c r="A9" s="21"/>
      <c r="B9" s="11">
        <v>1</v>
      </c>
      <c r="C9" s="69" t="s">
        <v>11</v>
      </c>
      <c r="D9" s="1"/>
      <c r="E9" s="1"/>
      <c r="F9" s="1"/>
      <c r="G9" s="1"/>
      <c r="H9" s="90" t="s">
        <v>122</v>
      </c>
      <c r="I9" s="44"/>
      <c r="J9" s="44"/>
      <c r="K9" s="44"/>
      <c r="L9" s="44"/>
      <c r="M9" s="1"/>
      <c r="N9" s="1"/>
      <c r="O9" s="1"/>
      <c r="P9" s="1"/>
      <c r="Q9" s="46"/>
      <c r="R9" s="1"/>
      <c r="S9" s="1"/>
      <c r="T9" s="1"/>
      <c r="U9" s="1"/>
      <c r="V9" s="1"/>
      <c r="W9" s="11"/>
      <c r="X9" s="67"/>
      <c r="Y9" s="68" t="str" cm="1">
        <f t="array" ref="Y9">CalculerNouvelleDate(I9,X9)</f>
        <v/>
      </c>
      <c r="Z9" s="68" t="str" cm="1">
        <f t="array" ref="Z9">CalculerNouvelleDate(J9,Y9)</f>
        <v/>
      </c>
      <c r="AA9" s="68" t="str" cm="1">
        <f t="array" ref="AA9">CalculerNouvelleDate(K9,Z9)</f>
        <v/>
      </c>
      <c r="AB9" s="68" t="str" cm="1">
        <f t="array" ref="AB9">CalculerNouvelleDate(L9,AA9)</f>
        <v/>
      </c>
      <c r="AC9" s="68" t="str" cm="1">
        <f t="array" ref="AC9">CalculerNouvelleDate(M9,AB9)</f>
        <v/>
      </c>
      <c r="AD9" s="68" t="str" cm="1">
        <f t="array" ref="AD9">CalculerNouvelleDate(N9,AC9)</f>
        <v/>
      </c>
      <c r="AE9" s="68" t="str" cm="1">
        <f t="array" ref="AE9">CalculerNouvelleDate(O9,AD9)</f>
        <v/>
      </c>
      <c r="AF9" s="68" t="str" cm="1">
        <f t="array" ref="AF9">CalculerNouvelleDate(P9,AE9)</f>
        <v/>
      </c>
      <c r="AG9" s="68" t="str" cm="1">
        <f t="array" ref="AG9">CalculerNouvelleDate(Q9,AF9)</f>
        <v/>
      </c>
      <c r="AH9" s="68" t="str" cm="1">
        <f t="array" ref="AH9">CalculerNouvelleDate(R9,AG9)</f>
        <v/>
      </c>
      <c r="AI9" s="68" t="str" cm="1">
        <f t="array" ref="AI9">CalculerNouvelleDate(S9,AH9)</f>
        <v/>
      </c>
      <c r="AJ9" s="68" t="str" cm="1">
        <f t="array" ref="AJ9">CalculerNouvelleDate(T9,AI9)</f>
        <v/>
      </c>
      <c r="AK9" s="68" t="str" cm="1">
        <f t="array" ref="AK9">CalculerNouvelleDate(U9,AJ9)</f>
        <v/>
      </c>
      <c r="AL9" s="68" t="str" cm="1">
        <f t="array" ref="AL9">CalculerNouvelleDate(V9,AK9)</f>
        <v/>
      </c>
      <c r="AM9" s="83" t="str" cm="1">
        <f t="array" ref="AM9">CorrespondanceDAte(X9:AL9,D10)</f>
        <v>0</v>
      </c>
      <c r="AN9" s="1"/>
      <c r="AO9" s="1"/>
      <c r="AP9" s="1"/>
      <c r="AQ9" s="1"/>
      <c r="AR9" s="1"/>
      <c r="AS9" s="1"/>
      <c r="AT9" s="1"/>
      <c r="AU9" s="1"/>
      <c r="AV9" s="1"/>
      <c r="AW9" s="1"/>
      <c r="AX9" s="1"/>
      <c r="AY9" s="1"/>
      <c r="AZ9" s="1"/>
      <c r="BA9" s="1"/>
    </row>
    <row r="10" spans="1:53" x14ac:dyDescent="0.3">
      <c r="A10" s="21"/>
      <c r="B10" s="11"/>
      <c r="C10" s="69" t="s">
        <v>531</v>
      </c>
      <c r="D10" s="1" t="s">
        <v>532</v>
      </c>
      <c r="E10" s="1"/>
      <c r="F10" s="1"/>
      <c r="G10" s="1"/>
      <c r="H10" s="90"/>
      <c r="I10" s="94">
        <v>7</v>
      </c>
      <c r="J10" s="95">
        <v>8</v>
      </c>
      <c r="K10" s="96">
        <v>9</v>
      </c>
      <c r="L10" s="97">
        <v>10</v>
      </c>
      <c r="M10" s="46"/>
      <c r="N10" s="46"/>
      <c r="O10" s="46"/>
      <c r="P10" s="46"/>
      <c r="Q10" s="46"/>
      <c r="R10" s="46"/>
      <c r="S10" s="46"/>
      <c r="T10" s="46"/>
      <c r="U10" s="46"/>
      <c r="V10" s="46"/>
      <c r="W10" s="62"/>
      <c r="X10" s="67">
        <v>45292</v>
      </c>
      <c r="Y10" s="68" t="str" cm="1">
        <f t="array" ref="Y10">CalculerNouvelleDate(I10,X10)</f>
        <v>10/01</v>
      </c>
      <c r="Z10" s="68" t="str" cm="1">
        <f t="array" ref="Z10">CalculerNouvelleDate(J10,Y10)</f>
        <v>21/01</v>
      </c>
      <c r="AA10" s="68" t="str" cm="1">
        <f t="array" ref="AA10">CalculerNouvelleDate(K10,Z10)</f>
        <v>03/02</v>
      </c>
      <c r="AB10" s="68" t="str" cm="1">
        <f t="array" ref="AB10">CalculerNouvelleDate(L10,AA10)</f>
        <v>18/02</v>
      </c>
      <c r="AC10" s="68" t="str" cm="1">
        <f t="array" ref="AC10">CalculerNouvelleDate(M10,AB10)</f>
        <v/>
      </c>
      <c r="AD10" s="68" t="str" cm="1">
        <f t="array" ref="AD10">CalculerNouvelleDate(N10,AC10)</f>
        <v/>
      </c>
      <c r="AE10" s="68" t="str" cm="1">
        <f t="array" ref="AE10">CalculerNouvelleDate(O10,AD10)</f>
        <v/>
      </c>
      <c r="AF10" s="68" t="str" cm="1">
        <f t="array" ref="AF10">CalculerNouvelleDate(P10,AE10)</f>
        <v/>
      </c>
      <c r="AG10" s="68" t="str" cm="1">
        <f t="array" ref="AG10">CalculerNouvelleDate(Q10,AF10)</f>
        <v/>
      </c>
      <c r="AH10" s="68" t="str" cm="1">
        <f t="array" ref="AH10">CalculerNouvelleDate(R10,AG10)</f>
        <v/>
      </c>
      <c r="AI10" s="68" t="str" cm="1">
        <f t="array" ref="AI10">CalculerNouvelleDate(S10,AH10)</f>
        <v/>
      </c>
      <c r="AJ10" s="68" t="str" cm="1">
        <f t="array" ref="AJ10">CalculerNouvelleDate(T10,AI10)</f>
        <v/>
      </c>
      <c r="AK10" s="68" t="str" cm="1">
        <f t="array" ref="AK10">CalculerNouvelleDate(U10,AJ10)</f>
        <v/>
      </c>
      <c r="AL10" s="68" t="str" cm="1">
        <f t="array" ref="AL10">CalculerNouvelleDate(V10,AK10)</f>
        <v/>
      </c>
      <c r="AM10" s="83" t="str" cm="1">
        <f t="array" ref="AM10">CorrespondanceDAte(X10:AL10,D11)</f>
        <v>0</v>
      </c>
      <c r="AN10" s="1"/>
      <c r="AO10" s="1"/>
      <c r="AP10" s="1"/>
      <c r="AQ10" s="1"/>
      <c r="AR10" s="1"/>
      <c r="AS10" s="1"/>
      <c r="AT10" s="1"/>
      <c r="AU10" s="1"/>
      <c r="AV10" s="1"/>
      <c r="AW10" s="1"/>
      <c r="AX10" s="1"/>
      <c r="AY10" s="1"/>
      <c r="AZ10" s="1"/>
      <c r="BA10" s="1"/>
    </row>
    <row r="11" spans="1:53" x14ac:dyDescent="0.3">
      <c r="A11" s="21"/>
      <c r="B11" s="11"/>
      <c r="C11" s="69" t="s">
        <v>534</v>
      </c>
      <c r="D11" s="1" t="s">
        <v>541</v>
      </c>
      <c r="E11" s="1"/>
      <c r="F11" s="1"/>
      <c r="G11" s="1"/>
      <c r="H11" s="90"/>
      <c r="I11" s="98">
        <v>4</v>
      </c>
      <c r="J11" s="99">
        <v>5</v>
      </c>
      <c r="K11" s="94">
        <v>7</v>
      </c>
      <c r="L11" s="46"/>
      <c r="M11" s="46"/>
      <c r="N11" s="46"/>
      <c r="O11" s="46"/>
      <c r="P11" s="46"/>
      <c r="Q11" s="46"/>
      <c r="R11" s="46"/>
      <c r="S11" s="46"/>
      <c r="T11" s="46"/>
      <c r="U11" s="46"/>
      <c r="V11" s="46"/>
      <c r="W11" s="62"/>
      <c r="X11" s="67">
        <v>45293</v>
      </c>
      <c r="Y11" s="68" t="str" cm="1">
        <f t="array" ref="Y11">CalculerNouvelleDate(I11,X11)</f>
        <v>06/01</v>
      </c>
      <c r="Z11" s="68" t="str" cm="1">
        <f t="array" ref="Z11">CalculerNouvelleDate(J11,Y11)</f>
        <v>11/01</v>
      </c>
      <c r="AA11" s="68" t="str" cm="1">
        <f t="array" ref="AA11">CalculerNouvelleDate(K11,Z11)</f>
        <v>20/01</v>
      </c>
      <c r="AB11" s="68" t="str" cm="1">
        <f t="array" ref="AB11">CalculerNouvelleDate(L11,AA11)</f>
        <v/>
      </c>
      <c r="AC11" s="68" t="str" cm="1">
        <f t="array" ref="AC11">CalculerNouvelleDate(M11,AB11)</f>
        <v/>
      </c>
      <c r="AD11" s="68" t="str" cm="1">
        <f t="array" ref="AD11">CalculerNouvelleDate(N11,AC11)</f>
        <v/>
      </c>
      <c r="AE11" s="68" t="str" cm="1">
        <f t="array" ref="AE11">CalculerNouvelleDate(O11,AD11)</f>
        <v/>
      </c>
      <c r="AF11" s="68" t="str" cm="1">
        <f t="array" ref="AF11">CalculerNouvelleDate(P11,AE11)</f>
        <v/>
      </c>
      <c r="AG11" s="68" t="str" cm="1">
        <f t="array" ref="AG11">CalculerNouvelleDate(Q11,AF11)</f>
        <v/>
      </c>
      <c r="AH11" s="68" t="str" cm="1">
        <f t="array" ref="AH11">CalculerNouvelleDate(R11,AG11)</f>
        <v/>
      </c>
      <c r="AI11" s="68" t="str" cm="1">
        <f t="array" ref="AI11">CalculerNouvelleDate(S11,AH11)</f>
        <v/>
      </c>
      <c r="AJ11" s="68" t="str" cm="1">
        <f t="array" ref="AJ11">CalculerNouvelleDate(T11,AI11)</f>
        <v/>
      </c>
      <c r="AK11" s="68" t="str" cm="1">
        <f t="array" ref="AK11">CalculerNouvelleDate(U11,AJ11)</f>
        <v/>
      </c>
      <c r="AL11" s="68" t="str" cm="1">
        <f t="array" ref="AL11">CalculerNouvelleDate(V11,AK11)</f>
        <v/>
      </c>
      <c r="AM11" s="83" t="str" cm="1">
        <f t="array" ref="AM11">CorrespondanceDAte(X11:AL11,D12)</f>
        <v>0</v>
      </c>
      <c r="AN11" s="1"/>
      <c r="AO11" s="1"/>
      <c r="AP11" s="1"/>
      <c r="AQ11" s="1"/>
      <c r="AR11" s="1"/>
      <c r="AS11" s="1"/>
      <c r="AT11" s="1"/>
      <c r="AU11" s="1"/>
      <c r="AV11" s="1"/>
      <c r="AW11" s="1"/>
      <c r="AX11" s="1"/>
      <c r="AY11" s="1"/>
      <c r="AZ11" s="1"/>
      <c r="BA11" s="1"/>
    </row>
    <row r="12" spans="1:53" x14ac:dyDescent="0.3">
      <c r="A12" s="21"/>
      <c r="B12" s="11"/>
      <c r="C12" s="69" t="s">
        <v>538</v>
      </c>
      <c r="D12" s="1" t="s">
        <v>542</v>
      </c>
      <c r="E12" s="1"/>
      <c r="F12" s="1"/>
      <c r="G12" s="1"/>
      <c r="H12" s="90"/>
      <c r="I12" s="99">
        <v>5</v>
      </c>
      <c r="J12" s="94">
        <v>7</v>
      </c>
      <c r="K12" s="44"/>
      <c r="L12" s="46"/>
      <c r="M12" s="46"/>
      <c r="N12" s="46"/>
      <c r="O12" s="46"/>
      <c r="P12" s="46"/>
      <c r="Q12" s="46"/>
      <c r="R12" s="46"/>
      <c r="S12" s="46"/>
      <c r="T12" s="46"/>
      <c r="U12" s="46"/>
      <c r="V12" s="46"/>
      <c r="W12" s="62"/>
      <c r="X12" s="67">
        <v>45294</v>
      </c>
      <c r="Y12" s="68" t="str" cm="1">
        <f t="array" ref="Y12">CalculerNouvelleDate(I12,X12)</f>
        <v>08/01</v>
      </c>
      <c r="Z12" s="68" t="str" cm="1">
        <f t="array" ref="Z12">CalculerNouvelleDate(J12,Y12)</f>
        <v>17/01</v>
      </c>
      <c r="AA12" s="68" t="str" cm="1">
        <f t="array" ref="AA12">CalculerNouvelleDate(K12,Z12)</f>
        <v/>
      </c>
      <c r="AB12" s="68" t="str" cm="1">
        <f t="array" ref="AB12">CalculerNouvelleDate(L12,AA12)</f>
        <v/>
      </c>
      <c r="AC12" s="68" t="str" cm="1">
        <f t="array" ref="AC12">CalculerNouvelleDate(M12,AB12)</f>
        <v/>
      </c>
      <c r="AD12" s="68" t="str" cm="1">
        <f t="array" ref="AD12">CalculerNouvelleDate(N12,AC12)</f>
        <v/>
      </c>
      <c r="AE12" s="68" t="str" cm="1">
        <f t="array" ref="AE12">CalculerNouvelleDate(O12,AD12)</f>
        <v/>
      </c>
      <c r="AF12" s="68" t="str" cm="1">
        <f t="array" ref="AF12">CalculerNouvelleDate(P12,AE12)</f>
        <v/>
      </c>
      <c r="AG12" s="68" t="str" cm="1">
        <f t="array" ref="AG12">CalculerNouvelleDate(Q12,AF12)</f>
        <v/>
      </c>
      <c r="AH12" s="68" t="str" cm="1">
        <f t="array" ref="AH12">CalculerNouvelleDate(R12,AG12)</f>
        <v/>
      </c>
      <c r="AI12" s="68" t="str" cm="1">
        <f t="array" ref="AI12">CalculerNouvelleDate(S12,AH12)</f>
        <v/>
      </c>
      <c r="AJ12" s="68" t="str" cm="1">
        <f t="array" ref="AJ12">CalculerNouvelleDate(T12,AI12)</f>
        <v/>
      </c>
      <c r="AK12" s="68" t="str" cm="1">
        <f t="array" ref="AK12">CalculerNouvelleDate(U12,AJ12)</f>
        <v/>
      </c>
      <c r="AL12" s="68" t="str" cm="1">
        <f t="array" ref="AL12">CalculerNouvelleDate(V12,AK12)</f>
        <v/>
      </c>
      <c r="AM12" s="83" t="str" cm="1">
        <f t="array" ref="AM12">CorrespondanceDAte(X12:AL12,D13)</f>
        <v>0</v>
      </c>
      <c r="AN12" s="1"/>
      <c r="AO12" s="1"/>
      <c r="AP12" s="1"/>
      <c r="AQ12" s="1"/>
      <c r="AR12" s="1"/>
      <c r="AS12" s="1"/>
      <c r="AT12" s="1"/>
      <c r="AU12" s="1"/>
      <c r="AV12" s="1"/>
      <c r="AW12" s="1"/>
      <c r="AX12" s="1"/>
      <c r="AY12" s="1"/>
      <c r="AZ12" s="1"/>
      <c r="BA12" s="1"/>
    </row>
    <row r="13" spans="1:53" x14ac:dyDescent="0.3">
      <c r="A13" s="21"/>
      <c r="B13" s="11"/>
      <c r="C13" s="69" t="s">
        <v>539</v>
      </c>
      <c r="D13" s="1" t="s">
        <v>543</v>
      </c>
      <c r="E13" s="1"/>
      <c r="F13" s="1"/>
      <c r="G13" s="1"/>
      <c r="H13" s="90"/>
      <c r="I13" s="100">
        <v>1</v>
      </c>
      <c r="J13" s="101">
        <v>3</v>
      </c>
      <c r="K13" s="94">
        <v>7</v>
      </c>
      <c r="L13" s="46"/>
      <c r="M13" s="46"/>
      <c r="N13" s="46"/>
      <c r="O13" s="46"/>
      <c r="P13" s="46"/>
      <c r="Q13" s="46"/>
      <c r="R13" s="46"/>
      <c r="S13" s="46"/>
      <c r="T13" s="46"/>
      <c r="U13" s="46"/>
      <c r="V13" s="46"/>
      <c r="W13" s="62"/>
      <c r="X13" s="67">
        <v>45295</v>
      </c>
      <c r="Y13" s="68" t="str" cm="1">
        <f t="array" ref="Y13">CalculerNouvelleDate(I13,X13)</f>
        <v>05/01</v>
      </c>
      <c r="Z13" s="68" t="str" cm="1">
        <f t="array" ref="Z13">CalculerNouvelleDate(J13,Y13)</f>
        <v>08/01</v>
      </c>
      <c r="AA13" s="68" t="str" cm="1">
        <f t="array" ref="AA13">CalculerNouvelleDate(K13,Z13)</f>
        <v>17/01</v>
      </c>
      <c r="AB13" s="68" t="str" cm="1">
        <f t="array" ref="AB13">CalculerNouvelleDate(L13,AA13)</f>
        <v/>
      </c>
      <c r="AC13" s="68" t="str" cm="1">
        <f t="array" ref="AC13">CalculerNouvelleDate(M13,AB13)</f>
        <v/>
      </c>
      <c r="AD13" s="68" t="str" cm="1">
        <f t="array" ref="AD13">CalculerNouvelleDate(N13,AC13)</f>
        <v/>
      </c>
      <c r="AE13" s="68" t="str" cm="1">
        <f t="array" ref="AE13">CalculerNouvelleDate(O13,AD13)</f>
        <v/>
      </c>
      <c r="AF13" s="68" t="str" cm="1">
        <f t="array" ref="AF13">CalculerNouvelleDate(P13,AE13)</f>
        <v/>
      </c>
      <c r="AG13" s="68" t="str" cm="1">
        <f t="array" ref="AG13">CalculerNouvelleDate(Q13,AF13)</f>
        <v/>
      </c>
      <c r="AH13" s="68" t="str" cm="1">
        <f t="array" ref="AH13">CalculerNouvelleDate(R13,AG13)</f>
        <v/>
      </c>
      <c r="AI13" s="68" t="str" cm="1">
        <f t="array" ref="AI13">CalculerNouvelleDate(S13,AH13)</f>
        <v/>
      </c>
      <c r="AJ13" s="68" t="str" cm="1">
        <f t="array" ref="AJ13">CalculerNouvelleDate(T13,AI13)</f>
        <v/>
      </c>
      <c r="AK13" s="68" t="str" cm="1">
        <f t="array" ref="AK13">CalculerNouvelleDate(U13,AJ13)</f>
        <v/>
      </c>
      <c r="AL13" s="68" t="str" cm="1">
        <f t="array" ref="AL13">CalculerNouvelleDate(V13,AK13)</f>
        <v/>
      </c>
      <c r="AM13" s="83" t="str" cm="1">
        <f t="array" ref="AM13">CorrespondanceDAte(X13:AL13,D14)</f>
        <v>0</v>
      </c>
      <c r="AN13" s="1"/>
      <c r="AO13" s="1"/>
      <c r="AP13" s="1"/>
      <c r="AQ13" s="1"/>
      <c r="AR13" s="1"/>
      <c r="AS13" s="1"/>
      <c r="AT13" s="1"/>
      <c r="AU13" s="1"/>
      <c r="AV13" s="1"/>
      <c r="AW13" s="1"/>
      <c r="AX13" s="1"/>
      <c r="AY13" s="1"/>
      <c r="AZ13" s="1"/>
      <c r="BA13" s="1"/>
    </row>
    <row r="14" spans="1:53" x14ac:dyDescent="0.3">
      <c r="A14" s="21"/>
      <c r="B14" s="11"/>
      <c r="C14" s="69" t="s">
        <v>540</v>
      </c>
      <c r="D14" s="1" t="s">
        <v>544</v>
      </c>
      <c r="E14" s="1"/>
      <c r="F14" s="1"/>
      <c r="G14" s="1"/>
      <c r="H14" s="90"/>
      <c r="I14" s="102">
        <v>2</v>
      </c>
      <c r="J14" s="94">
        <v>7</v>
      </c>
      <c r="K14" s="97">
        <v>10</v>
      </c>
      <c r="L14" s="46"/>
      <c r="M14" s="46"/>
      <c r="N14" s="46"/>
      <c r="O14" s="46"/>
      <c r="P14" s="46"/>
      <c r="Q14" s="46"/>
      <c r="R14" s="46"/>
      <c r="S14" s="46"/>
      <c r="T14" s="46"/>
      <c r="U14" s="46"/>
      <c r="V14" s="46"/>
      <c r="W14" s="62"/>
      <c r="X14" s="67">
        <v>45296</v>
      </c>
      <c r="Y14" s="68" t="str" cm="1">
        <f t="array" ref="Y14">CalculerNouvelleDate(I14,X14)</f>
        <v>07/01</v>
      </c>
      <c r="Z14" s="68" t="str" cm="1">
        <f t="array" ref="Z14">CalculerNouvelleDate(J14,Y14)</f>
        <v>16/01</v>
      </c>
      <c r="AA14" s="68" t="str" cm="1">
        <f t="array" ref="AA14">CalculerNouvelleDate(K14,Z14)</f>
        <v>31/01</v>
      </c>
      <c r="AB14" s="68" t="str" cm="1">
        <f t="array" ref="AB14">CalculerNouvelleDate(L14,AA14)</f>
        <v/>
      </c>
      <c r="AC14" s="68" t="str" cm="1">
        <f t="array" ref="AC14">CalculerNouvelleDate(M14,AB14)</f>
        <v/>
      </c>
      <c r="AD14" s="68" t="str" cm="1">
        <f t="array" ref="AD14">CalculerNouvelleDate(N14,AC14)</f>
        <v/>
      </c>
      <c r="AE14" s="68" t="str" cm="1">
        <f t="array" ref="AE14">CalculerNouvelleDate(O14,AD14)</f>
        <v/>
      </c>
      <c r="AF14" s="68" t="str" cm="1">
        <f t="array" ref="AF14">CalculerNouvelleDate(P14,AE14)</f>
        <v/>
      </c>
      <c r="AG14" s="68" t="str" cm="1">
        <f t="array" ref="AG14">CalculerNouvelleDate(Q14,AF14)</f>
        <v/>
      </c>
      <c r="AH14" s="68" t="str" cm="1">
        <f t="array" ref="AH14">CalculerNouvelleDate(R14,AG14)</f>
        <v/>
      </c>
      <c r="AI14" s="68" t="str" cm="1">
        <f t="array" ref="AI14">CalculerNouvelleDate(S14,AH14)</f>
        <v/>
      </c>
      <c r="AJ14" s="68" t="str" cm="1">
        <f t="array" ref="AJ14">CalculerNouvelleDate(T14,AI14)</f>
        <v/>
      </c>
      <c r="AK14" s="68" t="str" cm="1">
        <f t="array" ref="AK14">CalculerNouvelleDate(U14,AJ14)</f>
        <v/>
      </c>
      <c r="AL14" s="68" t="str" cm="1">
        <f t="array" ref="AL14">CalculerNouvelleDate(V14,AK14)</f>
        <v/>
      </c>
      <c r="AM14" s="83" t="str" cm="1">
        <f t="array" ref="AM14">CorrespondanceDAte(X14:AL14,D15)</f>
        <v>0</v>
      </c>
      <c r="AN14" s="1"/>
      <c r="AO14" s="1"/>
      <c r="AP14" s="1"/>
      <c r="AQ14" s="1"/>
      <c r="AR14" s="1"/>
      <c r="AS14" s="1"/>
      <c r="AT14" s="1"/>
      <c r="AU14" s="1"/>
      <c r="AV14" s="1"/>
      <c r="AW14" s="1"/>
      <c r="AX14" s="1"/>
      <c r="AY14" s="1"/>
      <c r="AZ14" s="1"/>
      <c r="BA14" s="1"/>
    </row>
    <row r="15" spans="1:53" x14ac:dyDescent="0.3">
      <c r="A15" s="1"/>
      <c r="B15" s="11">
        <v>2</v>
      </c>
      <c r="C15" s="1" t="s">
        <v>12</v>
      </c>
      <c r="D15" s="1"/>
      <c r="E15" s="1"/>
      <c r="F15" s="1"/>
      <c r="G15" s="1"/>
      <c r="H15" s="90" t="s">
        <v>819</v>
      </c>
      <c r="I15" s="44"/>
      <c r="J15" s="44"/>
      <c r="K15" s="44"/>
      <c r="L15" s="46"/>
      <c r="M15" s="44"/>
      <c r="N15" s="46"/>
      <c r="O15" s="46"/>
      <c r="P15" s="46"/>
      <c r="Q15" s="46"/>
      <c r="R15" s="46"/>
      <c r="S15" s="46"/>
      <c r="T15" s="46"/>
      <c r="U15" s="46"/>
      <c r="V15" s="46"/>
      <c r="W15" s="62"/>
      <c r="X15" s="67"/>
      <c r="Y15" s="68" t="str" cm="1">
        <f t="array" ref="Y15">CalculerNouvelleDate(I15,X15)</f>
        <v/>
      </c>
      <c r="Z15" s="68" t="str" cm="1">
        <f t="array" ref="Z15">CalculerNouvelleDate(J15,Y15)</f>
        <v/>
      </c>
      <c r="AA15" s="68" t="str" cm="1">
        <f t="array" ref="AA15">CalculerNouvelleDate(K15,Z15)</f>
        <v/>
      </c>
      <c r="AB15" s="68" t="str" cm="1">
        <f t="array" ref="AB15">CalculerNouvelleDate(L15,AA15)</f>
        <v/>
      </c>
      <c r="AC15" s="68" t="str" cm="1">
        <f t="array" ref="AC15">CalculerNouvelleDate(M15,AB15)</f>
        <v/>
      </c>
      <c r="AD15" s="68" t="str" cm="1">
        <f t="array" ref="AD15">CalculerNouvelleDate(N15,AC15)</f>
        <v/>
      </c>
      <c r="AE15" s="68" t="str" cm="1">
        <f t="array" ref="AE15">CalculerNouvelleDate(O15,AD15)</f>
        <v/>
      </c>
      <c r="AF15" s="68" t="str" cm="1">
        <f t="array" ref="AF15">CalculerNouvelleDate(P15,AE15)</f>
        <v/>
      </c>
      <c r="AG15" s="68" t="str" cm="1">
        <f t="array" ref="AG15">CalculerNouvelleDate(Q15,AF15)</f>
        <v/>
      </c>
      <c r="AH15" s="68" t="str" cm="1">
        <f t="array" ref="AH15">CalculerNouvelleDate(R15,AG15)</f>
        <v/>
      </c>
      <c r="AI15" s="68" t="str" cm="1">
        <f t="array" ref="AI15">CalculerNouvelleDate(S15,AH15)</f>
        <v/>
      </c>
      <c r="AJ15" s="68" t="str" cm="1">
        <f t="array" ref="AJ15">CalculerNouvelleDate(T15,AI15)</f>
        <v/>
      </c>
      <c r="AK15" s="68" t="str" cm="1">
        <f t="array" ref="AK15">CalculerNouvelleDate(U15,AJ15)</f>
        <v/>
      </c>
      <c r="AL15" s="68" t="str" cm="1">
        <f t="array" ref="AL15">CalculerNouvelleDate(V15,AK15)</f>
        <v/>
      </c>
      <c r="AM15" s="83" t="str" cm="1">
        <f t="array" ref="AM15">CorrespondanceDAte(X15:AL15,D16)</f>
        <v>0</v>
      </c>
      <c r="AN15" s="1"/>
      <c r="AO15" s="1"/>
      <c r="AP15" s="1"/>
      <c r="AQ15" s="1"/>
      <c r="AR15" s="1"/>
      <c r="AS15" s="1"/>
      <c r="AT15" s="1"/>
      <c r="AU15" s="1"/>
      <c r="AV15" s="1"/>
      <c r="AW15" s="1"/>
      <c r="AX15" s="1"/>
      <c r="AY15" s="1"/>
      <c r="AZ15" s="1"/>
      <c r="BA15" s="1"/>
    </row>
    <row r="16" spans="1:53" x14ac:dyDescent="0.3">
      <c r="A16" s="1"/>
      <c r="B16" s="11"/>
      <c r="C16" s="69" t="s">
        <v>533</v>
      </c>
      <c r="D16" s="1" t="s">
        <v>546</v>
      </c>
      <c r="E16" s="1"/>
      <c r="F16" s="1"/>
      <c r="G16" s="1"/>
      <c r="H16" s="90"/>
      <c r="I16" s="99">
        <v>5</v>
      </c>
      <c r="J16" s="94">
        <v>7</v>
      </c>
      <c r="K16" s="44"/>
      <c r="L16" s="46"/>
      <c r="M16" s="44"/>
      <c r="N16" s="46"/>
      <c r="O16" s="46"/>
      <c r="P16" s="46"/>
      <c r="Q16" s="46"/>
      <c r="R16" s="46"/>
      <c r="S16" s="46"/>
      <c r="T16" s="46"/>
      <c r="U16" s="46"/>
      <c r="V16" s="46"/>
      <c r="W16" s="62"/>
      <c r="X16" s="67">
        <v>45333</v>
      </c>
      <c r="Y16" s="68" t="str" cm="1">
        <f t="array" ref="Y16">CalculerNouvelleDate(I16,X16)</f>
        <v>16/02</v>
      </c>
      <c r="Z16" s="68" t="str" cm="1">
        <f t="array" ref="Z16">CalculerNouvelleDate(J16,Y16)</f>
        <v>25/02</v>
      </c>
      <c r="AA16" s="68" t="str" cm="1">
        <f t="array" ref="AA16">CalculerNouvelleDate(K16,Z16)</f>
        <v/>
      </c>
      <c r="AB16" s="68" t="str" cm="1">
        <f t="array" ref="AB16">CalculerNouvelleDate(L16,AA16)</f>
        <v/>
      </c>
      <c r="AC16" s="68" t="str" cm="1">
        <f t="array" ref="AC16">CalculerNouvelleDate(M16,AB16)</f>
        <v/>
      </c>
      <c r="AD16" s="68" t="str" cm="1">
        <f t="array" ref="AD16">CalculerNouvelleDate(N16,AC16)</f>
        <v/>
      </c>
      <c r="AE16" s="68" t="str" cm="1">
        <f t="array" ref="AE16">CalculerNouvelleDate(O16,AD16)</f>
        <v/>
      </c>
      <c r="AF16" s="68" t="str" cm="1">
        <f t="array" ref="AF16">CalculerNouvelleDate(P16,AE16)</f>
        <v/>
      </c>
      <c r="AG16" s="68" t="str" cm="1">
        <f t="array" ref="AG16">CalculerNouvelleDate(Q16,AF16)</f>
        <v/>
      </c>
      <c r="AH16" s="68" t="str" cm="1">
        <f t="array" ref="AH16">CalculerNouvelleDate(R16,AG16)</f>
        <v/>
      </c>
      <c r="AI16" s="68" t="str" cm="1">
        <f t="array" ref="AI16">CalculerNouvelleDate(S16,AH16)</f>
        <v/>
      </c>
      <c r="AJ16" s="68" t="str" cm="1">
        <f t="array" ref="AJ16">CalculerNouvelleDate(T16,AI16)</f>
        <v/>
      </c>
      <c r="AK16" s="68" t="str" cm="1">
        <f t="array" ref="AK16">CalculerNouvelleDate(U16,AJ16)</f>
        <v/>
      </c>
      <c r="AL16" s="68" t="str" cm="1">
        <f t="array" ref="AL16">CalculerNouvelleDate(V16,AK16)</f>
        <v/>
      </c>
      <c r="AM16" s="83" t="str" cm="1">
        <f t="array" ref="AM16">CorrespondanceDAte(X16:AL16,D17)</f>
        <v>Implied Return and Growth</v>
      </c>
      <c r="AN16" s="1"/>
      <c r="AO16" s="1"/>
      <c r="AP16" s="1"/>
      <c r="AQ16" s="1"/>
      <c r="AR16" s="1"/>
      <c r="AS16" s="1"/>
      <c r="AT16" s="1"/>
      <c r="AU16" s="1"/>
      <c r="AV16" s="1"/>
      <c r="AW16" s="1"/>
      <c r="AX16" s="1"/>
      <c r="AY16" s="1"/>
      <c r="AZ16" s="1"/>
      <c r="BA16" s="1"/>
    </row>
    <row r="17" spans="1:53" x14ac:dyDescent="0.3">
      <c r="A17" s="1"/>
      <c r="B17" s="11"/>
      <c r="C17" s="69" t="s">
        <v>535</v>
      </c>
      <c r="D17" s="1" t="s">
        <v>547</v>
      </c>
      <c r="E17" s="1"/>
      <c r="F17" s="1"/>
      <c r="G17" s="1"/>
      <c r="H17" s="90"/>
      <c r="I17" s="44"/>
      <c r="J17" s="44"/>
      <c r="K17" s="44"/>
      <c r="L17" s="46"/>
      <c r="M17" s="44"/>
      <c r="N17" s="46"/>
      <c r="O17" s="46"/>
      <c r="P17" s="46"/>
      <c r="Q17" s="46"/>
      <c r="R17" s="46"/>
      <c r="S17" s="46"/>
      <c r="T17" s="46"/>
      <c r="U17" s="46"/>
      <c r="V17" s="46"/>
      <c r="W17" s="62"/>
      <c r="X17" s="67"/>
      <c r="Y17" s="68" t="str" cm="1">
        <f t="array" ref="Y17">CalculerNouvelleDate(I17,X17)</f>
        <v/>
      </c>
      <c r="Z17" s="68" t="str" cm="1">
        <f t="array" ref="Z17">CalculerNouvelleDate(J17,Y17)</f>
        <v/>
      </c>
      <c r="AA17" s="68" t="str" cm="1">
        <f t="array" ref="AA17">CalculerNouvelleDate(K17,Z17)</f>
        <v/>
      </c>
      <c r="AB17" s="68" t="str" cm="1">
        <f t="array" ref="AB17">CalculerNouvelleDate(L17,AA17)</f>
        <v/>
      </c>
      <c r="AC17" s="68" t="str" cm="1">
        <f t="array" ref="AC17">CalculerNouvelleDate(M17,AB17)</f>
        <v/>
      </c>
      <c r="AD17" s="68" t="str" cm="1">
        <f t="array" ref="AD17">CalculerNouvelleDate(N17,AC17)</f>
        <v/>
      </c>
      <c r="AE17" s="68" t="str" cm="1">
        <f t="array" ref="AE17">CalculerNouvelleDate(O17,AD17)</f>
        <v/>
      </c>
      <c r="AF17" s="68" t="str" cm="1">
        <f t="array" ref="AF17">CalculerNouvelleDate(P17,AE17)</f>
        <v/>
      </c>
      <c r="AG17" s="68" t="str" cm="1">
        <f t="array" ref="AG17">CalculerNouvelleDate(Q17,AF17)</f>
        <v/>
      </c>
      <c r="AH17" s="68" t="str" cm="1">
        <f t="array" ref="AH17">CalculerNouvelleDate(R17,AG17)</f>
        <v/>
      </c>
      <c r="AI17" s="68" t="str" cm="1">
        <f t="array" ref="AI17">CalculerNouvelleDate(S17,AH17)</f>
        <v/>
      </c>
      <c r="AJ17" s="68" t="str" cm="1">
        <f t="array" ref="AJ17">CalculerNouvelleDate(T17,AI17)</f>
        <v/>
      </c>
      <c r="AK17" s="68" t="str" cm="1">
        <f t="array" ref="AK17">CalculerNouvelleDate(U17,AJ17)</f>
        <v/>
      </c>
      <c r="AL17" s="68" t="str" cm="1">
        <f t="array" ref="AL17">CalculerNouvelleDate(V17,AK17)</f>
        <v/>
      </c>
      <c r="AM17" s="83" t="str" cm="1">
        <f t="array" ref="AM17">CorrespondanceDAte(X17:AL17,D18)</f>
        <v>0</v>
      </c>
      <c r="AN17" s="1"/>
      <c r="AO17" s="1"/>
      <c r="AP17" s="1"/>
      <c r="AQ17" s="1"/>
      <c r="AR17" s="1"/>
      <c r="AS17" s="1"/>
      <c r="AT17" s="1"/>
      <c r="AU17" s="1"/>
      <c r="AV17" s="1"/>
      <c r="AW17" s="1"/>
      <c r="AX17" s="1"/>
      <c r="AY17" s="1"/>
      <c r="AZ17" s="1"/>
      <c r="BA17" s="1"/>
    </row>
    <row r="18" spans="1:53" x14ac:dyDescent="0.3">
      <c r="A18" s="1"/>
      <c r="B18" s="11"/>
      <c r="C18" s="69" t="s">
        <v>545</v>
      </c>
      <c r="D18" s="1" t="s">
        <v>548</v>
      </c>
      <c r="E18" s="1"/>
      <c r="F18" s="1"/>
      <c r="G18" s="1"/>
      <c r="H18" s="90"/>
      <c r="I18" s="44"/>
      <c r="J18" s="44"/>
      <c r="K18" s="44"/>
      <c r="L18" s="46"/>
      <c r="M18" s="44"/>
      <c r="N18" s="46"/>
      <c r="O18" s="46"/>
      <c r="P18" s="46"/>
      <c r="Q18" s="46"/>
      <c r="R18" s="46"/>
      <c r="S18" s="46"/>
      <c r="T18" s="46"/>
      <c r="U18" s="46"/>
      <c r="V18" s="46"/>
      <c r="W18" s="62"/>
      <c r="X18" s="67"/>
      <c r="Y18" s="68" t="str" cm="1">
        <f t="array" ref="Y18">CalculerNouvelleDate(I18,X18)</f>
        <v/>
      </c>
      <c r="Z18" s="68" t="str" cm="1">
        <f t="array" ref="Z18">CalculerNouvelleDate(J18,Y18)</f>
        <v/>
      </c>
      <c r="AA18" s="68" t="str" cm="1">
        <f t="array" ref="AA18">CalculerNouvelleDate(K18,Z18)</f>
        <v/>
      </c>
      <c r="AB18" s="68" t="str" cm="1">
        <f t="array" ref="AB18">CalculerNouvelleDate(L18,AA18)</f>
        <v/>
      </c>
      <c r="AC18" s="68" t="str" cm="1">
        <f t="array" ref="AC18">CalculerNouvelleDate(M18,AB18)</f>
        <v/>
      </c>
      <c r="AD18" s="68" t="str" cm="1">
        <f t="array" ref="AD18">CalculerNouvelleDate(N18,AC18)</f>
        <v/>
      </c>
      <c r="AE18" s="68" t="str" cm="1">
        <f t="array" ref="AE18">CalculerNouvelleDate(O18,AD18)</f>
        <v/>
      </c>
      <c r="AF18" s="68" t="str" cm="1">
        <f t="array" ref="AF18">CalculerNouvelleDate(P18,AE18)</f>
        <v/>
      </c>
      <c r="AG18" s="68" t="str" cm="1">
        <f t="array" ref="AG18">CalculerNouvelleDate(Q18,AF18)</f>
        <v/>
      </c>
      <c r="AH18" s="68" t="str" cm="1">
        <f t="array" ref="AH18">CalculerNouvelleDate(R18,AG18)</f>
        <v/>
      </c>
      <c r="AI18" s="68" t="str" cm="1">
        <f t="array" ref="AI18">CalculerNouvelleDate(S18,AH18)</f>
        <v/>
      </c>
      <c r="AJ18" s="68" t="str" cm="1">
        <f t="array" ref="AJ18">CalculerNouvelleDate(T18,AI18)</f>
        <v/>
      </c>
      <c r="AK18" s="68" t="str" cm="1">
        <f t="array" ref="AK18">CalculerNouvelleDate(U18,AJ18)</f>
        <v/>
      </c>
      <c r="AL18" s="68" t="str" cm="1">
        <f t="array" ref="AL18">CalculerNouvelleDate(V18,AK18)</f>
        <v/>
      </c>
      <c r="AM18" s="83" t="str" cm="1">
        <f t="array" ref="AM18">CorrespondanceDAte(X18:AL18,D19)</f>
        <v>0</v>
      </c>
      <c r="AN18" s="1"/>
      <c r="AO18" s="1"/>
      <c r="AP18" s="1"/>
      <c r="AQ18" s="1"/>
      <c r="AR18" s="1"/>
      <c r="AS18" s="1"/>
      <c r="AT18" s="1"/>
      <c r="AU18" s="1"/>
      <c r="AV18" s="1"/>
      <c r="AW18" s="1"/>
      <c r="AX18" s="1"/>
      <c r="AY18" s="1"/>
      <c r="AZ18" s="1"/>
      <c r="BA18" s="1"/>
    </row>
    <row r="19" spans="1:53" x14ac:dyDescent="0.3">
      <c r="A19" s="1"/>
      <c r="B19" s="11">
        <v>3</v>
      </c>
      <c r="C19" s="1" t="s">
        <v>13</v>
      </c>
      <c r="D19" s="1"/>
      <c r="E19" s="1"/>
      <c r="F19" s="1"/>
      <c r="G19" s="1"/>
      <c r="H19" s="90" t="s">
        <v>821</v>
      </c>
      <c r="I19" s="44"/>
      <c r="J19" s="46"/>
      <c r="K19" s="44"/>
      <c r="L19" s="46"/>
      <c r="M19" s="44"/>
      <c r="N19" s="46"/>
      <c r="O19" s="46"/>
      <c r="P19" s="46"/>
      <c r="Q19" s="46"/>
      <c r="R19" s="46"/>
      <c r="S19" s="46"/>
      <c r="T19" s="46"/>
      <c r="U19" s="46"/>
      <c r="V19" s="46"/>
      <c r="W19" s="62"/>
      <c r="X19" s="67"/>
      <c r="Y19" s="68" t="str" cm="1">
        <f t="array" ref="Y19">CalculerNouvelleDate(I19,X19)</f>
        <v/>
      </c>
      <c r="Z19" s="68" t="str" cm="1">
        <f t="array" ref="Z19">CalculerNouvelleDate(J19,Y19)</f>
        <v/>
      </c>
      <c r="AA19" s="68" t="str" cm="1">
        <f t="array" ref="AA19">CalculerNouvelleDate(K19,Z19)</f>
        <v/>
      </c>
      <c r="AB19" s="68" t="str" cm="1">
        <f t="array" ref="AB19">CalculerNouvelleDate(L19,AA19)</f>
        <v/>
      </c>
      <c r="AC19" s="68" t="str" cm="1">
        <f t="array" ref="AC19">CalculerNouvelleDate(M19,AB19)</f>
        <v/>
      </c>
      <c r="AD19" s="68" t="str" cm="1">
        <f t="array" ref="AD19">CalculerNouvelleDate(N19,AC19)</f>
        <v/>
      </c>
      <c r="AE19" s="68" t="str" cm="1">
        <f t="array" ref="AE19">CalculerNouvelleDate(O19,AD19)</f>
        <v/>
      </c>
      <c r="AF19" s="68" t="str" cm="1">
        <f t="array" ref="AF19">CalculerNouvelleDate(P19,AE19)</f>
        <v/>
      </c>
      <c r="AG19" s="68" t="str" cm="1">
        <f t="array" ref="AG19">CalculerNouvelleDate(Q19,AF19)</f>
        <v/>
      </c>
      <c r="AH19" s="68" t="str" cm="1">
        <f t="array" ref="AH19">CalculerNouvelleDate(R19,AG19)</f>
        <v/>
      </c>
      <c r="AI19" s="68" t="str" cm="1">
        <f t="array" ref="AI19">CalculerNouvelleDate(S19,AH19)</f>
        <v/>
      </c>
      <c r="AJ19" s="68" t="str" cm="1">
        <f t="array" ref="AJ19">CalculerNouvelleDate(T19,AI19)</f>
        <v/>
      </c>
      <c r="AK19" s="68" t="str" cm="1">
        <f t="array" ref="AK19">CalculerNouvelleDate(U19,AJ19)</f>
        <v/>
      </c>
      <c r="AL19" s="68" t="str" cm="1">
        <f t="array" ref="AL19">CalculerNouvelleDate(V19,AK19)</f>
        <v/>
      </c>
      <c r="AM19" s="83" t="str" cm="1">
        <f t="array" ref="AM19">CorrespondanceDAte(X19:AL19,D20)</f>
        <v>0</v>
      </c>
      <c r="AN19" s="1"/>
      <c r="AO19" s="1"/>
      <c r="AP19" s="1"/>
      <c r="AQ19" s="1"/>
      <c r="AR19" s="1"/>
      <c r="AS19" s="1"/>
      <c r="AT19" s="1"/>
      <c r="AU19" s="1"/>
      <c r="AV19" s="1"/>
      <c r="AW19" s="1"/>
      <c r="AX19" s="1"/>
      <c r="AY19" s="1"/>
      <c r="AZ19" s="1"/>
      <c r="BA19" s="1"/>
    </row>
    <row r="20" spans="1:53" x14ac:dyDescent="0.3">
      <c r="A20" s="1"/>
      <c r="B20" s="11"/>
      <c r="C20" s="69" t="s">
        <v>549</v>
      </c>
      <c r="D20" s="1" t="s">
        <v>552</v>
      </c>
      <c r="E20" s="1"/>
      <c r="F20" s="1"/>
      <c r="G20" s="1"/>
      <c r="H20" s="91"/>
      <c r="I20" s="44"/>
      <c r="J20" s="46"/>
      <c r="K20" s="44"/>
      <c r="L20" s="46"/>
      <c r="M20" s="44"/>
      <c r="N20" s="46"/>
      <c r="O20" s="46"/>
      <c r="P20" s="46"/>
      <c r="Q20" s="46"/>
      <c r="R20" s="46"/>
      <c r="S20" s="46"/>
      <c r="T20" s="46"/>
      <c r="U20" s="46"/>
      <c r="V20" s="46"/>
      <c r="W20" s="62"/>
      <c r="X20" s="67"/>
      <c r="Y20" s="68" t="str" cm="1">
        <f t="array" ref="Y20">CalculerNouvelleDate(I20,X20)</f>
        <v/>
      </c>
      <c r="Z20" s="68" t="str" cm="1">
        <f t="array" ref="Z20">CalculerNouvelleDate(J20,Y20)</f>
        <v/>
      </c>
      <c r="AA20" s="68" t="str" cm="1">
        <f t="array" ref="AA20">CalculerNouvelleDate(K20,Z20)</f>
        <v/>
      </c>
      <c r="AB20" s="68" t="str" cm="1">
        <f t="array" ref="AB20">CalculerNouvelleDate(L20,AA20)</f>
        <v/>
      </c>
      <c r="AC20" s="68" t="str" cm="1">
        <f t="array" ref="AC20">CalculerNouvelleDate(M20,AB20)</f>
        <v/>
      </c>
      <c r="AD20" s="68" t="str" cm="1">
        <f t="array" ref="AD20">CalculerNouvelleDate(N20,AC20)</f>
        <v/>
      </c>
      <c r="AE20" s="68" t="str" cm="1">
        <f t="array" ref="AE20">CalculerNouvelleDate(O20,AD20)</f>
        <v/>
      </c>
      <c r="AF20" s="68" t="str" cm="1">
        <f t="array" ref="AF20">CalculerNouvelleDate(P20,AE20)</f>
        <v/>
      </c>
      <c r="AG20" s="68" t="str" cm="1">
        <f t="array" ref="AG20">CalculerNouvelleDate(Q20,AF20)</f>
        <v/>
      </c>
      <c r="AH20" s="68" t="str" cm="1">
        <f t="array" ref="AH20">CalculerNouvelleDate(R20,AG20)</f>
        <v/>
      </c>
      <c r="AI20" s="68" t="str" cm="1">
        <f t="array" ref="AI20">CalculerNouvelleDate(S20,AH20)</f>
        <v/>
      </c>
      <c r="AJ20" s="68" t="str" cm="1">
        <f t="array" ref="AJ20">CalculerNouvelleDate(T20,AI20)</f>
        <v/>
      </c>
      <c r="AK20" s="68" t="str" cm="1">
        <f t="array" ref="AK20">CalculerNouvelleDate(U20,AJ20)</f>
        <v/>
      </c>
      <c r="AL20" s="68" t="str" cm="1">
        <f t="array" ref="AL20">CalculerNouvelleDate(V20,AK20)</f>
        <v/>
      </c>
      <c r="AM20" s="83" t="str" cm="1">
        <f t="array" ref="AM20">CorrespondanceDAte(X20:AL20,D21)</f>
        <v>0</v>
      </c>
      <c r="AN20" s="1"/>
      <c r="AO20" s="1"/>
      <c r="AP20" s="1"/>
      <c r="AQ20" s="1"/>
      <c r="AR20" s="1"/>
      <c r="AS20" s="1"/>
      <c r="AT20" s="1"/>
      <c r="AU20" s="1"/>
      <c r="AV20" s="1"/>
      <c r="AW20" s="1"/>
      <c r="AX20" s="1"/>
      <c r="AY20" s="1"/>
      <c r="AZ20" s="1"/>
      <c r="BA20" s="1"/>
    </row>
    <row r="21" spans="1:53" x14ac:dyDescent="0.3">
      <c r="A21" s="1"/>
      <c r="B21" s="11"/>
      <c r="C21" s="69" t="s">
        <v>536</v>
      </c>
      <c r="D21" s="1" t="s">
        <v>553</v>
      </c>
      <c r="E21" s="1"/>
      <c r="F21" s="1"/>
      <c r="G21" s="1"/>
      <c r="H21" s="91"/>
      <c r="I21" s="44"/>
      <c r="J21" s="46"/>
      <c r="K21" s="44"/>
      <c r="L21" s="46"/>
      <c r="M21" s="44"/>
      <c r="N21" s="46"/>
      <c r="O21" s="46"/>
      <c r="P21" s="46"/>
      <c r="Q21" s="46"/>
      <c r="R21" s="46"/>
      <c r="S21" s="46"/>
      <c r="T21" s="46"/>
      <c r="U21" s="46"/>
      <c r="V21" s="46"/>
      <c r="W21" s="62"/>
      <c r="X21" s="67"/>
      <c r="Y21" s="68" t="str" cm="1">
        <f t="array" ref="Y21">CalculerNouvelleDate(I21,X21)</f>
        <v/>
      </c>
      <c r="Z21" s="68" t="str" cm="1">
        <f t="array" ref="Z21">CalculerNouvelleDate(J21,Y21)</f>
        <v/>
      </c>
      <c r="AA21" s="68" t="str" cm="1">
        <f t="array" ref="AA21">CalculerNouvelleDate(K21,Z21)</f>
        <v/>
      </c>
      <c r="AB21" s="68" t="str" cm="1">
        <f t="array" ref="AB21">CalculerNouvelleDate(L21,AA21)</f>
        <v/>
      </c>
      <c r="AC21" s="68" t="str" cm="1">
        <f t="array" ref="AC21">CalculerNouvelleDate(M21,AB21)</f>
        <v/>
      </c>
      <c r="AD21" s="68" t="str" cm="1">
        <f t="array" ref="AD21">CalculerNouvelleDate(N21,AC21)</f>
        <v/>
      </c>
      <c r="AE21" s="68" t="str" cm="1">
        <f t="array" ref="AE21">CalculerNouvelleDate(O21,AD21)</f>
        <v/>
      </c>
      <c r="AF21" s="68" t="str" cm="1">
        <f t="array" ref="AF21">CalculerNouvelleDate(P21,AE21)</f>
        <v/>
      </c>
      <c r="AG21" s="68" t="str" cm="1">
        <f t="array" ref="AG21">CalculerNouvelleDate(Q21,AF21)</f>
        <v/>
      </c>
      <c r="AH21" s="68" t="str" cm="1">
        <f t="array" ref="AH21">CalculerNouvelleDate(R21,AG21)</f>
        <v/>
      </c>
      <c r="AI21" s="68" t="str" cm="1">
        <f t="array" ref="AI21">CalculerNouvelleDate(S21,AH21)</f>
        <v/>
      </c>
      <c r="AJ21" s="68" t="str" cm="1">
        <f t="array" ref="AJ21">CalculerNouvelleDate(T21,AI21)</f>
        <v/>
      </c>
      <c r="AK21" s="68" t="str" cm="1">
        <f t="array" ref="AK21">CalculerNouvelleDate(U21,AJ21)</f>
        <v/>
      </c>
      <c r="AL21" s="68" t="str" cm="1">
        <f t="array" ref="AL21">CalculerNouvelleDate(V21,AK21)</f>
        <v/>
      </c>
      <c r="AM21" s="83" t="str" cm="1">
        <f t="array" ref="AM21">CorrespondanceDAte(X21:AL21,D22)</f>
        <v>0</v>
      </c>
      <c r="AN21" s="1"/>
      <c r="AO21" s="1"/>
      <c r="AP21" s="1"/>
      <c r="AQ21" s="1"/>
      <c r="AR21" s="1"/>
      <c r="AS21" s="1"/>
      <c r="AT21" s="1"/>
      <c r="AU21" s="1"/>
      <c r="AV21" s="1"/>
      <c r="AW21" s="1"/>
      <c r="AX21" s="1"/>
      <c r="AY21" s="1"/>
      <c r="AZ21" s="1"/>
      <c r="BA21" s="1"/>
    </row>
    <row r="22" spans="1:53" x14ac:dyDescent="0.3">
      <c r="A22" s="1"/>
      <c r="B22" s="11"/>
      <c r="C22" s="69" t="s">
        <v>550</v>
      </c>
      <c r="D22" s="1" t="s">
        <v>554</v>
      </c>
      <c r="E22" s="1"/>
      <c r="F22" s="1"/>
      <c r="G22" s="1"/>
      <c r="H22" s="91"/>
      <c r="I22" s="44"/>
      <c r="J22" s="46"/>
      <c r="K22" s="44"/>
      <c r="L22" s="46"/>
      <c r="M22" s="44"/>
      <c r="N22" s="46"/>
      <c r="O22" s="46"/>
      <c r="P22" s="46"/>
      <c r="Q22" s="46"/>
      <c r="R22" s="46"/>
      <c r="S22" s="46"/>
      <c r="T22" s="46"/>
      <c r="U22" s="46"/>
      <c r="V22" s="46"/>
      <c r="W22" s="62"/>
      <c r="X22" s="67"/>
      <c r="Y22" s="68" t="str" cm="1">
        <f t="array" ref="Y22">CalculerNouvelleDate(I22,X22)</f>
        <v/>
      </c>
      <c r="Z22" s="68" t="str" cm="1">
        <f t="array" ref="Z22">CalculerNouvelleDate(J22,Y22)</f>
        <v/>
      </c>
      <c r="AA22" s="68" t="str" cm="1">
        <f t="array" ref="AA22">CalculerNouvelleDate(K22,Z22)</f>
        <v/>
      </c>
      <c r="AB22" s="68" t="str" cm="1">
        <f t="array" ref="AB22">CalculerNouvelleDate(L22,AA22)</f>
        <v/>
      </c>
      <c r="AC22" s="68" t="str" cm="1">
        <f t="array" ref="AC22">CalculerNouvelleDate(M22,AB22)</f>
        <v/>
      </c>
      <c r="AD22" s="68" t="str" cm="1">
        <f t="array" ref="AD22">CalculerNouvelleDate(N22,AC22)</f>
        <v/>
      </c>
      <c r="AE22" s="68" t="str" cm="1">
        <f t="array" ref="AE22">CalculerNouvelleDate(O22,AD22)</f>
        <v/>
      </c>
      <c r="AF22" s="68" t="str" cm="1">
        <f t="array" ref="AF22">CalculerNouvelleDate(P22,AE22)</f>
        <v/>
      </c>
      <c r="AG22" s="68" t="str" cm="1">
        <f t="array" ref="AG22">CalculerNouvelleDate(Q22,AF22)</f>
        <v/>
      </c>
      <c r="AH22" s="68" t="str" cm="1">
        <f t="array" ref="AH22">CalculerNouvelleDate(R22,AG22)</f>
        <v/>
      </c>
      <c r="AI22" s="68" t="str" cm="1">
        <f t="array" ref="AI22">CalculerNouvelleDate(S22,AH22)</f>
        <v/>
      </c>
      <c r="AJ22" s="68" t="str" cm="1">
        <f t="array" ref="AJ22">CalculerNouvelleDate(T22,AI22)</f>
        <v/>
      </c>
      <c r="AK22" s="68" t="str" cm="1">
        <f t="array" ref="AK22">CalculerNouvelleDate(U22,AJ22)</f>
        <v/>
      </c>
      <c r="AL22" s="68" t="str" cm="1">
        <f t="array" ref="AL22">CalculerNouvelleDate(V22,AK22)</f>
        <v/>
      </c>
      <c r="AM22" s="83" t="str" cm="1">
        <f t="array" ref="AM22">CorrespondanceDAte(X22:AL22,D23)</f>
        <v>0</v>
      </c>
      <c r="AN22" s="1"/>
      <c r="AO22" s="1"/>
      <c r="AP22" s="1"/>
      <c r="AQ22" s="1"/>
      <c r="AR22" s="1"/>
      <c r="AS22" s="1"/>
      <c r="AT22" s="1"/>
      <c r="AU22" s="1"/>
      <c r="AV22" s="1"/>
      <c r="AW22" s="1"/>
      <c r="AX22" s="1"/>
      <c r="AY22" s="1"/>
      <c r="AZ22" s="1"/>
      <c r="BA22" s="1"/>
    </row>
    <row r="23" spans="1:53" x14ac:dyDescent="0.3">
      <c r="A23" s="1"/>
      <c r="B23" s="11"/>
      <c r="C23" s="69" t="s">
        <v>551</v>
      </c>
      <c r="D23" s="1" t="s">
        <v>555</v>
      </c>
      <c r="E23" s="1"/>
      <c r="F23" s="1"/>
      <c r="G23" s="1"/>
      <c r="H23" s="91"/>
      <c r="I23" s="44"/>
      <c r="J23" s="46"/>
      <c r="K23" s="44"/>
      <c r="L23" s="46"/>
      <c r="M23" s="44"/>
      <c r="N23" s="46"/>
      <c r="O23" s="46"/>
      <c r="P23" s="46"/>
      <c r="Q23" s="46"/>
      <c r="R23" s="46"/>
      <c r="S23" s="46"/>
      <c r="T23" s="46"/>
      <c r="U23" s="46"/>
      <c r="V23" s="46"/>
      <c r="W23" s="62"/>
      <c r="X23" s="67"/>
      <c r="Y23" s="68" t="str" cm="1">
        <f t="array" ref="Y23">CalculerNouvelleDate(I23,X23)</f>
        <v/>
      </c>
      <c r="Z23" s="68" t="str" cm="1">
        <f t="array" ref="Z23">CalculerNouvelleDate(J23,Y23)</f>
        <v/>
      </c>
      <c r="AA23" s="68" t="str" cm="1">
        <f t="array" ref="AA23">CalculerNouvelleDate(K23,Z23)</f>
        <v/>
      </c>
      <c r="AB23" s="68" t="str" cm="1">
        <f t="array" ref="AB23">CalculerNouvelleDate(L23,AA23)</f>
        <v/>
      </c>
      <c r="AC23" s="68" t="str" cm="1">
        <f t="array" ref="AC23">CalculerNouvelleDate(M23,AB23)</f>
        <v/>
      </c>
      <c r="AD23" s="68" t="str" cm="1">
        <f t="array" ref="AD23">CalculerNouvelleDate(N23,AC23)</f>
        <v/>
      </c>
      <c r="AE23" s="68" t="str" cm="1">
        <f t="array" ref="AE23">CalculerNouvelleDate(O23,AD23)</f>
        <v/>
      </c>
      <c r="AF23" s="68" t="str" cm="1">
        <f t="array" ref="AF23">CalculerNouvelleDate(P23,AE23)</f>
        <v/>
      </c>
      <c r="AG23" s="68" t="str" cm="1">
        <f t="array" ref="AG23">CalculerNouvelleDate(Q23,AF23)</f>
        <v/>
      </c>
      <c r="AH23" s="68" t="str" cm="1">
        <f t="array" ref="AH23">CalculerNouvelleDate(R23,AG23)</f>
        <v/>
      </c>
      <c r="AI23" s="68" t="str" cm="1">
        <f t="array" ref="AI23">CalculerNouvelleDate(S23,AH23)</f>
        <v/>
      </c>
      <c r="AJ23" s="68" t="str" cm="1">
        <f t="array" ref="AJ23">CalculerNouvelleDate(T23,AI23)</f>
        <v/>
      </c>
      <c r="AK23" s="68" t="str" cm="1">
        <f t="array" ref="AK23">CalculerNouvelleDate(U23,AJ23)</f>
        <v/>
      </c>
      <c r="AL23" s="68" t="str" cm="1">
        <f t="array" ref="AL23">CalculerNouvelleDate(V23,AK23)</f>
        <v/>
      </c>
      <c r="AM23" s="83" t="str" cm="1">
        <f t="array" ref="AM23">CorrespondanceDAte(X23:AL23,D24)</f>
        <v>0</v>
      </c>
      <c r="AN23" s="1"/>
      <c r="AO23" s="1"/>
      <c r="AP23" s="1"/>
      <c r="AQ23" s="1"/>
      <c r="AR23" s="1"/>
      <c r="AS23" s="1"/>
      <c r="AT23" s="1"/>
      <c r="AU23" s="1"/>
      <c r="AV23" s="1"/>
      <c r="AW23" s="1"/>
      <c r="AX23" s="1"/>
      <c r="AY23" s="1"/>
      <c r="AZ23" s="1"/>
      <c r="BA23" s="1"/>
    </row>
    <row r="24" spans="1:53" x14ac:dyDescent="0.3">
      <c r="A24" s="1"/>
      <c r="B24" s="11">
        <v>4</v>
      </c>
      <c r="C24" s="1" t="s">
        <v>14</v>
      </c>
      <c r="D24" s="1"/>
      <c r="E24" s="1"/>
      <c r="F24" s="1"/>
      <c r="G24" s="1"/>
      <c r="H24" s="90" t="s">
        <v>823</v>
      </c>
      <c r="I24" s="44"/>
      <c r="J24" s="46"/>
      <c r="K24" s="44"/>
      <c r="L24" s="46"/>
      <c r="M24" s="44"/>
      <c r="N24" s="46"/>
      <c r="O24" s="46"/>
      <c r="P24" s="46"/>
      <c r="Q24" s="46"/>
      <c r="R24" s="46"/>
      <c r="S24" s="46"/>
      <c r="T24" s="46"/>
      <c r="U24" s="46"/>
      <c r="V24" s="46"/>
      <c r="W24" s="62"/>
      <c r="X24" s="67"/>
      <c r="Y24" s="68" t="str" cm="1">
        <f t="array" ref="Y24">CalculerNouvelleDate(I24,X24)</f>
        <v/>
      </c>
      <c r="Z24" s="68" t="str" cm="1">
        <f t="array" ref="Z24">CalculerNouvelleDate(J24,Y24)</f>
        <v/>
      </c>
      <c r="AA24" s="68" t="str" cm="1">
        <f t="array" ref="AA24">CalculerNouvelleDate(K24,Z24)</f>
        <v/>
      </c>
      <c r="AB24" s="68" t="str" cm="1">
        <f t="array" ref="AB24">CalculerNouvelleDate(L24,AA24)</f>
        <v/>
      </c>
      <c r="AC24" s="68" t="str" cm="1">
        <f t="array" ref="AC24">CalculerNouvelleDate(M24,AB24)</f>
        <v/>
      </c>
      <c r="AD24" s="68" t="str" cm="1">
        <f t="array" ref="AD24">CalculerNouvelleDate(N24,AC24)</f>
        <v/>
      </c>
      <c r="AE24" s="68" t="str" cm="1">
        <f t="array" ref="AE24">CalculerNouvelleDate(O24,AD24)</f>
        <v/>
      </c>
      <c r="AF24" s="68" t="str" cm="1">
        <f t="array" ref="AF24">CalculerNouvelleDate(P24,AE24)</f>
        <v/>
      </c>
      <c r="AG24" s="68" t="str" cm="1">
        <f t="array" ref="AG24">CalculerNouvelleDate(Q24,AF24)</f>
        <v/>
      </c>
      <c r="AH24" s="68" t="str" cm="1">
        <f t="array" ref="AH24">CalculerNouvelleDate(R24,AG24)</f>
        <v/>
      </c>
      <c r="AI24" s="68" t="str" cm="1">
        <f t="array" ref="AI24">CalculerNouvelleDate(S24,AH24)</f>
        <v/>
      </c>
      <c r="AJ24" s="68" t="str" cm="1">
        <f t="array" ref="AJ24">CalculerNouvelleDate(T24,AI24)</f>
        <v/>
      </c>
      <c r="AK24" s="68" t="str" cm="1">
        <f t="array" ref="AK24">CalculerNouvelleDate(U24,AJ24)</f>
        <v/>
      </c>
      <c r="AL24" s="68" t="str" cm="1">
        <f t="array" ref="AL24">CalculerNouvelleDate(V24,AK24)</f>
        <v/>
      </c>
      <c r="AM24" s="83" t="str" cm="1">
        <f t="array" ref="AM24">CorrespondanceDAte(X24:AL24,D25)</f>
        <v>0</v>
      </c>
      <c r="AN24" s="1"/>
      <c r="AO24" s="1"/>
      <c r="AP24" s="1"/>
      <c r="AQ24" s="1"/>
      <c r="AR24" s="1"/>
      <c r="AS24" s="1"/>
      <c r="AT24" s="1"/>
      <c r="AU24" s="1"/>
      <c r="AV24" s="1"/>
      <c r="AW24" s="1"/>
      <c r="AX24" s="1"/>
      <c r="AY24" s="1"/>
      <c r="AZ24" s="1"/>
      <c r="BA24" s="1"/>
    </row>
    <row r="25" spans="1:53" x14ac:dyDescent="0.3">
      <c r="A25" s="1"/>
      <c r="B25" s="11"/>
      <c r="C25" s="69" t="s">
        <v>556</v>
      </c>
      <c r="D25" s="1" t="s">
        <v>558</v>
      </c>
      <c r="E25" s="1"/>
      <c r="F25" s="1"/>
      <c r="G25" s="1"/>
      <c r="H25" s="91"/>
      <c r="I25" s="44"/>
      <c r="J25" s="46"/>
      <c r="K25" s="44"/>
      <c r="L25" s="46"/>
      <c r="M25" s="44"/>
      <c r="N25" s="46"/>
      <c r="O25" s="46"/>
      <c r="P25" s="46"/>
      <c r="Q25" s="46"/>
      <c r="R25" s="46"/>
      <c r="S25" s="46"/>
      <c r="T25" s="46"/>
      <c r="U25" s="46"/>
      <c r="V25" s="46"/>
      <c r="W25" s="62"/>
      <c r="X25" s="67"/>
      <c r="Y25" s="68" t="str" cm="1">
        <f t="array" ref="Y25">CalculerNouvelleDate(I25,X25)</f>
        <v/>
      </c>
      <c r="Z25" s="68" t="str" cm="1">
        <f t="array" ref="Z25">CalculerNouvelleDate(J25,Y25)</f>
        <v/>
      </c>
      <c r="AA25" s="68" t="str" cm="1">
        <f t="array" ref="AA25">CalculerNouvelleDate(K25,Z25)</f>
        <v/>
      </c>
      <c r="AB25" s="68" t="str" cm="1">
        <f t="array" ref="AB25">CalculerNouvelleDate(L25,AA25)</f>
        <v/>
      </c>
      <c r="AC25" s="68" t="str" cm="1">
        <f t="array" ref="AC25">CalculerNouvelleDate(M25,AB25)</f>
        <v/>
      </c>
      <c r="AD25" s="68" t="str" cm="1">
        <f t="array" ref="AD25">CalculerNouvelleDate(N25,AC25)</f>
        <v/>
      </c>
      <c r="AE25" s="68" t="str" cm="1">
        <f t="array" ref="AE25">CalculerNouvelleDate(O25,AD25)</f>
        <v/>
      </c>
      <c r="AF25" s="68" t="str" cm="1">
        <f t="array" ref="AF25">CalculerNouvelleDate(P25,AE25)</f>
        <v/>
      </c>
      <c r="AG25" s="68" t="str" cm="1">
        <f t="array" ref="AG25">CalculerNouvelleDate(Q25,AF25)</f>
        <v/>
      </c>
      <c r="AH25" s="68" t="str" cm="1">
        <f t="array" ref="AH25">CalculerNouvelleDate(R25,AG25)</f>
        <v/>
      </c>
      <c r="AI25" s="68" t="str" cm="1">
        <f t="array" ref="AI25">CalculerNouvelleDate(S25,AH25)</f>
        <v/>
      </c>
      <c r="AJ25" s="68" t="str" cm="1">
        <f t="array" ref="AJ25">CalculerNouvelleDate(T25,AI25)</f>
        <v/>
      </c>
      <c r="AK25" s="68" t="str" cm="1">
        <f t="array" ref="AK25">CalculerNouvelleDate(U25,AJ25)</f>
        <v/>
      </c>
      <c r="AL25" s="68" t="str" cm="1">
        <f t="array" ref="AL25">CalculerNouvelleDate(V25,AK25)</f>
        <v/>
      </c>
      <c r="AM25" s="83" t="str" cm="1">
        <f t="array" ref="AM25">CorrespondanceDAte(X25:AL25,D26)</f>
        <v>0</v>
      </c>
      <c r="AN25" s="1"/>
      <c r="AO25" s="1"/>
      <c r="AP25" s="1"/>
      <c r="AQ25" s="1"/>
      <c r="AR25" s="1"/>
      <c r="AS25" s="1"/>
      <c r="AT25" s="1"/>
      <c r="AU25" s="1"/>
      <c r="AV25" s="1"/>
      <c r="AW25" s="1"/>
      <c r="AX25" s="1"/>
      <c r="AY25" s="1"/>
      <c r="AZ25" s="1"/>
      <c r="BA25" s="1"/>
    </row>
    <row r="26" spans="1:53" x14ac:dyDescent="0.3">
      <c r="A26" s="1"/>
      <c r="B26" s="11"/>
      <c r="C26" s="69" t="s">
        <v>537</v>
      </c>
      <c r="D26" s="1" t="s">
        <v>14</v>
      </c>
      <c r="E26" s="1"/>
      <c r="F26" s="1"/>
      <c r="G26" s="1"/>
      <c r="H26" s="91"/>
      <c r="I26" s="44"/>
      <c r="J26" s="46"/>
      <c r="K26" s="44"/>
      <c r="L26" s="46"/>
      <c r="M26" s="44"/>
      <c r="N26" s="46"/>
      <c r="O26" s="46"/>
      <c r="P26" s="46"/>
      <c r="Q26" s="46"/>
      <c r="R26" s="46"/>
      <c r="S26" s="46"/>
      <c r="T26" s="46"/>
      <c r="U26" s="46"/>
      <c r="V26" s="46"/>
      <c r="W26" s="62"/>
      <c r="X26" s="67"/>
      <c r="Y26" s="68" t="str" cm="1">
        <f t="array" ref="Y26">CalculerNouvelleDate(I26,X26)</f>
        <v/>
      </c>
      <c r="Z26" s="68" t="str" cm="1">
        <f t="array" ref="Z26">CalculerNouvelleDate(J26,Y26)</f>
        <v/>
      </c>
      <c r="AA26" s="68" t="str" cm="1">
        <f t="array" ref="AA26">CalculerNouvelleDate(K26,Z26)</f>
        <v/>
      </c>
      <c r="AB26" s="68" t="str" cm="1">
        <f t="array" ref="AB26">CalculerNouvelleDate(L26,AA26)</f>
        <v/>
      </c>
      <c r="AC26" s="68" t="str" cm="1">
        <f t="array" ref="AC26">CalculerNouvelleDate(M26,AB26)</f>
        <v/>
      </c>
      <c r="AD26" s="68" t="str" cm="1">
        <f t="array" ref="AD26">CalculerNouvelleDate(N26,AC26)</f>
        <v/>
      </c>
      <c r="AE26" s="68" t="str" cm="1">
        <f t="array" ref="AE26">CalculerNouvelleDate(O26,AD26)</f>
        <v/>
      </c>
      <c r="AF26" s="68" t="str" cm="1">
        <f t="array" ref="AF26">CalculerNouvelleDate(P26,AE26)</f>
        <v/>
      </c>
      <c r="AG26" s="68" t="str" cm="1">
        <f t="array" ref="AG26">CalculerNouvelleDate(Q26,AF26)</f>
        <v/>
      </c>
      <c r="AH26" s="68" t="str" cm="1">
        <f t="array" ref="AH26">CalculerNouvelleDate(R26,AG26)</f>
        <v/>
      </c>
      <c r="AI26" s="68" t="str" cm="1">
        <f t="array" ref="AI26">CalculerNouvelleDate(S26,AH26)</f>
        <v/>
      </c>
      <c r="AJ26" s="68" t="str" cm="1">
        <f t="array" ref="AJ26">CalculerNouvelleDate(T26,AI26)</f>
        <v/>
      </c>
      <c r="AK26" s="68" t="str" cm="1">
        <f t="array" ref="AK26">CalculerNouvelleDate(U26,AJ26)</f>
        <v/>
      </c>
      <c r="AL26" s="68" t="str" cm="1">
        <f t="array" ref="AL26">CalculerNouvelleDate(V26,AK26)</f>
        <v/>
      </c>
      <c r="AM26" s="83" t="str" cm="1">
        <f t="array" ref="AM26">CorrespondanceDAte(X26:AL26,D27)</f>
        <v>0</v>
      </c>
      <c r="AN26" s="1"/>
      <c r="AO26" s="1"/>
      <c r="AP26" s="1"/>
      <c r="AQ26" s="1"/>
      <c r="AR26" s="1"/>
      <c r="AS26" s="1"/>
      <c r="AT26" s="1"/>
      <c r="AU26" s="1"/>
      <c r="AV26" s="1"/>
      <c r="AW26" s="1"/>
      <c r="AX26" s="1"/>
      <c r="AY26" s="1"/>
      <c r="AZ26" s="1"/>
      <c r="BA26" s="1"/>
    </row>
    <row r="27" spans="1:53" x14ac:dyDescent="0.3">
      <c r="A27" s="1"/>
      <c r="B27" s="11"/>
      <c r="C27" s="69" t="s">
        <v>557</v>
      </c>
      <c r="D27" s="1" t="s">
        <v>559</v>
      </c>
      <c r="E27" s="1"/>
      <c r="F27" s="1"/>
      <c r="G27" s="1"/>
      <c r="H27" s="91"/>
      <c r="I27" s="44"/>
      <c r="J27" s="46"/>
      <c r="K27" s="44"/>
      <c r="L27" s="46"/>
      <c r="M27" s="44"/>
      <c r="N27" s="46"/>
      <c r="O27" s="46"/>
      <c r="P27" s="46"/>
      <c r="Q27" s="46"/>
      <c r="R27" s="46"/>
      <c r="S27" s="46"/>
      <c r="T27" s="46"/>
      <c r="U27" s="46"/>
      <c r="V27" s="46"/>
      <c r="W27" s="62"/>
      <c r="X27" s="67"/>
      <c r="Y27" s="68" t="str" cm="1">
        <f t="array" ref="Y27">CalculerNouvelleDate(I27,X27)</f>
        <v/>
      </c>
      <c r="Z27" s="68" t="str" cm="1">
        <f t="array" ref="Z27">CalculerNouvelleDate(J27,Y27)</f>
        <v/>
      </c>
      <c r="AA27" s="68" t="str" cm="1">
        <f t="array" ref="AA27">CalculerNouvelleDate(K27,Z27)</f>
        <v/>
      </c>
      <c r="AB27" s="68" t="str" cm="1">
        <f t="array" ref="AB27">CalculerNouvelleDate(L27,AA27)</f>
        <v/>
      </c>
      <c r="AC27" s="68" t="str" cm="1">
        <f t="array" ref="AC27">CalculerNouvelleDate(M27,AB27)</f>
        <v/>
      </c>
      <c r="AD27" s="68" t="str" cm="1">
        <f t="array" ref="AD27">CalculerNouvelleDate(N27,AC27)</f>
        <v/>
      </c>
      <c r="AE27" s="68" t="str" cm="1">
        <f t="array" ref="AE27">CalculerNouvelleDate(O27,AD27)</f>
        <v/>
      </c>
      <c r="AF27" s="68" t="str" cm="1">
        <f t="array" ref="AF27">CalculerNouvelleDate(P27,AE27)</f>
        <v/>
      </c>
      <c r="AG27" s="68" t="str" cm="1">
        <f t="array" ref="AG27">CalculerNouvelleDate(Q27,AF27)</f>
        <v/>
      </c>
      <c r="AH27" s="68" t="str" cm="1">
        <f t="array" ref="AH27">CalculerNouvelleDate(R27,AG27)</f>
        <v/>
      </c>
      <c r="AI27" s="68" t="str" cm="1">
        <f t="array" ref="AI27">CalculerNouvelleDate(S27,AH27)</f>
        <v/>
      </c>
      <c r="AJ27" s="68" t="str" cm="1">
        <f t="array" ref="AJ27">CalculerNouvelleDate(T27,AI27)</f>
        <v/>
      </c>
      <c r="AK27" s="68" t="str" cm="1">
        <f t="array" ref="AK27">CalculerNouvelleDate(U27,AJ27)</f>
        <v/>
      </c>
      <c r="AL27" s="68" t="str" cm="1">
        <f t="array" ref="AL27">CalculerNouvelleDate(V27,AK27)</f>
        <v/>
      </c>
      <c r="AM27" s="83" t="str" cm="1">
        <f t="array" ref="AM27">CorrespondanceDAte(X27:AL27,D28)</f>
        <v>0</v>
      </c>
      <c r="AN27" s="1"/>
      <c r="AO27" s="1"/>
      <c r="AP27" s="1"/>
      <c r="AQ27" s="1"/>
      <c r="AR27" s="1"/>
      <c r="AS27" s="1"/>
      <c r="AT27" s="1"/>
      <c r="AU27" s="1"/>
      <c r="AV27" s="1"/>
      <c r="AW27" s="1"/>
      <c r="AX27" s="1"/>
      <c r="AY27" s="1"/>
      <c r="AZ27" s="1"/>
      <c r="BA27" s="1"/>
    </row>
    <row r="28" spans="1:53" x14ac:dyDescent="0.3">
      <c r="A28" s="1"/>
      <c r="B28" s="11">
        <v>5</v>
      </c>
      <c r="C28" s="1" t="s">
        <v>15</v>
      </c>
      <c r="D28" s="1"/>
      <c r="E28" s="1"/>
      <c r="F28" s="1"/>
      <c r="G28" s="1"/>
      <c r="H28" s="90" t="s">
        <v>825</v>
      </c>
      <c r="I28" s="45"/>
      <c r="J28" s="46"/>
      <c r="K28" s="44"/>
      <c r="L28" s="46"/>
      <c r="M28" s="44"/>
      <c r="N28" s="46"/>
      <c r="O28" s="46"/>
      <c r="P28" s="46"/>
      <c r="Q28" s="46"/>
      <c r="R28" s="46"/>
      <c r="S28" s="46"/>
      <c r="T28" s="46"/>
      <c r="U28" s="46"/>
      <c r="V28" s="46"/>
      <c r="W28" s="62"/>
      <c r="X28" s="67"/>
      <c r="Y28" s="68" t="str" cm="1">
        <f t="array" ref="Y28">CalculerNouvelleDate(I28,X28)</f>
        <v/>
      </c>
      <c r="Z28" s="68" t="str" cm="1">
        <f t="array" ref="Z28">CalculerNouvelleDate(J28,Y28)</f>
        <v/>
      </c>
      <c r="AA28" s="68" t="str" cm="1">
        <f t="array" ref="AA28">CalculerNouvelleDate(K28,Z28)</f>
        <v/>
      </c>
      <c r="AB28" s="68" t="str" cm="1">
        <f t="array" ref="AB28">CalculerNouvelleDate(L28,AA28)</f>
        <v/>
      </c>
      <c r="AC28" s="68" t="str" cm="1">
        <f t="array" ref="AC28">CalculerNouvelleDate(M28,AB28)</f>
        <v/>
      </c>
      <c r="AD28" s="68" t="str" cm="1">
        <f t="array" ref="AD28">CalculerNouvelleDate(N28,AC28)</f>
        <v/>
      </c>
      <c r="AE28" s="68" t="str" cm="1">
        <f t="array" ref="AE28">CalculerNouvelleDate(O28,AD28)</f>
        <v/>
      </c>
      <c r="AF28" s="68" t="str" cm="1">
        <f t="array" ref="AF28">CalculerNouvelleDate(P28,AE28)</f>
        <v/>
      </c>
      <c r="AG28" s="68" t="str" cm="1">
        <f t="array" ref="AG28">CalculerNouvelleDate(Q28,AF28)</f>
        <v/>
      </c>
      <c r="AH28" s="68" t="str" cm="1">
        <f t="array" ref="AH28">CalculerNouvelleDate(R28,AG28)</f>
        <v/>
      </c>
      <c r="AI28" s="68" t="str" cm="1">
        <f t="array" ref="AI28">CalculerNouvelleDate(S28,AH28)</f>
        <v/>
      </c>
      <c r="AJ28" s="68" t="str" cm="1">
        <f t="array" ref="AJ28">CalculerNouvelleDate(T28,AI28)</f>
        <v/>
      </c>
      <c r="AK28" s="68" t="str" cm="1">
        <f t="array" ref="AK28">CalculerNouvelleDate(U28,AJ28)</f>
        <v/>
      </c>
      <c r="AL28" s="68" t="str" cm="1">
        <f t="array" ref="AL28">CalculerNouvelleDate(V28,AK28)</f>
        <v/>
      </c>
      <c r="AM28" s="83" t="str" cm="1">
        <f t="array" ref="AM28">CorrespondanceDAte(X28:AL28,D29)</f>
        <v>0</v>
      </c>
      <c r="AN28" s="1"/>
      <c r="AO28" s="1"/>
      <c r="AP28" s="1"/>
      <c r="AQ28" s="1"/>
      <c r="AR28" s="1"/>
      <c r="AS28" s="1"/>
      <c r="AT28" s="1"/>
      <c r="AU28" s="1"/>
      <c r="AV28" s="1"/>
      <c r="AW28" s="1"/>
      <c r="AX28" s="1"/>
      <c r="AY28" s="1"/>
      <c r="AZ28" s="1"/>
      <c r="BA28" s="1"/>
    </row>
    <row r="29" spans="1:53" x14ac:dyDescent="0.3">
      <c r="A29" s="1"/>
      <c r="B29" s="11"/>
      <c r="C29" s="1" t="s">
        <v>560</v>
      </c>
      <c r="D29" s="1" t="s">
        <v>563</v>
      </c>
      <c r="E29" s="1"/>
      <c r="F29" s="1"/>
      <c r="G29" s="1"/>
      <c r="H29" s="91"/>
      <c r="I29" s="45"/>
      <c r="J29" s="46"/>
      <c r="K29" s="44"/>
      <c r="L29" s="46"/>
      <c r="M29" s="44"/>
      <c r="N29" s="46"/>
      <c r="O29" s="46"/>
      <c r="P29" s="46"/>
      <c r="Q29" s="46"/>
      <c r="R29" s="46"/>
      <c r="S29" s="46"/>
      <c r="T29" s="46"/>
      <c r="U29" s="46"/>
      <c r="V29" s="46"/>
      <c r="W29" s="62"/>
      <c r="X29" s="67"/>
      <c r="Y29" s="68" t="str" cm="1">
        <f t="array" ref="Y29">CalculerNouvelleDate(I29,X29)</f>
        <v/>
      </c>
      <c r="Z29" s="68" t="str" cm="1">
        <f t="array" ref="Z29">CalculerNouvelleDate(J29,Y29)</f>
        <v/>
      </c>
      <c r="AA29" s="68" t="str" cm="1">
        <f t="array" ref="AA29">CalculerNouvelleDate(K29,Z29)</f>
        <v/>
      </c>
      <c r="AB29" s="68" t="str" cm="1">
        <f t="array" ref="AB29">CalculerNouvelleDate(L29,AA29)</f>
        <v/>
      </c>
      <c r="AC29" s="68" t="str" cm="1">
        <f t="array" ref="AC29">CalculerNouvelleDate(M29,AB29)</f>
        <v/>
      </c>
      <c r="AD29" s="68" t="str" cm="1">
        <f t="array" ref="AD29">CalculerNouvelleDate(N29,AC29)</f>
        <v/>
      </c>
      <c r="AE29" s="68" t="str" cm="1">
        <f t="array" ref="AE29">CalculerNouvelleDate(O29,AD29)</f>
        <v/>
      </c>
      <c r="AF29" s="68" t="str" cm="1">
        <f t="array" ref="AF29">CalculerNouvelleDate(P29,AE29)</f>
        <v/>
      </c>
      <c r="AG29" s="68" t="str" cm="1">
        <f t="array" ref="AG29">CalculerNouvelleDate(Q29,AF29)</f>
        <v/>
      </c>
      <c r="AH29" s="68" t="str" cm="1">
        <f t="array" ref="AH29">CalculerNouvelleDate(R29,AG29)</f>
        <v/>
      </c>
      <c r="AI29" s="68" t="str" cm="1">
        <f t="array" ref="AI29">CalculerNouvelleDate(S29,AH29)</f>
        <v/>
      </c>
      <c r="AJ29" s="68" t="str" cm="1">
        <f t="array" ref="AJ29">CalculerNouvelleDate(T29,AI29)</f>
        <v/>
      </c>
      <c r="AK29" s="68" t="str" cm="1">
        <f t="array" ref="AK29">CalculerNouvelleDate(U29,AJ29)</f>
        <v/>
      </c>
      <c r="AL29" s="68" t="str" cm="1">
        <f t="array" ref="AL29">CalculerNouvelleDate(V29,AK29)</f>
        <v/>
      </c>
      <c r="AM29" s="83" t="str" cm="1">
        <f t="array" ref="AM29">CorrespondanceDAte(X29:AL29,D30)</f>
        <v>0</v>
      </c>
      <c r="AN29" s="1"/>
      <c r="AO29" s="1"/>
      <c r="AP29" s="1"/>
      <c r="AQ29" s="1"/>
      <c r="AR29" s="1"/>
      <c r="AS29" s="1"/>
      <c r="AT29" s="1"/>
      <c r="AU29" s="1"/>
      <c r="AV29" s="1"/>
      <c r="AW29" s="1"/>
      <c r="AX29" s="1"/>
      <c r="AY29" s="1"/>
      <c r="AZ29" s="1"/>
      <c r="BA29" s="1"/>
    </row>
    <row r="30" spans="1:53" x14ac:dyDescent="0.3">
      <c r="A30" s="1"/>
      <c r="B30" s="11"/>
      <c r="C30" s="1" t="s">
        <v>561</v>
      </c>
      <c r="D30" s="1" t="s">
        <v>564</v>
      </c>
      <c r="E30" s="1"/>
      <c r="F30" s="1"/>
      <c r="G30" s="1"/>
      <c r="H30" s="91"/>
      <c r="I30" s="45"/>
      <c r="J30" s="46"/>
      <c r="K30" s="44"/>
      <c r="L30" s="46"/>
      <c r="M30" s="44"/>
      <c r="N30" s="46"/>
      <c r="O30" s="46"/>
      <c r="P30" s="46"/>
      <c r="Q30" s="46"/>
      <c r="R30" s="46"/>
      <c r="S30" s="46"/>
      <c r="T30" s="46"/>
      <c r="U30" s="46"/>
      <c r="V30" s="46"/>
      <c r="W30" s="62"/>
      <c r="X30" s="67"/>
      <c r="Y30" s="68" t="str" cm="1">
        <f t="array" ref="Y30">CalculerNouvelleDate(I30,X30)</f>
        <v/>
      </c>
      <c r="Z30" s="68" t="str" cm="1">
        <f t="array" ref="Z30">CalculerNouvelleDate(J30,Y30)</f>
        <v/>
      </c>
      <c r="AA30" s="68" t="str" cm="1">
        <f t="array" ref="AA30">CalculerNouvelleDate(K30,Z30)</f>
        <v/>
      </c>
      <c r="AB30" s="68" t="str" cm="1">
        <f t="array" ref="AB30">CalculerNouvelleDate(L30,AA30)</f>
        <v/>
      </c>
      <c r="AC30" s="68" t="str" cm="1">
        <f t="array" ref="AC30">CalculerNouvelleDate(M30,AB30)</f>
        <v/>
      </c>
      <c r="AD30" s="68" t="str" cm="1">
        <f t="array" ref="AD30">CalculerNouvelleDate(N30,AC30)</f>
        <v/>
      </c>
      <c r="AE30" s="68" t="str" cm="1">
        <f t="array" ref="AE30">CalculerNouvelleDate(O30,AD30)</f>
        <v/>
      </c>
      <c r="AF30" s="68" t="str" cm="1">
        <f t="array" ref="AF30">CalculerNouvelleDate(P30,AE30)</f>
        <v/>
      </c>
      <c r="AG30" s="68" t="str" cm="1">
        <f t="array" ref="AG30">CalculerNouvelleDate(Q30,AF30)</f>
        <v/>
      </c>
      <c r="AH30" s="68" t="str" cm="1">
        <f t="array" ref="AH30">CalculerNouvelleDate(R30,AG30)</f>
        <v/>
      </c>
      <c r="AI30" s="68" t="str" cm="1">
        <f t="array" ref="AI30">CalculerNouvelleDate(S30,AH30)</f>
        <v/>
      </c>
      <c r="AJ30" s="68" t="str" cm="1">
        <f t="array" ref="AJ30">CalculerNouvelleDate(T30,AI30)</f>
        <v/>
      </c>
      <c r="AK30" s="68" t="str" cm="1">
        <f t="array" ref="AK30">CalculerNouvelleDate(U30,AJ30)</f>
        <v/>
      </c>
      <c r="AL30" s="68" t="str" cm="1">
        <f t="array" ref="AL30">CalculerNouvelleDate(V30,AK30)</f>
        <v/>
      </c>
      <c r="AM30" s="83" t="str" cm="1">
        <f t="array" ref="AM30">CorrespondanceDAte(X30:AL30,D31)</f>
        <v>0</v>
      </c>
      <c r="AN30" s="1"/>
      <c r="AO30" s="1"/>
      <c r="AP30" s="1"/>
      <c r="AQ30" s="1"/>
      <c r="AR30" s="1"/>
      <c r="AS30" s="1"/>
      <c r="AT30" s="1"/>
      <c r="AU30" s="1"/>
      <c r="AV30" s="1"/>
      <c r="AW30" s="1"/>
      <c r="AX30" s="1"/>
      <c r="AY30" s="1"/>
      <c r="AZ30" s="1"/>
      <c r="BA30" s="1"/>
    </row>
    <row r="31" spans="1:53" x14ac:dyDescent="0.3">
      <c r="A31" s="1"/>
      <c r="B31" s="11"/>
      <c r="C31" s="1" t="s">
        <v>562</v>
      </c>
      <c r="D31" s="1" t="s">
        <v>565</v>
      </c>
      <c r="E31" s="1"/>
      <c r="F31" s="1"/>
      <c r="G31" s="1"/>
      <c r="H31" s="91"/>
      <c r="I31" s="45"/>
      <c r="J31" s="46"/>
      <c r="K31" s="44"/>
      <c r="L31" s="46"/>
      <c r="M31" s="44"/>
      <c r="N31" s="46"/>
      <c r="O31" s="46"/>
      <c r="P31" s="46"/>
      <c r="Q31" s="46"/>
      <c r="R31" s="46"/>
      <c r="S31" s="46"/>
      <c r="T31" s="46"/>
      <c r="U31" s="46"/>
      <c r="V31" s="46"/>
      <c r="W31" s="62"/>
      <c r="X31" s="67"/>
      <c r="Y31" s="68" t="str" cm="1">
        <f t="array" ref="Y31">CalculerNouvelleDate(I31,X31)</f>
        <v/>
      </c>
      <c r="Z31" s="68" t="str" cm="1">
        <f t="array" ref="Z31">CalculerNouvelleDate(J31,Y31)</f>
        <v/>
      </c>
      <c r="AA31" s="68" t="str" cm="1">
        <f t="array" ref="AA31">CalculerNouvelleDate(K31,Z31)</f>
        <v/>
      </c>
      <c r="AB31" s="68" t="str" cm="1">
        <f t="array" ref="AB31">CalculerNouvelleDate(L31,AA31)</f>
        <v/>
      </c>
      <c r="AC31" s="68" t="str" cm="1">
        <f t="array" ref="AC31">CalculerNouvelleDate(M31,AB31)</f>
        <v/>
      </c>
      <c r="AD31" s="68" t="str" cm="1">
        <f t="array" ref="AD31">CalculerNouvelleDate(N31,AC31)</f>
        <v/>
      </c>
      <c r="AE31" s="68" t="str" cm="1">
        <f t="array" ref="AE31">CalculerNouvelleDate(O31,AD31)</f>
        <v/>
      </c>
      <c r="AF31" s="68" t="str" cm="1">
        <f t="array" ref="AF31">CalculerNouvelleDate(P31,AE31)</f>
        <v/>
      </c>
      <c r="AG31" s="68" t="str" cm="1">
        <f t="array" ref="AG31">CalculerNouvelleDate(Q31,AF31)</f>
        <v/>
      </c>
      <c r="AH31" s="68" t="str" cm="1">
        <f t="array" ref="AH31">CalculerNouvelleDate(R31,AG31)</f>
        <v/>
      </c>
      <c r="AI31" s="68" t="str" cm="1">
        <f t="array" ref="AI31">CalculerNouvelleDate(S31,AH31)</f>
        <v/>
      </c>
      <c r="AJ31" s="68" t="str" cm="1">
        <f t="array" ref="AJ31">CalculerNouvelleDate(T31,AI31)</f>
        <v/>
      </c>
      <c r="AK31" s="68" t="str" cm="1">
        <f t="array" ref="AK31">CalculerNouvelleDate(U31,AJ31)</f>
        <v/>
      </c>
      <c r="AL31" s="68" t="str" cm="1">
        <f t="array" ref="AL31">CalculerNouvelleDate(V31,AK31)</f>
        <v/>
      </c>
      <c r="AM31" s="83" t="str" cm="1">
        <f t="array" ref="AM31">CorrespondanceDAte(X31:AL31,D32)</f>
        <v>0</v>
      </c>
      <c r="AN31" s="1"/>
      <c r="AO31" s="1"/>
      <c r="AP31" s="1"/>
      <c r="AQ31" s="1"/>
      <c r="AR31" s="1"/>
      <c r="AS31" s="1"/>
      <c r="AT31" s="1"/>
      <c r="AU31" s="1"/>
      <c r="AV31" s="1"/>
      <c r="AW31" s="1"/>
      <c r="AX31" s="1"/>
      <c r="AY31" s="1"/>
      <c r="AZ31" s="1"/>
      <c r="BA31" s="1"/>
    </row>
    <row r="32" spans="1:53" x14ac:dyDescent="0.3">
      <c r="A32" s="1"/>
      <c r="B32" s="11">
        <v>6</v>
      </c>
      <c r="C32" s="1" t="s">
        <v>16</v>
      </c>
      <c r="D32" s="1"/>
      <c r="E32" s="1"/>
      <c r="F32" s="1"/>
      <c r="G32" s="1"/>
      <c r="H32" s="90" t="s">
        <v>827</v>
      </c>
      <c r="I32" s="45"/>
      <c r="J32" s="1"/>
      <c r="K32" s="44"/>
      <c r="L32" s="1"/>
      <c r="M32" s="44"/>
      <c r="N32" s="1"/>
      <c r="O32" s="1"/>
      <c r="P32" s="1"/>
      <c r="Q32" s="1"/>
      <c r="R32" s="1"/>
      <c r="S32" s="1"/>
      <c r="T32" s="1"/>
      <c r="U32" s="1"/>
      <c r="V32" s="1"/>
      <c r="W32" s="11"/>
      <c r="X32" s="67"/>
      <c r="Y32" s="68" t="str" cm="1">
        <f t="array" ref="Y32">CalculerNouvelleDate(I32,X32)</f>
        <v/>
      </c>
      <c r="Z32" s="68" t="str" cm="1">
        <f t="array" ref="Z32">CalculerNouvelleDate(J32,Y32)</f>
        <v/>
      </c>
      <c r="AA32" s="68" t="str" cm="1">
        <f t="array" ref="AA32">CalculerNouvelleDate(K32,Z32)</f>
        <v/>
      </c>
      <c r="AB32" s="68" t="str" cm="1">
        <f t="array" ref="AB32">CalculerNouvelleDate(L32,AA32)</f>
        <v/>
      </c>
      <c r="AC32" s="68" t="str" cm="1">
        <f t="array" ref="AC32">CalculerNouvelleDate(M32,AB32)</f>
        <v/>
      </c>
      <c r="AD32" s="68" t="str" cm="1">
        <f t="array" ref="AD32">CalculerNouvelleDate(N32,AC32)</f>
        <v/>
      </c>
      <c r="AE32" s="68" t="str" cm="1">
        <f t="array" ref="AE32">CalculerNouvelleDate(O32,AD32)</f>
        <v/>
      </c>
      <c r="AF32" s="68" t="str" cm="1">
        <f t="array" ref="AF32">CalculerNouvelleDate(P32,AE32)</f>
        <v/>
      </c>
      <c r="AG32" s="68" t="str" cm="1">
        <f t="array" ref="AG32">CalculerNouvelleDate(Q32,AF32)</f>
        <v/>
      </c>
      <c r="AH32" s="68" t="str" cm="1">
        <f t="array" ref="AH32">CalculerNouvelleDate(R32,AG32)</f>
        <v/>
      </c>
      <c r="AI32" s="68" t="str" cm="1">
        <f t="array" ref="AI32">CalculerNouvelleDate(S32,AH32)</f>
        <v/>
      </c>
      <c r="AJ32" s="68" t="str" cm="1">
        <f t="array" ref="AJ32">CalculerNouvelleDate(T32,AI32)</f>
        <v/>
      </c>
      <c r="AK32" s="68" t="str" cm="1">
        <f t="array" ref="AK32">CalculerNouvelleDate(U32,AJ32)</f>
        <v/>
      </c>
      <c r="AL32" s="68" t="str" cm="1">
        <f t="array" ref="AL32">CalculerNouvelleDate(V32,AK32)</f>
        <v/>
      </c>
      <c r="AM32" s="83" t="str" cm="1">
        <f t="array" ref="AM32">CorrespondanceDAte(X32:AL32,D33)</f>
        <v>0</v>
      </c>
      <c r="AN32" s="1"/>
      <c r="AO32" s="1"/>
      <c r="AP32" s="1"/>
      <c r="AQ32" s="1"/>
      <c r="AR32" s="1"/>
      <c r="AS32" s="1"/>
      <c r="AT32" s="1"/>
      <c r="AU32" s="1"/>
      <c r="AV32" s="1"/>
      <c r="AW32" s="1"/>
      <c r="AX32" s="1"/>
      <c r="AY32" s="1"/>
      <c r="AZ32" s="1"/>
      <c r="BA32" s="1"/>
    </row>
    <row r="33" spans="1:53" x14ac:dyDescent="0.3">
      <c r="A33" s="1"/>
      <c r="B33" s="11"/>
      <c r="C33" s="1" t="s">
        <v>566</v>
      </c>
      <c r="D33" s="1" t="s">
        <v>567</v>
      </c>
      <c r="E33" s="1"/>
      <c r="F33" s="1"/>
      <c r="G33" s="1"/>
      <c r="H33" s="43"/>
      <c r="I33" s="45"/>
      <c r="J33" s="46"/>
      <c r="K33" s="44"/>
      <c r="L33" s="46"/>
      <c r="M33" s="44"/>
      <c r="N33" s="46"/>
      <c r="O33" s="46"/>
      <c r="P33" s="46"/>
      <c r="Q33" s="46"/>
      <c r="R33" s="46"/>
      <c r="S33" s="46"/>
      <c r="T33" s="46"/>
      <c r="U33" s="46"/>
      <c r="V33" s="46"/>
      <c r="W33" s="62"/>
      <c r="X33" s="67"/>
      <c r="Y33" s="68" t="str" cm="1">
        <f t="array" ref="Y33">CalculerNouvelleDate(I33,X33)</f>
        <v/>
      </c>
      <c r="Z33" s="68" t="str" cm="1">
        <f t="array" ref="Z33">CalculerNouvelleDate(J33,Y33)</f>
        <v/>
      </c>
      <c r="AA33" s="68" t="str" cm="1">
        <f t="array" ref="AA33">CalculerNouvelleDate(K33,Z33)</f>
        <v/>
      </c>
      <c r="AB33" s="68" t="str" cm="1">
        <f t="array" ref="AB33">CalculerNouvelleDate(L33,AA33)</f>
        <v/>
      </c>
      <c r="AC33" s="68" t="str" cm="1">
        <f t="array" ref="AC33">CalculerNouvelleDate(M33,AB33)</f>
        <v/>
      </c>
      <c r="AD33" s="68" t="str" cm="1">
        <f t="array" ref="AD33">CalculerNouvelleDate(N33,AC33)</f>
        <v/>
      </c>
      <c r="AE33" s="68" t="str" cm="1">
        <f t="array" ref="AE33">CalculerNouvelleDate(O33,AD33)</f>
        <v/>
      </c>
      <c r="AF33" s="68" t="str" cm="1">
        <f t="array" ref="AF33">CalculerNouvelleDate(P33,AE33)</f>
        <v/>
      </c>
      <c r="AG33" s="68" t="str" cm="1">
        <f t="array" ref="AG33">CalculerNouvelleDate(Q33,AF33)</f>
        <v/>
      </c>
      <c r="AH33" s="68" t="str" cm="1">
        <f t="array" ref="AH33">CalculerNouvelleDate(R33,AG33)</f>
        <v/>
      </c>
      <c r="AI33" s="68" t="str" cm="1">
        <f t="array" ref="AI33">CalculerNouvelleDate(S33,AH33)</f>
        <v/>
      </c>
      <c r="AJ33" s="68" t="str" cm="1">
        <f t="array" ref="AJ33">CalculerNouvelleDate(T33,AI33)</f>
        <v/>
      </c>
      <c r="AK33" s="68" t="str" cm="1">
        <f t="array" ref="AK33">CalculerNouvelleDate(U33,AJ33)</f>
        <v/>
      </c>
      <c r="AL33" s="68" t="str" cm="1">
        <f t="array" ref="AL33">CalculerNouvelleDate(V33,AK33)</f>
        <v/>
      </c>
      <c r="AM33" s="83" t="str" cm="1">
        <f t="array" ref="AM33">CorrespondanceDAte(X33:AL33,D34)</f>
        <v>0</v>
      </c>
      <c r="AN33" s="1"/>
      <c r="AO33" s="1"/>
      <c r="AP33" s="1"/>
      <c r="AQ33" s="1"/>
      <c r="AR33" s="1"/>
      <c r="AS33" s="1"/>
      <c r="AT33" s="1"/>
      <c r="AU33" s="1"/>
      <c r="AV33" s="1"/>
      <c r="AW33" s="1"/>
      <c r="AX33" s="1"/>
      <c r="AY33" s="1"/>
      <c r="AZ33" s="1"/>
      <c r="BA33" s="1"/>
    </row>
    <row r="34" spans="1:53" x14ac:dyDescent="0.3">
      <c r="A34" s="1"/>
      <c r="B34" s="11">
        <v>7</v>
      </c>
      <c r="C34" s="1" t="s">
        <v>17</v>
      </c>
      <c r="D34" s="1"/>
      <c r="E34" s="1"/>
      <c r="F34" s="1"/>
      <c r="G34" s="1"/>
      <c r="H34" s="43"/>
      <c r="I34" s="45"/>
      <c r="J34" s="1"/>
      <c r="K34" s="44"/>
      <c r="L34" s="1"/>
      <c r="M34" s="44"/>
      <c r="N34" s="1"/>
      <c r="O34" s="1"/>
      <c r="P34" s="1"/>
      <c r="Q34" s="1"/>
      <c r="R34" s="1"/>
      <c r="S34" s="1"/>
      <c r="T34" s="1"/>
      <c r="U34" s="1"/>
      <c r="V34" s="1"/>
      <c r="W34" s="11"/>
      <c r="X34" s="67"/>
      <c r="Y34" s="68" t="str" cm="1">
        <f t="array" ref="Y34">CalculerNouvelleDate(I34,X34)</f>
        <v/>
      </c>
      <c r="Z34" s="68" t="str" cm="1">
        <f t="array" ref="Z34">CalculerNouvelleDate(J34,Y34)</f>
        <v/>
      </c>
      <c r="AA34" s="68" t="str" cm="1">
        <f t="array" ref="AA34">CalculerNouvelleDate(K34,Z34)</f>
        <v/>
      </c>
      <c r="AB34" s="68" t="str" cm="1">
        <f t="array" ref="AB34">CalculerNouvelleDate(L34,AA34)</f>
        <v/>
      </c>
      <c r="AC34" s="68" t="str" cm="1">
        <f t="array" ref="AC34">CalculerNouvelleDate(M34,AB34)</f>
        <v/>
      </c>
      <c r="AD34" s="68" t="str" cm="1">
        <f t="array" ref="AD34">CalculerNouvelleDate(N34,AC34)</f>
        <v/>
      </c>
      <c r="AE34" s="68" t="str" cm="1">
        <f t="array" ref="AE34">CalculerNouvelleDate(O34,AD34)</f>
        <v/>
      </c>
      <c r="AF34" s="68" t="str" cm="1">
        <f t="array" ref="AF34">CalculerNouvelleDate(P34,AE34)</f>
        <v/>
      </c>
      <c r="AG34" s="68" t="str" cm="1">
        <f t="array" ref="AG34">CalculerNouvelleDate(Q34,AF34)</f>
        <v/>
      </c>
      <c r="AH34" s="68" t="str" cm="1">
        <f t="array" ref="AH34">CalculerNouvelleDate(R34,AG34)</f>
        <v/>
      </c>
      <c r="AI34" s="68" t="str" cm="1">
        <f t="array" ref="AI34">CalculerNouvelleDate(S34,AH34)</f>
        <v/>
      </c>
      <c r="AJ34" s="68" t="str" cm="1">
        <f t="array" ref="AJ34">CalculerNouvelleDate(T34,AI34)</f>
        <v/>
      </c>
      <c r="AK34" s="68" t="str" cm="1">
        <f t="array" ref="AK34">CalculerNouvelleDate(U34,AJ34)</f>
        <v/>
      </c>
      <c r="AL34" s="68" t="str" cm="1">
        <f t="array" ref="AL34">CalculerNouvelleDate(V34,AK34)</f>
        <v/>
      </c>
      <c r="AM34" s="83" t="str" cm="1">
        <f t="array" ref="AM34">CorrespondanceDAte(X34:AL34,D35)</f>
        <v>0</v>
      </c>
      <c r="AN34" s="1"/>
      <c r="AO34" s="1"/>
      <c r="AP34" s="1"/>
      <c r="AQ34" s="1"/>
      <c r="AR34" s="1"/>
      <c r="AS34" s="1"/>
      <c r="AT34" s="1"/>
      <c r="AU34" s="1"/>
      <c r="AV34" s="1"/>
      <c r="AW34" s="1"/>
      <c r="AX34" s="1"/>
      <c r="AY34" s="1"/>
      <c r="AZ34" s="1"/>
      <c r="BA34" s="1"/>
    </row>
    <row r="35" spans="1:53" x14ac:dyDescent="0.3">
      <c r="A35" s="1"/>
      <c r="B35" s="11"/>
      <c r="C35" s="1" t="s">
        <v>568</v>
      </c>
      <c r="D35" s="1" t="s">
        <v>571</v>
      </c>
      <c r="E35" s="1"/>
      <c r="F35" s="1"/>
      <c r="G35" s="1"/>
      <c r="H35" s="43"/>
      <c r="I35" s="45"/>
      <c r="J35" s="46"/>
      <c r="K35" s="44"/>
      <c r="L35" s="46"/>
      <c r="M35" s="44"/>
      <c r="N35" s="46"/>
      <c r="O35" s="46"/>
      <c r="P35" s="46"/>
      <c r="Q35" s="46"/>
      <c r="R35" s="46"/>
      <c r="S35" s="46"/>
      <c r="T35" s="46"/>
      <c r="U35" s="46"/>
      <c r="V35" s="46"/>
      <c r="W35" s="62"/>
      <c r="X35" s="67"/>
      <c r="Y35" s="68" t="str" cm="1">
        <f t="array" ref="Y35">CalculerNouvelleDate(I35,X35)</f>
        <v/>
      </c>
      <c r="Z35" s="68" t="str" cm="1">
        <f t="array" ref="Z35">CalculerNouvelleDate(J35,Y35)</f>
        <v/>
      </c>
      <c r="AA35" s="68" t="str" cm="1">
        <f t="array" ref="AA35">CalculerNouvelleDate(K35,Z35)</f>
        <v/>
      </c>
      <c r="AB35" s="68" t="str" cm="1">
        <f t="array" ref="AB35">CalculerNouvelleDate(L35,AA35)</f>
        <v/>
      </c>
      <c r="AC35" s="68" t="str" cm="1">
        <f t="array" ref="AC35">CalculerNouvelleDate(M35,AB35)</f>
        <v/>
      </c>
      <c r="AD35" s="68" t="str" cm="1">
        <f t="array" ref="AD35">CalculerNouvelleDate(N35,AC35)</f>
        <v/>
      </c>
      <c r="AE35" s="68" t="str" cm="1">
        <f t="array" ref="AE35">CalculerNouvelleDate(O35,AD35)</f>
        <v/>
      </c>
      <c r="AF35" s="68" t="str" cm="1">
        <f t="array" ref="AF35">CalculerNouvelleDate(P35,AE35)</f>
        <v/>
      </c>
      <c r="AG35" s="68" t="str" cm="1">
        <f t="array" ref="AG35">CalculerNouvelleDate(Q35,AF35)</f>
        <v/>
      </c>
      <c r="AH35" s="68" t="str" cm="1">
        <f t="array" ref="AH35">CalculerNouvelleDate(R35,AG35)</f>
        <v/>
      </c>
      <c r="AI35" s="68" t="str" cm="1">
        <f t="array" ref="AI35">CalculerNouvelleDate(S35,AH35)</f>
        <v/>
      </c>
      <c r="AJ35" s="68" t="str" cm="1">
        <f t="array" ref="AJ35">CalculerNouvelleDate(T35,AI35)</f>
        <v/>
      </c>
      <c r="AK35" s="68" t="str" cm="1">
        <f t="array" ref="AK35">CalculerNouvelleDate(U35,AJ35)</f>
        <v/>
      </c>
      <c r="AL35" s="68" t="str" cm="1">
        <f t="array" ref="AL35">CalculerNouvelleDate(V35,AK35)</f>
        <v/>
      </c>
      <c r="AM35" s="83" t="str" cm="1">
        <f t="array" ref="AM35">CorrespondanceDAte(X35:AL35,D36)</f>
        <v>0</v>
      </c>
      <c r="AN35" s="1"/>
      <c r="AO35" s="1"/>
      <c r="AP35" s="1"/>
      <c r="AQ35" s="1"/>
      <c r="AR35" s="1"/>
      <c r="AS35" s="1"/>
      <c r="AT35" s="1"/>
      <c r="AU35" s="1"/>
      <c r="AV35" s="1"/>
      <c r="AW35" s="1"/>
      <c r="AX35" s="1"/>
      <c r="AY35" s="1"/>
      <c r="AZ35" s="1"/>
      <c r="BA35" s="1"/>
    </row>
    <row r="36" spans="1:53" x14ac:dyDescent="0.3">
      <c r="A36" s="1"/>
      <c r="B36" s="11"/>
      <c r="C36" s="1" t="s">
        <v>569</v>
      </c>
      <c r="D36" s="1" t="s">
        <v>572</v>
      </c>
      <c r="E36" s="1"/>
      <c r="F36" s="1"/>
      <c r="G36" s="1"/>
      <c r="H36" s="43"/>
      <c r="I36" s="45"/>
      <c r="J36" s="46"/>
      <c r="K36" s="44"/>
      <c r="L36" s="46"/>
      <c r="M36" s="44"/>
      <c r="N36" s="46"/>
      <c r="O36" s="46"/>
      <c r="P36" s="46"/>
      <c r="Q36" s="46"/>
      <c r="R36" s="46"/>
      <c r="S36" s="46"/>
      <c r="T36" s="46"/>
      <c r="U36" s="46"/>
      <c r="V36" s="46"/>
      <c r="W36" s="62"/>
      <c r="X36" s="67"/>
      <c r="Y36" s="68" t="str" cm="1">
        <f t="array" ref="Y36">CalculerNouvelleDate(I36,X36)</f>
        <v/>
      </c>
      <c r="Z36" s="68" t="str" cm="1">
        <f t="array" ref="Z36">CalculerNouvelleDate(J36,Y36)</f>
        <v/>
      </c>
      <c r="AA36" s="68" t="str" cm="1">
        <f t="array" ref="AA36">CalculerNouvelleDate(K36,Z36)</f>
        <v/>
      </c>
      <c r="AB36" s="68" t="str" cm="1">
        <f t="array" ref="AB36">CalculerNouvelleDate(L36,AA36)</f>
        <v/>
      </c>
      <c r="AC36" s="68" t="str" cm="1">
        <f t="array" ref="AC36">CalculerNouvelleDate(M36,AB36)</f>
        <v/>
      </c>
      <c r="AD36" s="68" t="str" cm="1">
        <f t="array" ref="AD36">CalculerNouvelleDate(N36,AC36)</f>
        <v/>
      </c>
      <c r="AE36" s="68" t="str" cm="1">
        <f t="array" ref="AE36">CalculerNouvelleDate(O36,AD36)</f>
        <v/>
      </c>
      <c r="AF36" s="68" t="str" cm="1">
        <f t="array" ref="AF36">CalculerNouvelleDate(P36,AE36)</f>
        <v/>
      </c>
      <c r="AG36" s="68" t="str" cm="1">
        <f t="array" ref="AG36">CalculerNouvelleDate(Q36,AF36)</f>
        <v/>
      </c>
      <c r="AH36" s="68" t="str" cm="1">
        <f t="array" ref="AH36">CalculerNouvelleDate(R36,AG36)</f>
        <v/>
      </c>
      <c r="AI36" s="68" t="str" cm="1">
        <f t="array" ref="AI36">CalculerNouvelleDate(S36,AH36)</f>
        <v/>
      </c>
      <c r="AJ36" s="68" t="str" cm="1">
        <f t="array" ref="AJ36">CalculerNouvelleDate(T36,AI36)</f>
        <v/>
      </c>
      <c r="AK36" s="68" t="str" cm="1">
        <f t="array" ref="AK36">CalculerNouvelleDate(U36,AJ36)</f>
        <v/>
      </c>
      <c r="AL36" s="68" t="str" cm="1">
        <f t="array" ref="AL36">CalculerNouvelleDate(V36,AK36)</f>
        <v/>
      </c>
      <c r="AM36" s="83" t="str" cm="1">
        <f t="array" ref="AM36">CorrespondanceDAte(X36:AL36,D37)</f>
        <v>0</v>
      </c>
      <c r="AN36" s="1"/>
      <c r="AO36" s="1"/>
      <c r="AP36" s="1"/>
      <c r="AQ36" s="1"/>
      <c r="AR36" s="1"/>
      <c r="AS36" s="1"/>
      <c r="AT36" s="1"/>
      <c r="AU36" s="1"/>
      <c r="AV36" s="1"/>
      <c r="AW36" s="1"/>
      <c r="AX36" s="1"/>
      <c r="AY36" s="1"/>
      <c r="AZ36" s="1"/>
      <c r="BA36" s="1"/>
    </row>
    <row r="37" spans="1:53" x14ac:dyDescent="0.3">
      <c r="A37" s="1"/>
      <c r="B37" s="11"/>
      <c r="C37" s="1" t="s">
        <v>570</v>
      </c>
      <c r="D37" s="1" t="s">
        <v>573</v>
      </c>
      <c r="E37" s="1"/>
      <c r="F37" s="1"/>
      <c r="G37" s="1"/>
      <c r="H37" s="43"/>
      <c r="I37" s="45"/>
      <c r="J37" s="46"/>
      <c r="K37" s="44"/>
      <c r="L37" s="46"/>
      <c r="M37" s="44"/>
      <c r="N37" s="46"/>
      <c r="O37" s="46"/>
      <c r="P37" s="46"/>
      <c r="Q37" s="46"/>
      <c r="R37" s="46"/>
      <c r="S37" s="46"/>
      <c r="T37" s="46"/>
      <c r="U37" s="46"/>
      <c r="V37" s="46"/>
      <c r="W37" s="62"/>
      <c r="X37" s="67"/>
      <c r="Y37" s="68" t="str" cm="1">
        <f t="array" ref="Y37">CalculerNouvelleDate(I37,X37)</f>
        <v/>
      </c>
      <c r="Z37" s="68" t="str" cm="1">
        <f t="array" ref="Z37">CalculerNouvelleDate(J37,Y37)</f>
        <v/>
      </c>
      <c r="AA37" s="68" t="str" cm="1">
        <f t="array" ref="AA37">CalculerNouvelleDate(K37,Z37)</f>
        <v/>
      </c>
      <c r="AB37" s="68" t="str" cm="1">
        <f t="array" ref="AB37">CalculerNouvelleDate(L37,AA37)</f>
        <v/>
      </c>
      <c r="AC37" s="68" t="str" cm="1">
        <f t="array" ref="AC37">CalculerNouvelleDate(M37,AB37)</f>
        <v/>
      </c>
      <c r="AD37" s="68" t="str" cm="1">
        <f t="array" ref="AD37">CalculerNouvelleDate(N37,AC37)</f>
        <v/>
      </c>
      <c r="AE37" s="68" t="str" cm="1">
        <f t="array" ref="AE37">CalculerNouvelleDate(O37,AD37)</f>
        <v/>
      </c>
      <c r="AF37" s="68" t="str" cm="1">
        <f t="array" ref="AF37">CalculerNouvelleDate(P37,AE37)</f>
        <v/>
      </c>
      <c r="AG37" s="68" t="str" cm="1">
        <f t="array" ref="AG37">CalculerNouvelleDate(Q37,AF37)</f>
        <v/>
      </c>
      <c r="AH37" s="68" t="str" cm="1">
        <f t="array" ref="AH37">CalculerNouvelleDate(R37,AG37)</f>
        <v/>
      </c>
      <c r="AI37" s="68" t="str" cm="1">
        <f t="array" ref="AI37">CalculerNouvelleDate(S37,AH37)</f>
        <v/>
      </c>
      <c r="AJ37" s="68" t="str" cm="1">
        <f t="array" ref="AJ37">CalculerNouvelleDate(T37,AI37)</f>
        <v/>
      </c>
      <c r="AK37" s="68" t="str" cm="1">
        <f t="array" ref="AK37">CalculerNouvelleDate(U37,AJ37)</f>
        <v/>
      </c>
      <c r="AL37" s="68" t="str" cm="1">
        <f t="array" ref="AL37">CalculerNouvelleDate(V37,AK37)</f>
        <v/>
      </c>
      <c r="AM37" s="83" t="str" cm="1">
        <f t="array" ref="AM37">CorrespondanceDAte(X37:AL37,D38)</f>
        <v>0</v>
      </c>
      <c r="AN37" s="1"/>
      <c r="AO37" s="1"/>
      <c r="AP37" s="1"/>
      <c r="AQ37" s="1"/>
      <c r="AR37" s="1"/>
      <c r="AS37" s="1"/>
      <c r="AT37" s="1"/>
      <c r="AU37" s="1"/>
      <c r="AV37" s="1"/>
      <c r="AW37" s="1"/>
      <c r="AX37" s="1"/>
      <c r="AY37" s="1"/>
      <c r="AZ37" s="1"/>
      <c r="BA37" s="1"/>
    </row>
    <row r="38" spans="1:53" x14ac:dyDescent="0.3">
      <c r="A38" s="1"/>
      <c r="B38" s="11">
        <v>8</v>
      </c>
      <c r="C38" s="1" t="s">
        <v>18</v>
      </c>
      <c r="D38" s="1"/>
      <c r="E38" s="1"/>
      <c r="F38" s="1"/>
      <c r="G38" s="1"/>
      <c r="H38" s="43"/>
      <c r="I38" s="45"/>
      <c r="J38" s="1"/>
      <c r="K38" s="44"/>
      <c r="L38" s="1"/>
      <c r="M38" s="44"/>
      <c r="N38" s="1"/>
      <c r="O38" s="1"/>
      <c r="P38" s="1"/>
      <c r="Q38" s="1"/>
      <c r="R38" s="1"/>
      <c r="S38" s="1"/>
      <c r="T38" s="1"/>
      <c r="U38" s="1"/>
      <c r="V38" s="1"/>
      <c r="W38" s="11"/>
      <c r="X38" s="67"/>
      <c r="Y38" s="68" t="str" cm="1">
        <f t="array" ref="Y38">CalculerNouvelleDate(I38,X38)</f>
        <v/>
      </c>
      <c r="Z38" s="68" t="str" cm="1">
        <f t="array" ref="Z38">CalculerNouvelleDate(J38,Y38)</f>
        <v/>
      </c>
      <c r="AA38" s="68" t="str" cm="1">
        <f t="array" ref="AA38">CalculerNouvelleDate(K38,Z38)</f>
        <v/>
      </c>
      <c r="AB38" s="68" t="str" cm="1">
        <f t="array" ref="AB38">CalculerNouvelleDate(L38,AA38)</f>
        <v/>
      </c>
      <c r="AC38" s="68" t="str" cm="1">
        <f t="array" ref="AC38">CalculerNouvelleDate(M38,AB38)</f>
        <v/>
      </c>
      <c r="AD38" s="68" t="str" cm="1">
        <f t="array" ref="AD38">CalculerNouvelleDate(N38,AC38)</f>
        <v/>
      </c>
      <c r="AE38" s="68" t="str" cm="1">
        <f t="array" ref="AE38">CalculerNouvelleDate(O38,AD38)</f>
        <v/>
      </c>
      <c r="AF38" s="68" t="str" cm="1">
        <f t="array" ref="AF38">CalculerNouvelleDate(P38,AE38)</f>
        <v/>
      </c>
      <c r="AG38" s="68" t="str" cm="1">
        <f t="array" ref="AG38">CalculerNouvelleDate(Q38,AF38)</f>
        <v/>
      </c>
      <c r="AH38" s="68" t="str" cm="1">
        <f t="array" ref="AH38">CalculerNouvelleDate(R38,AG38)</f>
        <v/>
      </c>
      <c r="AI38" s="68" t="str" cm="1">
        <f t="array" ref="AI38">CalculerNouvelleDate(S38,AH38)</f>
        <v/>
      </c>
      <c r="AJ38" s="68" t="str" cm="1">
        <f t="array" ref="AJ38">CalculerNouvelleDate(T38,AI38)</f>
        <v/>
      </c>
      <c r="AK38" s="68" t="str" cm="1">
        <f t="array" ref="AK38">CalculerNouvelleDate(U38,AJ38)</f>
        <v/>
      </c>
      <c r="AL38" s="68" t="str" cm="1">
        <f t="array" ref="AL38">CalculerNouvelleDate(V38,AK38)</f>
        <v/>
      </c>
      <c r="AM38" s="83" t="str" cm="1">
        <f t="array" ref="AM38">CorrespondanceDAte(X38:AL38,D39)</f>
        <v>0</v>
      </c>
      <c r="AN38" s="1"/>
      <c r="AO38" s="1"/>
      <c r="AP38" s="1"/>
      <c r="AQ38" s="1"/>
      <c r="AR38" s="1"/>
      <c r="AS38" s="1"/>
      <c r="AT38" s="1"/>
      <c r="AU38" s="1"/>
      <c r="AV38" s="1"/>
      <c r="AW38" s="1"/>
      <c r="AX38" s="1"/>
      <c r="AY38" s="1"/>
      <c r="AZ38" s="1"/>
      <c r="BA38" s="1"/>
    </row>
    <row r="39" spans="1:53" x14ac:dyDescent="0.3">
      <c r="A39" s="1"/>
      <c r="B39" s="11"/>
      <c r="C39" s="1" t="s">
        <v>574</v>
      </c>
      <c r="D39" s="1" t="s">
        <v>577</v>
      </c>
      <c r="E39" s="1"/>
      <c r="F39" s="1"/>
      <c r="G39" s="1"/>
      <c r="H39" s="43"/>
      <c r="I39" s="45"/>
      <c r="J39" s="46"/>
      <c r="K39" s="44"/>
      <c r="L39" s="46"/>
      <c r="M39" s="44"/>
      <c r="N39" s="46"/>
      <c r="O39" s="46"/>
      <c r="P39" s="46"/>
      <c r="Q39" s="46"/>
      <c r="R39" s="46"/>
      <c r="S39" s="46"/>
      <c r="T39" s="46"/>
      <c r="U39" s="46"/>
      <c r="V39" s="46"/>
      <c r="W39" s="62"/>
      <c r="X39" s="67"/>
      <c r="Y39" s="68" t="str" cm="1">
        <f t="array" ref="Y39">CalculerNouvelleDate(I39,X39)</f>
        <v/>
      </c>
      <c r="Z39" s="68" t="str" cm="1">
        <f t="array" ref="Z39">CalculerNouvelleDate(J39,Y39)</f>
        <v/>
      </c>
      <c r="AA39" s="68" t="str" cm="1">
        <f t="array" ref="AA39">CalculerNouvelleDate(K39,Z39)</f>
        <v/>
      </c>
      <c r="AB39" s="68" t="str" cm="1">
        <f t="array" ref="AB39">CalculerNouvelleDate(L39,AA39)</f>
        <v/>
      </c>
      <c r="AC39" s="68" t="str" cm="1">
        <f t="array" ref="AC39">CalculerNouvelleDate(M39,AB39)</f>
        <v/>
      </c>
      <c r="AD39" s="68" t="str" cm="1">
        <f t="array" ref="AD39">CalculerNouvelleDate(N39,AC39)</f>
        <v/>
      </c>
      <c r="AE39" s="68" t="str" cm="1">
        <f t="array" ref="AE39">CalculerNouvelleDate(O39,AD39)</f>
        <v/>
      </c>
      <c r="AF39" s="68" t="str" cm="1">
        <f t="array" ref="AF39">CalculerNouvelleDate(P39,AE39)</f>
        <v/>
      </c>
      <c r="AG39" s="68" t="str" cm="1">
        <f t="array" ref="AG39">CalculerNouvelleDate(Q39,AF39)</f>
        <v/>
      </c>
      <c r="AH39" s="68" t="str" cm="1">
        <f t="array" ref="AH39">CalculerNouvelleDate(R39,AG39)</f>
        <v/>
      </c>
      <c r="AI39" s="68" t="str" cm="1">
        <f t="array" ref="AI39">CalculerNouvelleDate(S39,AH39)</f>
        <v/>
      </c>
      <c r="AJ39" s="68" t="str" cm="1">
        <f t="array" ref="AJ39">CalculerNouvelleDate(T39,AI39)</f>
        <v/>
      </c>
      <c r="AK39" s="68" t="str" cm="1">
        <f t="array" ref="AK39">CalculerNouvelleDate(U39,AJ39)</f>
        <v/>
      </c>
      <c r="AL39" s="68" t="str" cm="1">
        <f t="array" ref="AL39">CalculerNouvelleDate(V39,AK39)</f>
        <v/>
      </c>
      <c r="AM39" s="83" t="str" cm="1">
        <f t="array" ref="AM39">CorrespondanceDAte(X39:AL39,D40)</f>
        <v>0</v>
      </c>
      <c r="AN39" s="1"/>
      <c r="AO39" s="1"/>
      <c r="AP39" s="1"/>
      <c r="AQ39" s="1"/>
      <c r="AR39" s="1"/>
      <c r="AS39" s="1"/>
      <c r="AT39" s="1"/>
      <c r="AU39" s="1"/>
      <c r="AV39" s="1"/>
      <c r="AW39" s="1"/>
      <c r="AX39" s="1"/>
      <c r="AY39" s="1"/>
      <c r="AZ39" s="1"/>
      <c r="BA39" s="1"/>
    </row>
    <row r="40" spans="1:53" x14ac:dyDescent="0.3">
      <c r="A40" s="1"/>
      <c r="B40" s="11"/>
      <c r="C40" s="1" t="s">
        <v>575</v>
      </c>
      <c r="D40" s="1" t="s">
        <v>578</v>
      </c>
      <c r="E40" s="1"/>
      <c r="F40" s="1"/>
      <c r="G40" s="1"/>
      <c r="H40" s="43"/>
      <c r="I40" s="45"/>
      <c r="J40" s="46"/>
      <c r="K40" s="44"/>
      <c r="L40" s="46"/>
      <c r="M40" s="44"/>
      <c r="N40" s="46"/>
      <c r="O40" s="46"/>
      <c r="P40" s="46"/>
      <c r="Q40" s="46"/>
      <c r="R40" s="46"/>
      <c r="S40" s="46"/>
      <c r="T40" s="46"/>
      <c r="U40" s="46"/>
      <c r="V40" s="46"/>
      <c r="W40" s="62"/>
      <c r="X40" s="67"/>
      <c r="Y40" s="68" t="str" cm="1">
        <f t="array" ref="Y40">CalculerNouvelleDate(I40,X40)</f>
        <v/>
      </c>
      <c r="Z40" s="68" t="str" cm="1">
        <f t="array" ref="Z40">CalculerNouvelleDate(J40,Y40)</f>
        <v/>
      </c>
      <c r="AA40" s="68" t="str" cm="1">
        <f t="array" ref="AA40">CalculerNouvelleDate(K40,Z40)</f>
        <v/>
      </c>
      <c r="AB40" s="68" t="str" cm="1">
        <f t="array" ref="AB40">CalculerNouvelleDate(L40,AA40)</f>
        <v/>
      </c>
      <c r="AC40" s="68" t="str" cm="1">
        <f t="array" ref="AC40">CalculerNouvelleDate(M40,AB40)</f>
        <v/>
      </c>
      <c r="AD40" s="68" t="str" cm="1">
        <f t="array" ref="AD40">CalculerNouvelleDate(N40,AC40)</f>
        <v/>
      </c>
      <c r="AE40" s="68" t="str" cm="1">
        <f t="array" ref="AE40">CalculerNouvelleDate(O40,AD40)</f>
        <v/>
      </c>
      <c r="AF40" s="68" t="str" cm="1">
        <f t="array" ref="AF40">CalculerNouvelleDate(P40,AE40)</f>
        <v/>
      </c>
      <c r="AG40" s="68" t="str" cm="1">
        <f t="array" ref="AG40">CalculerNouvelleDate(Q40,AF40)</f>
        <v/>
      </c>
      <c r="AH40" s="68" t="str" cm="1">
        <f t="array" ref="AH40">CalculerNouvelleDate(R40,AG40)</f>
        <v/>
      </c>
      <c r="AI40" s="68" t="str" cm="1">
        <f t="array" ref="AI40">CalculerNouvelleDate(S40,AH40)</f>
        <v/>
      </c>
      <c r="AJ40" s="68" t="str" cm="1">
        <f t="array" ref="AJ40">CalculerNouvelleDate(T40,AI40)</f>
        <v/>
      </c>
      <c r="AK40" s="68" t="str" cm="1">
        <f t="array" ref="AK40">CalculerNouvelleDate(U40,AJ40)</f>
        <v/>
      </c>
      <c r="AL40" s="68" t="str" cm="1">
        <f t="array" ref="AL40">CalculerNouvelleDate(V40,AK40)</f>
        <v/>
      </c>
      <c r="AM40" s="83" t="str" cm="1">
        <f t="array" ref="AM40">CorrespondanceDAte(X40:AL40,D41)</f>
        <v>0</v>
      </c>
      <c r="AN40" s="1"/>
      <c r="AO40" s="1"/>
      <c r="AP40" s="1"/>
      <c r="AQ40" s="1"/>
      <c r="AR40" s="1"/>
      <c r="AS40" s="1"/>
      <c r="AT40" s="1"/>
      <c r="AU40" s="1"/>
      <c r="AV40" s="1"/>
      <c r="AW40" s="1"/>
      <c r="AX40" s="1"/>
      <c r="AY40" s="1"/>
      <c r="AZ40" s="1"/>
      <c r="BA40" s="1"/>
    </row>
    <row r="41" spans="1:53" x14ac:dyDescent="0.3">
      <c r="A41" s="1"/>
      <c r="B41" s="11"/>
      <c r="C41" s="1" t="s">
        <v>576</v>
      </c>
      <c r="D41" s="1" t="s">
        <v>579</v>
      </c>
      <c r="E41" s="1"/>
      <c r="F41" s="1"/>
      <c r="G41" s="1"/>
      <c r="H41" s="43"/>
      <c r="I41" s="45"/>
      <c r="J41" s="46"/>
      <c r="K41" s="44"/>
      <c r="L41" s="46"/>
      <c r="M41" s="44"/>
      <c r="N41" s="46"/>
      <c r="O41" s="46"/>
      <c r="P41" s="46"/>
      <c r="Q41" s="46"/>
      <c r="R41" s="46"/>
      <c r="S41" s="46"/>
      <c r="T41" s="46"/>
      <c r="U41" s="46"/>
      <c r="V41" s="46"/>
      <c r="W41" s="62"/>
      <c r="X41" s="67"/>
      <c r="Y41" s="68" t="str" cm="1">
        <f t="array" ref="Y41">CalculerNouvelleDate(I41,X41)</f>
        <v/>
      </c>
      <c r="Z41" s="68" t="str" cm="1">
        <f t="array" ref="Z41">CalculerNouvelleDate(J41,Y41)</f>
        <v/>
      </c>
      <c r="AA41" s="68" t="str" cm="1">
        <f t="array" ref="AA41">CalculerNouvelleDate(K41,Z41)</f>
        <v/>
      </c>
      <c r="AB41" s="68" t="str" cm="1">
        <f t="array" ref="AB41">CalculerNouvelleDate(L41,AA41)</f>
        <v/>
      </c>
      <c r="AC41" s="68" t="str" cm="1">
        <f t="array" ref="AC41">CalculerNouvelleDate(M41,AB41)</f>
        <v/>
      </c>
      <c r="AD41" s="68" t="str" cm="1">
        <f t="array" ref="AD41">CalculerNouvelleDate(N41,AC41)</f>
        <v/>
      </c>
      <c r="AE41" s="68" t="str" cm="1">
        <f t="array" ref="AE41">CalculerNouvelleDate(O41,AD41)</f>
        <v/>
      </c>
      <c r="AF41" s="68" t="str" cm="1">
        <f t="array" ref="AF41">CalculerNouvelleDate(P41,AE41)</f>
        <v/>
      </c>
      <c r="AG41" s="68" t="str" cm="1">
        <f t="array" ref="AG41">CalculerNouvelleDate(Q41,AF41)</f>
        <v/>
      </c>
      <c r="AH41" s="68" t="str" cm="1">
        <f t="array" ref="AH41">CalculerNouvelleDate(R41,AG41)</f>
        <v/>
      </c>
      <c r="AI41" s="68" t="str" cm="1">
        <f t="array" ref="AI41">CalculerNouvelleDate(S41,AH41)</f>
        <v/>
      </c>
      <c r="AJ41" s="68" t="str" cm="1">
        <f t="array" ref="AJ41">CalculerNouvelleDate(T41,AI41)</f>
        <v/>
      </c>
      <c r="AK41" s="68" t="str" cm="1">
        <f t="array" ref="AK41">CalculerNouvelleDate(U41,AJ41)</f>
        <v/>
      </c>
      <c r="AL41" s="68" t="str" cm="1">
        <f t="array" ref="AL41">CalculerNouvelleDate(V41,AK41)</f>
        <v/>
      </c>
      <c r="AM41" s="83" t="str" cm="1">
        <f t="array" ref="AM41">CorrespondanceDAte(X41:AL41,D42)</f>
        <v>0</v>
      </c>
      <c r="AN41" s="1"/>
      <c r="AO41" s="1"/>
      <c r="AP41" s="1"/>
      <c r="AQ41" s="1"/>
      <c r="AR41" s="1"/>
      <c r="AS41" s="1"/>
      <c r="AT41" s="1"/>
      <c r="AU41" s="1"/>
      <c r="AV41" s="1"/>
      <c r="AW41" s="1"/>
      <c r="AX41" s="1"/>
      <c r="AY41" s="1"/>
      <c r="AZ41" s="1"/>
      <c r="BA41" s="1"/>
    </row>
    <row r="42" spans="1:53" x14ac:dyDescent="0.3">
      <c r="A42" s="1"/>
      <c r="B42" s="11">
        <v>9</v>
      </c>
      <c r="C42" s="1" t="s">
        <v>19</v>
      </c>
      <c r="D42" s="1"/>
      <c r="E42" s="1"/>
      <c r="F42" s="1"/>
      <c r="G42" s="1"/>
      <c r="H42" s="43"/>
      <c r="I42" s="45"/>
      <c r="J42" s="1"/>
      <c r="K42" s="44"/>
      <c r="L42" s="1"/>
      <c r="M42" s="44"/>
      <c r="N42" s="1"/>
      <c r="O42" s="1"/>
      <c r="P42" s="1"/>
      <c r="Q42" s="1"/>
      <c r="R42" s="1"/>
      <c r="S42" s="1"/>
      <c r="T42" s="1"/>
      <c r="U42" s="1"/>
      <c r="V42" s="1"/>
      <c r="W42" s="11"/>
      <c r="X42" s="67"/>
      <c r="Y42" s="68" t="str" cm="1">
        <f t="array" ref="Y42">CalculerNouvelleDate(I42,X42)</f>
        <v/>
      </c>
      <c r="Z42" s="68" t="str" cm="1">
        <f t="array" ref="Z42">CalculerNouvelleDate(J42,Y42)</f>
        <v/>
      </c>
      <c r="AA42" s="68" t="str" cm="1">
        <f t="array" ref="AA42">CalculerNouvelleDate(K42,Z42)</f>
        <v/>
      </c>
      <c r="AB42" s="68" t="str" cm="1">
        <f t="array" ref="AB42">CalculerNouvelleDate(L42,AA42)</f>
        <v/>
      </c>
      <c r="AC42" s="68" t="str" cm="1">
        <f t="array" ref="AC42">CalculerNouvelleDate(M42,AB42)</f>
        <v/>
      </c>
      <c r="AD42" s="68" t="str" cm="1">
        <f t="array" ref="AD42">CalculerNouvelleDate(N42,AC42)</f>
        <v/>
      </c>
      <c r="AE42" s="68" t="str" cm="1">
        <f t="array" ref="AE42">CalculerNouvelleDate(O42,AD42)</f>
        <v/>
      </c>
      <c r="AF42" s="68" t="str" cm="1">
        <f t="array" ref="AF42">CalculerNouvelleDate(P42,AE42)</f>
        <v/>
      </c>
      <c r="AG42" s="68" t="str" cm="1">
        <f t="array" ref="AG42">CalculerNouvelleDate(Q42,AF42)</f>
        <v/>
      </c>
      <c r="AH42" s="68" t="str" cm="1">
        <f t="array" ref="AH42">CalculerNouvelleDate(R42,AG42)</f>
        <v/>
      </c>
      <c r="AI42" s="68" t="str" cm="1">
        <f t="array" ref="AI42">CalculerNouvelleDate(S42,AH42)</f>
        <v/>
      </c>
      <c r="AJ42" s="68" t="str" cm="1">
        <f t="array" ref="AJ42">CalculerNouvelleDate(T42,AI42)</f>
        <v/>
      </c>
      <c r="AK42" s="68" t="str" cm="1">
        <f t="array" ref="AK42">CalculerNouvelleDate(U42,AJ42)</f>
        <v/>
      </c>
      <c r="AL42" s="68" t="str" cm="1">
        <f t="array" ref="AL42">CalculerNouvelleDate(V42,AK42)</f>
        <v/>
      </c>
      <c r="AM42" s="83" t="str" cm="1">
        <f t="array" ref="AM42">CorrespondanceDAte(X42:AL42,D43)</f>
        <v>0</v>
      </c>
      <c r="AN42" s="1"/>
      <c r="AO42" s="1"/>
      <c r="AP42" s="1"/>
      <c r="AQ42" s="1"/>
      <c r="AR42" s="1"/>
      <c r="AS42" s="1"/>
      <c r="AT42" s="1"/>
      <c r="AU42" s="1"/>
      <c r="AV42" s="1"/>
      <c r="AW42" s="1"/>
      <c r="AX42" s="1"/>
      <c r="AY42" s="1"/>
      <c r="AZ42" s="1"/>
      <c r="BA42" s="1"/>
    </row>
    <row r="43" spans="1:53" x14ac:dyDescent="0.3">
      <c r="A43" s="1"/>
      <c r="B43" s="11"/>
      <c r="C43" s="1" t="s">
        <v>580</v>
      </c>
      <c r="D43" s="1" t="s">
        <v>582</v>
      </c>
      <c r="E43" s="1"/>
      <c r="F43" s="1"/>
      <c r="G43" s="1"/>
      <c r="H43" s="43"/>
      <c r="I43" s="45"/>
      <c r="J43" s="46"/>
      <c r="K43" s="44"/>
      <c r="L43" s="46"/>
      <c r="M43" s="44"/>
      <c r="N43" s="46"/>
      <c r="O43" s="46"/>
      <c r="P43" s="46"/>
      <c r="Q43" s="46"/>
      <c r="R43" s="46"/>
      <c r="S43" s="46"/>
      <c r="T43" s="46"/>
      <c r="U43" s="46"/>
      <c r="V43" s="46"/>
      <c r="W43" s="62"/>
      <c r="X43" s="67"/>
      <c r="Y43" s="68" t="str" cm="1">
        <f t="array" ref="Y43">CalculerNouvelleDate(I43,X43)</f>
        <v/>
      </c>
      <c r="Z43" s="68" t="str" cm="1">
        <f t="array" ref="Z43">CalculerNouvelleDate(J43,Y43)</f>
        <v/>
      </c>
      <c r="AA43" s="68" t="str" cm="1">
        <f t="array" ref="AA43">CalculerNouvelleDate(K43,Z43)</f>
        <v/>
      </c>
      <c r="AB43" s="68" t="str" cm="1">
        <f t="array" ref="AB43">CalculerNouvelleDate(L43,AA43)</f>
        <v/>
      </c>
      <c r="AC43" s="68" t="str" cm="1">
        <f t="array" ref="AC43">CalculerNouvelleDate(M43,AB43)</f>
        <v/>
      </c>
      <c r="AD43" s="68" t="str" cm="1">
        <f t="array" ref="AD43">CalculerNouvelleDate(N43,AC43)</f>
        <v/>
      </c>
      <c r="AE43" s="68" t="str" cm="1">
        <f t="array" ref="AE43">CalculerNouvelleDate(O43,AD43)</f>
        <v/>
      </c>
      <c r="AF43" s="68" t="str" cm="1">
        <f t="array" ref="AF43">CalculerNouvelleDate(P43,AE43)</f>
        <v/>
      </c>
      <c r="AG43" s="68" t="str" cm="1">
        <f t="array" ref="AG43">CalculerNouvelleDate(Q43,AF43)</f>
        <v/>
      </c>
      <c r="AH43" s="68" t="str" cm="1">
        <f t="array" ref="AH43">CalculerNouvelleDate(R43,AG43)</f>
        <v/>
      </c>
      <c r="AI43" s="68" t="str" cm="1">
        <f t="array" ref="AI43">CalculerNouvelleDate(S43,AH43)</f>
        <v/>
      </c>
      <c r="AJ43" s="68" t="str" cm="1">
        <f t="array" ref="AJ43">CalculerNouvelleDate(T43,AI43)</f>
        <v/>
      </c>
      <c r="AK43" s="68" t="str" cm="1">
        <f t="array" ref="AK43">CalculerNouvelleDate(U43,AJ43)</f>
        <v/>
      </c>
      <c r="AL43" s="68" t="str" cm="1">
        <f t="array" ref="AL43">CalculerNouvelleDate(V43,AK43)</f>
        <v/>
      </c>
      <c r="AM43" s="83" t="str" cm="1">
        <f t="array" ref="AM43">CorrespondanceDAte(X43:AL43,D44)</f>
        <v>0</v>
      </c>
      <c r="AN43" s="1"/>
      <c r="AO43" s="1"/>
      <c r="AP43" s="1"/>
      <c r="AQ43" s="1"/>
      <c r="AR43" s="1"/>
      <c r="AS43" s="1"/>
      <c r="AT43" s="1"/>
      <c r="AU43" s="1"/>
      <c r="AV43" s="1"/>
      <c r="AW43" s="1"/>
      <c r="AX43" s="1"/>
      <c r="AY43" s="1"/>
      <c r="AZ43" s="1"/>
      <c r="BA43" s="1"/>
    </row>
    <row r="44" spans="1:53" x14ac:dyDescent="0.3">
      <c r="A44" s="1"/>
      <c r="B44" s="11"/>
      <c r="C44" s="1" t="s">
        <v>581</v>
      </c>
      <c r="D44" s="1" t="s">
        <v>583</v>
      </c>
      <c r="E44" s="1"/>
      <c r="F44" s="1"/>
      <c r="G44" s="1"/>
      <c r="H44" s="43"/>
      <c r="I44" s="45"/>
      <c r="J44" s="46"/>
      <c r="K44" s="44"/>
      <c r="L44" s="46"/>
      <c r="M44" s="44"/>
      <c r="N44" s="46"/>
      <c r="O44" s="46"/>
      <c r="P44" s="46"/>
      <c r="Q44" s="46"/>
      <c r="R44" s="46"/>
      <c r="S44" s="46"/>
      <c r="T44" s="46"/>
      <c r="U44" s="46"/>
      <c r="V44" s="46"/>
      <c r="W44" s="62"/>
      <c r="X44" s="67"/>
      <c r="Y44" s="68" t="str" cm="1">
        <f t="array" ref="Y44">CalculerNouvelleDate(I44,X44)</f>
        <v/>
      </c>
      <c r="Z44" s="68" t="str" cm="1">
        <f t="array" ref="Z44">CalculerNouvelleDate(J44,Y44)</f>
        <v/>
      </c>
      <c r="AA44" s="68" t="str" cm="1">
        <f t="array" ref="AA44">CalculerNouvelleDate(K44,Z44)</f>
        <v/>
      </c>
      <c r="AB44" s="68" t="str" cm="1">
        <f t="array" ref="AB44">CalculerNouvelleDate(L44,AA44)</f>
        <v/>
      </c>
      <c r="AC44" s="68" t="str" cm="1">
        <f t="array" ref="AC44">CalculerNouvelleDate(M44,AB44)</f>
        <v/>
      </c>
      <c r="AD44" s="68" t="str" cm="1">
        <f t="array" ref="AD44">CalculerNouvelleDate(N44,AC44)</f>
        <v/>
      </c>
      <c r="AE44" s="68" t="str" cm="1">
        <f t="array" ref="AE44">CalculerNouvelleDate(O44,AD44)</f>
        <v/>
      </c>
      <c r="AF44" s="68" t="str" cm="1">
        <f t="array" ref="AF44">CalculerNouvelleDate(P44,AE44)</f>
        <v/>
      </c>
      <c r="AG44" s="68" t="str" cm="1">
        <f t="array" ref="AG44">CalculerNouvelleDate(Q44,AF44)</f>
        <v/>
      </c>
      <c r="AH44" s="68" t="str" cm="1">
        <f t="array" ref="AH44">CalculerNouvelleDate(R44,AG44)</f>
        <v/>
      </c>
      <c r="AI44" s="68" t="str" cm="1">
        <f t="array" ref="AI44">CalculerNouvelleDate(S44,AH44)</f>
        <v/>
      </c>
      <c r="AJ44" s="68" t="str" cm="1">
        <f t="array" ref="AJ44">CalculerNouvelleDate(T44,AI44)</f>
        <v/>
      </c>
      <c r="AK44" s="68" t="str" cm="1">
        <f t="array" ref="AK44">CalculerNouvelleDate(U44,AJ44)</f>
        <v/>
      </c>
      <c r="AL44" s="68" t="str" cm="1">
        <f t="array" ref="AL44">CalculerNouvelleDate(V44,AK44)</f>
        <v/>
      </c>
      <c r="AM44" s="83" t="str" cm="1">
        <f t="array" ref="AM44">CorrespondanceDAte(X44:AL44,D45)</f>
        <v>0</v>
      </c>
      <c r="AN44" s="1"/>
      <c r="AO44" s="1"/>
      <c r="AP44" s="1"/>
      <c r="AQ44" s="1"/>
      <c r="AR44" s="1"/>
      <c r="AS44" s="1"/>
      <c r="AT44" s="1"/>
      <c r="AU44" s="1"/>
      <c r="AV44" s="1"/>
      <c r="AW44" s="1"/>
      <c r="AX44" s="1"/>
      <c r="AY44" s="1"/>
      <c r="AZ44" s="1"/>
      <c r="BA44" s="1"/>
    </row>
    <row r="45" spans="1:53" x14ac:dyDescent="0.3">
      <c r="A45" s="1"/>
      <c r="B45" s="11">
        <v>10</v>
      </c>
      <c r="C45" s="1" t="s">
        <v>20</v>
      </c>
      <c r="D45" s="1"/>
      <c r="E45" s="1"/>
      <c r="F45" s="1"/>
      <c r="G45" s="1"/>
      <c r="H45" s="43"/>
      <c r="I45" s="45"/>
      <c r="J45" s="46"/>
      <c r="K45" s="44"/>
      <c r="L45" s="46"/>
      <c r="M45" s="44"/>
      <c r="N45" s="46"/>
      <c r="O45" s="46"/>
      <c r="P45" s="46"/>
      <c r="Q45" s="46"/>
      <c r="R45" s="46"/>
      <c r="S45" s="46"/>
      <c r="T45" s="46"/>
      <c r="U45" s="46"/>
      <c r="V45" s="46"/>
      <c r="W45" s="62"/>
      <c r="X45" s="67"/>
      <c r="Y45" s="68" t="str" cm="1">
        <f t="array" ref="Y45">CalculerNouvelleDate(I45,X45)</f>
        <v/>
      </c>
      <c r="Z45" s="68" t="str" cm="1">
        <f t="array" ref="Z45">CalculerNouvelleDate(J45,Y45)</f>
        <v/>
      </c>
      <c r="AA45" s="68" t="str" cm="1">
        <f t="array" ref="AA45">CalculerNouvelleDate(K45,Z45)</f>
        <v/>
      </c>
      <c r="AB45" s="68" t="str" cm="1">
        <f t="array" ref="AB45">CalculerNouvelleDate(L45,AA45)</f>
        <v/>
      </c>
      <c r="AC45" s="68" t="str" cm="1">
        <f t="array" ref="AC45">CalculerNouvelleDate(M45,AB45)</f>
        <v/>
      </c>
      <c r="AD45" s="68" t="str" cm="1">
        <f t="array" ref="AD45">CalculerNouvelleDate(N45,AC45)</f>
        <v/>
      </c>
      <c r="AE45" s="68" t="str" cm="1">
        <f t="array" ref="AE45">CalculerNouvelleDate(O45,AD45)</f>
        <v/>
      </c>
      <c r="AF45" s="68" t="str" cm="1">
        <f t="array" ref="AF45">CalculerNouvelleDate(P45,AE45)</f>
        <v/>
      </c>
      <c r="AG45" s="68" t="str" cm="1">
        <f t="array" ref="AG45">CalculerNouvelleDate(Q45,AF45)</f>
        <v/>
      </c>
      <c r="AH45" s="68" t="str" cm="1">
        <f t="array" ref="AH45">CalculerNouvelleDate(R45,AG45)</f>
        <v/>
      </c>
      <c r="AI45" s="68" t="str" cm="1">
        <f t="array" ref="AI45">CalculerNouvelleDate(S45,AH45)</f>
        <v/>
      </c>
      <c r="AJ45" s="68" t="str" cm="1">
        <f t="array" ref="AJ45">CalculerNouvelleDate(T45,AI45)</f>
        <v/>
      </c>
      <c r="AK45" s="68" t="str" cm="1">
        <f t="array" ref="AK45">CalculerNouvelleDate(U45,AJ45)</f>
        <v/>
      </c>
      <c r="AL45" s="68" t="str" cm="1">
        <f t="array" ref="AL45">CalculerNouvelleDate(V45,AK45)</f>
        <v/>
      </c>
      <c r="AM45" s="83" t="str" cm="1">
        <f t="array" ref="AM45">CorrespondanceDAte(X45:AL45,D46)</f>
        <v>0</v>
      </c>
      <c r="AN45" s="1"/>
      <c r="AO45" s="1"/>
      <c r="AP45" s="1"/>
      <c r="AQ45" s="1"/>
      <c r="AR45" s="1"/>
      <c r="AS45" s="1"/>
      <c r="AT45" s="1"/>
      <c r="AU45" s="1"/>
      <c r="AV45" s="1"/>
      <c r="AW45" s="1"/>
      <c r="AX45" s="1"/>
      <c r="AY45" s="1"/>
      <c r="AZ45" s="1"/>
      <c r="BA45" s="1"/>
    </row>
    <row r="46" spans="1:53" x14ac:dyDescent="0.3">
      <c r="A46" s="1"/>
      <c r="B46" s="11"/>
      <c r="C46" s="1" t="s">
        <v>584</v>
      </c>
      <c r="D46" s="1" t="s">
        <v>589</v>
      </c>
      <c r="E46" s="1"/>
      <c r="F46" s="1"/>
      <c r="G46" s="1"/>
      <c r="H46" s="43"/>
      <c r="I46" s="45"/>
      <c r="J46" s="46"/>
      <c r="K46" s="44"/>
      <c r="L46" s="46"/>
      <c r="M46" s="44"/>
      <c r="N46" s="46"/>
      <c r="O46" s="46"/>
      <c r="P46" s="46"/>
      <c r="Q46" s="46"/>
      <c r="R46" s="46"/>
      <c r="S46" s="46"/>
      <c r="T46" s="46"/>
      <c r="U46" s="46"/>
      <c r="V46" s="46"/>
      <c r="W46" s="62"/>
      <c r="X46" s="67"/>
      <c r="Y46" s="68" t="str" cm="1">
        <f t="array" ref="Y46">CalculerNouvelleDate(I46,X46)</f>
        <v/>
      </c>
      <c r="Z46" s="68" t="str" cm="1">
        <f t="array" ref="Z46">CalculerNouvelleDate(J46,Y46)</f>
        <v/>
      </c>
      <c r="AA46" s="68" t="str" cm="1">
        <f t="array" ref="AA46">CalculerNouvelleDate(K46,Z46)</f>
        <v/>
      </c>
      <c r="AB46" s="68" t="str" cm="1">
        <f t="array" ref="AB46">CalculerNouvelleDate(L46,AA46)</f>
        <v/>
      </c>
      <c r="AC46" s="68" t="str" cm="1">
        <f t="array" ref="AC46">CalculerNouvelleDate(M46,AB46)</f>
        <v/>
      </c>
      <c r="AD46" s="68" t="str" cm="1">
        <f t="array" ref="AD46">CalculerNouvelleDate(N46,AC46)</f>
        <v/>
      </c>
      <c r="AE46" s="68" t="str" cm="1">
        <f t="array" ref="AE46">CalculerNouvelleDate(O46,AD46)</f>
        <v/>
      </c>
      <c r="AF46" s="68" t="str" cm="1">
        <f t="array" ref="AF46">CalculerNouvelleDate(P46,AE46)</f>
        <v/>
      </c>
      <c r="AG46" s="68" t="str" cm="1">
        <f t="array" ref="AG46">CalculerNouvelleDate(Q46,AF46)</f>
        <v/>
      </c>
      <c r="AH46" s="68" t="str" cm="1">
        <f t="array" ref="AH46">CalculerNouvelleDate(R46,AG46)</f>
        <v/>
      </c>
      <c r="AI46" s="68" t="str" cm="1">
        <f t="array" ref="AI46">CalculerNouvelleDate(S46,AH46)</f>
        <v/>
      </c>
      <c r="AJ46" s="68" t="str" cm="1">
        <f t="array" ref="AJ46">CalculerNouvelleDate(T46,AI46)</f>
        <v/>
      </c>
      <c r="AK46" s="68" t="str" cm="1">
        <f t="array" ref="AK46">CalculerNouvelleDate(U46,AJ46)</f>
        <v/>
      </c>
      <c r="AL46" s="68" t="str" cm="1">
        <f t="array" ref="AL46">CalculerNouvelleDate(V46,AK46)</f>
        <v/>
      </c>
      <c r="AM46" s="83" t="str" cm="1">
        <f t="array" ref="AM46">CorrespondanceDAte(X46:AL46,D47)</f>
        <v>0</v>
      </c>
      <c r="AN46" s="1"/>
      <c r="AO46" s="1"/>
      <c r="AP46" s="1"/>
      <c r="AQ46" s="1"/>
      <c r="AR46" s="1"/>
      <c r="AS46" s="1"/>
      <c r="AT46" s="1"/>
      <c r="AU46" s="1"/>
      <c r="AV46" s="1"/>
      <c r="AW46" s="1"/>
      <c r="AX46" s="1"/>
      <c r="AY46" s="1"/>
      <c r="AZ46" s="1"/>
      <c r="BA46" s="1"/>
    </row>
    <row r="47" spans="1:53" x14ac:dyDescent="0.3">
      <c r="A47" s="1"/>
      <c r="B47" s="11"/>
      <c r="C47" s="1" t="s">
        <v>585</v>
      </c>
      <c r="D47" s="1" t="s">
        <v>590</v>
      </c>
      <c r="E47" s="1"/>
      <c r="F47" s="1"/>
      <c r="G47" s="1"/>
      <c r="H47" s="43"/>
      <c r="I47" s="45"/>
      <c r="J47" s="46"/>
      <c r="K47" s="44"/>
      <c r="L47" s="46"/>
      <c r="M47" s="44"/>
      <c r="N47" s="46"/>
      <c r="O47" s="46"/>
      <c r="P47" s="46"/>
      <c r="Q47" s="46"/>
      <c r="R47" s="46"/>
      <c r="S47" s="46"/>
      <c r="T47" s="46"/>
      <c r="U47" s="46"/>
      <c r="V47" s="46"/>
      <c r="W47" s="62"/>
      <c r="X47" s="67"/>
      <c r="Y47" s="68" t="str" cm="1">
        <f t="array" ref="Y47">CalculerNouvelleDate(I47,X47)</f>
        <v/>
      </c>
      <c r="Z47" s="68" t="str" cm="1">
        <f t="array" ref="Z47">CalculerNouvelleDate(J47,Y47)</f>
        <v/>
      </c>
      <c r="AA47" s="68" t="str" cm="1">
        <f t="array" ref="AA47">CalculerNouvelleDate(K47,Z47)</f>
        <v/>
      </c>
      <c r="AB47" s="68" t="str" cm="1">
        <f t="array" ref="AB47">CalculerNouvelleDate(L47,AA47)</f>
        <v/>
      </c>
      <c r="AC47" s="68" t="str" cm="1">
        <f t="array" ref="AC47">CalculerNouvelleDate(M47,AB47)</f>
        <v/>
      </c>
      <c r="AD47" s="68" t="str" cm="1">
        <f t="array" ref="AD47">CalculerNouvelleDate(N47,AC47)</f>
        <v/>
      </c>
      <c r="AE47" s="68" t="str" cm="1">
        <f t="array" ref="AE47">CalculerNouvelleDate(O47,AD47)</f>
        <v/>
      </c>
      <c r="AF47" s="68" t="str" cm="1">
        <f t="array" ref="AF47">CalculerNouvelleDate(P47,AE47)</f>
        <v/>
      </c>
      <c r="AG47" s="68" t="str" cm="1">
        <f t="array" ref="AG47">CalculerNouvelleDate(Q47,AF47)</f>
        <v/>
      </c>
      <c r="AH47" s="68" t="str" cm="1">
        <f t="array" ref="AH47">CalculerNouvelleDate(R47,AG47)</f>
        <v/>
      </c>
      <c r="AI47" s="68" t="str" cm="1">
        <f t="array" ref="AI47">CalculerNouvelleDate(S47,AH47)</f>
        <v/>
      </c>
      <c r="AJ47" s="68" t="str" cm="1">
        <f t="array" ref="AJ47">CalculerNouvelleDate(T47,AI47)</f>
        <v/>
      </c>
      <c r="AK47" s="68" t="str" cm="1">
        <f t="array" ref="AK47">CalculerNouvelleDate(U47,AJ47)</f>
        <v/>
      </c>
      <c r="AL47" s="68" t="str" cm="1">
        <f t="array" ref="AL47">CalculerNouvelleDate(V47,AK47)</f>
        <v/>
      </c>
      <c r="AM47" s="83" t="str" cm="1">
        <f t="array" ref="AM47">CorrespondanceDAte(X47:AL47,D48)</f>
        <v>0</v>
      </c>
      <c r="AN47" s="1"/>
      <c r="AO47" s="1"/>
      <c r="AP47" s="1"/>
      <c r="AQ47" s="1"/>
      <c r="AR47" s="1"/>
      <c r="AS47" s="1"/>
      <c r="AT47" s="1"/>
      <c r="AU47" s="1"/>
      <c r="AV47" s="1"/>
      <c r="AW47" s="1"/>
      <c r="AX47" s="1"/>
      <c r="AY47" s="1"/>
      <c r="AZ47" s="1"/>
      <c r="BA47" s="1"/>
    </row>
    <row r="48" spans="1:53" x14ac:dyDescent="0.3">
      <c r="A48" s="1"/>
      <c r="B48" s="11"/>
      <c r="C48" s="1" t="s">
        <v>586</v>
      </c>
      <c r="D48" s="1" t="s">
        <v>591</v>
      </c>
      <c r="E48" s="1"/>
      <c r="F48" s="1"/>
      <c r="G48" s="1"/>
      <c r="H48" s="43"/>
      <c r="I48" s="45"/>
      <c r="J48" s="46"/>
      <c r="K48" s="44"/>
      <c r="L48" s="46"/>
      <c r="M48" s="44"/>
      <c r="N48" s="46"/>
      <c r="O48" s="46"/>
      <c r="P48" s="46"/>
      <c r="Q48" s="46"/>
      <c r="R48" s="46"/>
      <c r="S48" s="46"/>
      <c r="T48" s="46"/>
      <c r="U48" s="46"/>
      <c r="V48" s="46"/>
      <c r="W48" s="62"/>
      <c r="X48" s="67"/>
      <c r="Y48" s="68" t="str" cm="1">
        <f t="array" ref="Y48">CalculerNouvelleDate(I48,X48)</f>
        <v/>
      </c>
      <c r="Z48" s="68" t="str" cm="1">
        <f t="array" ref="Z48">CalculerNouvelleDate(J48,Y48)</f>
        <v/>
      </c>
      <c r="AA48" s="68" t="str" cm="1">
        <f t="array" ref="AA48">CalculerNouvelleDate(K48,Z48)</f>
        <v/>
      </c>
      <c r="AB48" s="68" t="str" cm="1">
        <f t="array" ref="AB48">CalculerNouvelleDate(L48,AA48)</f>
        <v/>
      </c>
      <c r="AC48" s="68" t="str" cm="1">
        <f t="array" ref="AC48">CalculerNouvelleDate(M48,AB48)</f>
        <v/>
      </c>
      <c r="AD48" s="68" t="str" cm="1">
        <f t="array" ref="AD48">CalculerNouvelleDate(N48,AC48)</f>
        <v/>
      </c>
      <c r="AE48" s="68" t="str" cm="1">
        <f t="array" ref="AE48">CalculerNouvelleDate(O48,AD48)</f>
        <v/>
      </c>
      <c r="AF48" s="68" t="str" cm="1">
        <f t="array" ref="AF48">CalculerNouvelleDate(P48,AE48)</f>
        <v/>
      </c>
      <c r="AG48" s="68" t="str" cm="1">
        <f t="array" ref="AG48">CalculerNouvelleDate(Q48,AF48)</f>
        <v/>
      </c>
      <c r="AH48" s="68" t="str" cm="1">
        <f t="array" ref="AH48">CalculerNouvelleDate(R48,AG48)</f>
        <v/>
      </c>
      <c r="AI48" s="68" t="str" cm="1">
        <f t="array" ref="AI48">CalculerNouvelleDate(S48,AH48)</f>
        <v/>
      </c>
      <c r="AJ48" s="68" t="str" cm="1">
        <f t="array" ref="AJ48">CalculerNouvelleDate(T48,AI48)</f>
        <v/>
      </c>
      <c r="AK48" s="68" t="str" cm="1">
        <f t="array" ref="AK48">CalculerNouvelleDate(U48,AJ48)</f>
        <v/>
      </c>
      <c r="AL48" s="68" t="str" cm="1">
        <f t="array" ref="AL48">CalculerNouvelleDate(V48,AK48)</f>
        <v/>
      </c>
      <c r="AM48" s="83" t="str" cm="1">
        <f t="array" ref="AM48">CorrespondanceDAte(X48:AL48,D49)</f>
        <v>0</v>
      </c>
      <c r="AN48" s="1"/>
      <c r="AO48" s="1"/>
      <c r="AP48" s="1"/>
      <c r="AQ48" s="1"/>
      <c r="AR48" s="1"/>
      <c r="AS48" s="1"/>
      <c r="AT48" s="1"/>
      <c r="AU48" s="1"/>
      <c r="AV48" s="1"/>
      <c r="AW48" s="1"/>
      <c r="AX48" s="1"/>
      <c r="AY48" s="1"/>
      <c r="AZ48" s="1"/>
      <c r="BA48" s="1"/>
    </row>
    <row r="49" spans="1:53" x14ac:dyDescent="0.3">
      <c r="A49" s="1"/>
      <c r="B49" s="11"/>
      <c r="C49" s="1" t="s">
        <v>587</v>
      </c>
      <c r="D49" s="1" t="s">
        <v>592</v>
      </c>
      <c r="E49" s="1"/>
      <c r="F49" s="1"/>
      <c r="G49" s="1"/>
      <c r="H49" s="43"/>
      <c r="I49" s="45"/>
      <c r="J49" s="46"/>
      <c r="K49" s="44"/>
      <c r="L49" s="46"/>
      <c r="M49" s="44"/>
      <c r="N49" s="46"/>
      <c r="O49" s="46"/>
      <c r="P49" s="46"/>
      <c r="Q49" s="46"/>
      <c r="R49" s="46"/>
      <c r="S49" s="46"/>
      <c r="T49" s="46"/>
      <c r="U49" s="46"/>
      <c r="V49" s="46"/>
      <c r="W49" s="62"/>
      <c r="X49" s="67"/>
      <c r="Y49" s="68" t="str" cm="1">
        <f t="array" ref="Y49">CalculerNouvelleDate(I49,X49)</f>
        <v/>
      </c>
      <c r="Z49" s="68" t="str" cm="1">
        <f t="array" ref="Z49">CalculerNouvelleDate(J49,Y49)</f>
        <v/>
      </c>
      <c r="AA49" s="68" t="str" cm="1">
        <f t="array" ref="AA49">CalculerNouvelleDate(K49,Z49)</f>
        <v/>
      </c>
      <c r="AB49" s="68" t="str" cm="1">
        <f t="array" ref="AB49">CalculerNouvelleDate(L49,AA49)</f>
        <v/>
      </c>
      <c r="AC49" s="68" t="str" cm="1">
        <f t="array" ref="AC49">CalculerNouvelleDate(M49,AB49)</f>
        <v/>
      </c>
      <c r="AD49" s="68" t="str" cm="1">
        <f t="array" ref="AD49">CalculerNouvelleDate(N49,AC49)</f>
        <v/>
      </c>
      <c r="AE49" s="68" t="str" cm="1">
        <f t="array" ref="AE49">CalculerNouvelleDate(O49,AD49)</f>
        <v/>
      </c>
      <c r="AF49" s="68" t="str" cm="1">
        <f t="array" ref="AF49">CalculerNouvelleDate(P49,AE49)</f>
        <v/>
      </c>
      <c r="AG49" s="68" t="str" cm="1">
        <f t="array" ref="AG49">CalculerNouvelleDate(Q49,AF49)</f>
        <v/>
      </c>
      <c r="AH49" s="68" t="str" cm="1">
        <f t="array" ref="AH49">CalculerNouvelleDate(R49,AG49)</f>
        <v/>
      </c>
      <c r="AI49" s="68" t="str" cm="1">
        <f t="array" ref="AI49">CalculerNouvelleDate(S49,AH49)</f>
        <v/>
      </c>
      <c r="AJ49" s="68" t="str" cm="1">
        <f t="array" ref="AJ49">CalculerNouvelleDate(T49,AI49)</f>
        <v/>
      </c>
      <c r="AK49" s="68" t="str" cm="1">
        <f t="array" ref="AK49">CalculerNouvelleDate(U49,AJ49)</f>
        <v/>
      </c>
      <c r="AL49" s="68" t="str" cm="1">
        <f t="array" ref="AL49">CalculerNouvelleDate(V49,AK49)</f>
        <v/>
      </c>
      <c r="AM49" s="83" t="str" cm="1">
        <f t="array" ref="AM49">CorrespondanceDAte(X49:AL49,D50)</f>
        <v>0</v>
      </c>
      <c r="AN49" s="1"/>
      <c r="AO49" s="1"/>
      <c r="AP49" s="1"/>
      <c r="AQ49" s="1"/>
      <c r="AR49" s="1"/>
      <c r="AS49" s="1"/>
      <c r="AT49" s="1"/>
      <c r="AU49" s="1"/>
      <c r="AV49" s="1"/>
      <c r="AW49" s="1"/>
      <c r="AX49" s="1"/>
      <c r="AY49" s="1"/>
      <c r="AZ49" s="1"/>
      <c r="BA49" s="1"/>
    </row>
    <row r="50" spans="1:53" x14ac:dyDescent="0.3">
      <c r="A50" s="1"/>
      <c r="B50" s="11"/>
      <c r="C50" s="1" t="s">
        <v>588</v>
      </c>
      <c r="D50" s="1" t="s">
        <v>593</v>
      </c>
      <c r="E50" s="1"/>
      <c r="F50" s="1"/>
      <c r="G50" s="1"/>
      <c r="H50" s="43"/>
      <c r="I50" s="45"/>
      <c r="J50" s="46"/>
      <c r="K50" s="44"/>
      <c r="L50" s="46"/>
      <c r="M50" s="44"/>
      <c r="N50" s="46"/>
      <c r="O50" s="46"/>
      <c r="P50" s="46"/>
      <c r="Q50" s="46"/>
      <c r="R50" s="46"/>
      <c r="S50" s="46"/>
      <c r="T50" s="46"/>
      <c r="U50" s="46"/>
      <c r="V50" s="46"/>
      <c r="W50" s="62"/>
      <c r="X50" s="67"/>
      <c r="Y50" s="68" t="str" cm="1">
        <f t="array" ref="Y50">CalculerNouvelleDate(I50,X50)</f>
        <v/>
      </c>
      <c r="Z50" s="68" t="str" cm="1">
        <f t="array" ref="Z50">CalculerNouvelleDate(J50,Y50)</f>
        <v/>
      </c>
      <c r="AA50" s="68" t="str" cm="1">
        <f t="array" ref="AA50">CalculerNouvelleDate(K50,Z50)</f>
        <v/>
      </c>
      <c r="AB50" s="68" t="str" cm="1">
        <f t="array" ref="AB50">CalculerNouvelleDate(L50,AA50)</f>
        <v/>
      </c>
      <c r="AC50" s="68" t="str" cm="1">
        <f t="array" ref="AC50">CalculerNouvelleDate(M50,AB50)</f>
        <v/>
      </c>
      <c r="AD50" s="68" t="str" cm="1">
        <f t="array" ref="AD50">CalculerNouvelleDate(N50,AC50)</f>
        <v/>
      </c>
      <c r="AE50" s="68" t="str" cm="1">
        <f t="array" ref="AE50">CalculerNouvelleDate(O50,AD50)</f>
        <v/>
      </c>
      <c r="AF50" s="68" t="str" cm="1">
        <f t="array" ref="AF50">CalculerNouvelleDate(P50,AE50)</f>
        <v/>
      </c>
      <c r="AG50" s="68" t="str" cm="1">
        <f t="array" ref="AG50">CalculerNouvelleDate(Q50,AF50)</f>
        <v/>
      </c>
      <c r="AH50" s="68" t="str" cm="1">
        <f t="array" ref="AH50">CalculerNouvelleDate(R50,AG50)</f>
        <v/>
      </c>
      <c r="AI50" s="68" t="str" cm="1">
        <f t="array" ref="AI50">CalculerNouvelleDate(S50,AH50)</f>
        <v/>
      </c>
      <c r="AJ50" s="68" t="str" cm="1">
        <f t="array" ref="AJ50">CalculerNouvelleDate(T50,AI50)</f>
        <v/>
      </c>
      <c r="AK50" s="68" t="str" cm="1">
        <f t="array" ref="AK50">CalculerNouvelleDate(U50,AJ50)</f>
        <v/>
      </c>
      <c r="AL50" s="68" t="str" cm="1">
        <f t="array" ref="AL50">CalculerNouvelleDate(V50,AK50)</f>
        <v/>
      </c>
      <c r="AM50" s="83" t="str" cm="1">
        <f t="array" ref="AM50">CorrespondanceDAte(X50:AL50,D51)</f>
        <v>0</v>
      </c>
      <c r="AN50" s="1"/>
      <c r="AO50" s="1"/>
      <c r="AP50" s="1"/>
      <c r="AQ50" s="1"/>
      <c r="AR50" s="1"/>
      <c r="AS50" s="1"/>
      <c r="AT50" s="1"/>
      <c r="AU50" s="1"/>
      <c r="AV50" s="1"/>
      <c r="AW50" s="1"/>
      <c r="AX50" s="1"/>
      <c r="AY50" s="1"/>
      <c r="AZ50" s="1"/>
      <c r="BA50" s="1"/>
    </row>
    <row r="51" spans="1:53" x14ac:dyDescent="0.3">
      <c r="A51" s="1"/>
      <c r="B51" s="11">
        <v>11</v>
      </c>
      <c r="C51" s="1" t="s">
        <v>21</v>
      </c>
      <c r="D51" s="1"/>
      <c r="E51" s="1"/>
      <c r="F51" s="1"/>
      <c r="G51" s="1"/>
      <c r="H51" s="43"/>
      <c r="I51" s="45"/>
      <c r="J51" s="1"/>
      <c r="K51" s="1"/>
      <c r="L51" s="1"/>
      <c r="M51" s="44"/>
      <c r="N51" s="1"/>
      <c r="O51" s="1"/>
      <c r="P51" s="1"/>
      <c r="Q51" s="1"/>
      <c r="R51" s="1"/>
      <c r="S51" s="1"/>
      <c r="T51" s="1"/>
      <c r="U51" s="1"/>
      <c r="V51" s="1"/>
      <c r="W51" s="11"/>
      <c r="X51" s="67"/>
      <c r="Y51" s="68" t="str" cm="1">
        <f t="array" ref="Y51">CalculerNouvelleDate(I51,X51)</f>
        <v/>
      </c>
      <c r="Z51" s="68" t="str" cm="1">
        <f t="array" ref="Z51">CalculerNouvelleDate(J51,Y51)</f>
        <v/>
      </c>
      <c r="AA51" s="68" t="str" cm="1">
        <f t="array" ref="AA51">CalculerNouvelleDate(K51,Z51)</f>
        <v/>
      </c>
      <c r="AB51" s="68" t="str" cm="1">
        <f t="array" ref="AB51">CalculerNouvelleDate(L51,AA51)</f>
        <v/>
      </c>
      <c r="AC51" s="68" t="str" cm="1">
        <f t="array" ref="AC51">CalculerNouvelleDate(M51,AB51)</f>
        <v/>
      </c>
      <c r="AD51" s="68" t="str" cm="1">
        <f t="array" ref="AD51">CalculerNouvelleDate(N51,AC51)</f>
        <v/>
      </c>
      <c r="AE51" s="68" t="str" cm="1">
        <f t="array" ref="AE51">CalculerNouvelleDate(O51,AD51)</f>
        <v/>
      </c>
      <c r="AF51" s="68" t="str" cm="1">
        <f t="array" ref="AF51">CalculerNouvelleDate(P51,AE51)</f>
        <v/>
      </c>
      <c r="AG51" s="68" t="str" cm="1">
        <f t="array" ref="AG51">CalculerNouvelleDate(Q51,AF51)</f>
        <v/>
      </c>
      <c r="AH51" s="68" t="str" cm="1">
        <f t="array" ref="AH51">CalculerNouvelleDate(R51,AG51)</f>
        <v/>
      </c>
      <c r="AI51" s="68" t="str" cm="1">
        <f t="array" ref="AI51">CalculerNouvelleDate(S51,AH51)</f>
        <v/>
      </c>
      <c r="AJ51" s="68" t="str" cm="1">
        <f t="array" ref="AJ51">CalculerNouvelleDate(T51,AI51)</f>
        <v/>
      </c>
      <c r="AK51" s="68" t="str" cm="1">
        <f t="array" ref="AK51">CalculerNouvelleDate(U51,AJ51)</f>
        <v/>
      </c>
      <c r="AL51" s="68" t="str" cm="1">
        <f t="array" ref="AL51">CalculerNouvelleDate(V51,AK51)</f>
        <v/>
      </c>
      <c r="AM51" s="83" t="str" cm="1">
        <f t="array" ref="AM51">CorrespondanceDAte(X51:AL51,D52)</f>
        <v>0</v>
      </c>
      <c r="AN51" s="1"/>
      <c r="AO51" s="1"/>
      <c r="AP51" s="1"/>
      <c r="AQ51" s="1"/>
      <c r="AR51" s="1"/>
      <c r="AS51" s="1"/>
      <c r="AT51" s="1"/>
      <c r="AU51" s="1"/>
      <c r="AV51" s="1"/>
      <c r="AW51" s="1"/>
      <c r="AX51" s="1"/>
      <c r="AY51" s="1"/>
      <c r="AZ51" s="1"/>
      <c r="BA51" s="1"/>
    </row>
    <row r="52" spans="1:53" x14ac:dyDescent="0.3">
      <c r="A52" s="1"/>
      <c r="B52" s="11"/>
      <c r="C52" s="1" t="s">
        <v>594</v>
      </c>
      <c r="D52" s="1" t="s">
        <v>597</v>
      </c>
      <c r="E52" s="1"/>
      <c r="F52" s="1"/>
      <c r="G52" s="1"/>
      <c r="H52" s="43"/>
      <c r="I52" s="45"/>
      <c r="J52" s="46"/>
      <c r="K52" s="46"/>
      <c r="L52" s="46"/>
      <c r="M52" s="44"/>
      <c r="N52" s="46"/>
      <c r="O52" s="46"/>
      <c r="P52" s="46"/>
      <c r="Q52" s="46"/>
      <c r="R52" s="46"/>
      <c r="S52" s="46"/>
      <c r="T52" s="46"/>
      <c r="U52" s="46"/>
      <c r="V52" s="46"/>
      <c r="W52" s="62"/>
      <c r="X52" s="67"/>
      <c r="Y52" s="68" t="str" cm="1">
        <f t="array" ref="Y52">CalculerNouvelleDate(I52,X52)</f>
        <v/>
      </c>
      <c r="Z52" s="68" t="str" cm="1">
        <f t="array" ref="Z52">CalculerNouvelleDate(J52,Y52)</f>
        <v/>
      </c>
      <c r="AA52" s="68" t="str" cm="1">
        <f t="array" ref="AA52">CalculerNouvelleDate(K52,Z52)</f>
        <v/>
      </c>
      <c r="AB52" s="68" t="str" cm="1">
        <f t="array" ref="AB52">CalculerNouvelleDate(L52,AA52)</f>
        <v/>
      </c>
      <c r="AC52" s="68" t="str" cm="1">
        <f t="array" ref="AC52">CalculerNouvelleDate(M52,AB52)</f>
        <v/>
      </c>
      <c r="AD52" s="68" t="str" cm="1">
        <f t="array" ref="AD52">CalculerNouvelleDate(N52,AC52)</f>
        <v/>
      </c>
      <c r="AE52" s="68" t="str" cm="1">
        <f t="array" ref="AE52">CalculerNouvelleDate(O52,AD52)</f>
        <v/>
      </c>
      <c r="AF52" s="68" t="str" cm="1">
        <f t="array" ref="AF52">CalculerNouvelleDate(P52,AE52)</f>
        <v/>
      </c>
      <c r="AG52" s="68" t="str" cm="1">
        <f t="array" ref="AG52">CalculerNouvelleDate(Q52,AF52)</f>
        <v/>
      </c>
      <c r="AH52" s="68" t="str" cm="1">
        <f t="array" ref="AH52">CalculerNouvelleDate(R52,AG52)</f>
        <v/>
      </c>
      <c r="AI52" s="68" t="str" cm="1">
        <f t="array" ref="AI52">CalculerNouvelleDate(S52,AH52)</f>
        <v/>
      </c>
      <c r="AJ52" s="68" t="str" cm="1">
        <f t="array" ref="AJ52">CalculerNouvelleDate(T52,AI52)</f>
        <v/>
      </c>
      <c r="AK52" s="68" t="str" cm="1">
        <f t="array" ref="AK52">CalculerNouvelleDate(U52,AJ52)</f>
        <v/>
      </c>
      <c r="AL52" s="68" t="str" cm="1">
        <f t="array" ref="AL52">CalculerNouvelleDate(V52,AK52)</f>
        <v/>
      </c>
      <c r="AM52" s="83" t="str" cm="1">
        <f t="array" ref="AM52">CorrespondanceDAte(X52:AL52,D53)</f>
        <v>0</v>
      </c>
      <c r="AN52" s="1"/>
      <c r="AO52" s="1"/>
      <c r="AP52" s="1"/>
      <c r="AQ52" s="1"/>
      <c r="AR52" s="1"/>
      <c r="AS52" s="1"/>
      <c r="AT52" s="1"/>
      <c r="AU52" s="1"/>
      <c r="AV52" s="1"/>
      <c r="AW52" s="1"/>
      <c r="AX52" s="1"/>
      <c r="AY52" s="1"/>
      <c r="AZ52" s="1"/>
      <c r="BA52" s="1"/>
    </row>
    <row r="53" spans="1:53" x14ac:dyDescent="0.3">
      <c r="A53" s="1"/>
      <c r="B53" s="11"/>
      <c r="C53" s="1" t="s">
        <v>595</v>
      </c>
      <c r="D53" s="1" t="s">
        <v>598</v>
      </c>
      <c r="E53" s="1"/>
      <c r="F53" s="1"/>
      <c r="G53" s="1"/>
      <c r="H53" s="43"/>
      <c r="I53" s="45"/>
      <c r="J53" s="46"/>
      <c r="K53" s="46"/>
      <c r="L53" s="46"/>
      <c r="M53" s="44"/>
      <c r="N53" s="46"/>
      <c r="O53" s="46"/>
      <c r="P53" s="46"/>
      <c r="Q53" s="46"/>
      <c r="R53" s="46"/>
      <c r="S53" s="46"/>
      <c r="T53" s="46"/>
      <c r="U53" s="46"/>
      <c r="V53" s="46"/>
      <c r="W53" s="62"/>
      <c r="X53" s="67"/>
      <c r="Y53" s="68" t="str" cm="1">
        <f t="array" ref="Y53">CalculerNouvelleDate(I53,X53)</f>
        <v/>
      </c>
      <c r="Z53" s="68" t="str" cm="1">
        <f t="array" ref="Z53">CalculerNouvelleDate(J53,Y53)</f>
        <v/>
      </c>
      <c r="AA53" s="68" t="str" cm="1">
        <f t="array" ref="AA53">CalculerNouvelleDate(K53,Z53)</f>
        <v/>
      </c>
      <c r="AB53" s="68" t="str" cm="1">
        <f t="array" ref="AB53">CalculerNouvelleDate(L53,AA53)</f>
        <v/>
      </c>
      <c r="AC53" s="68" t="str" cm="1">
        <f t="array" ref="AC53">CalculerNouvelleDate(M53,AB53)</f>
        <v/>
      </c>
      <c r="AD53" s="68" t="str" cm="1">
        <f t="array" ref="AD53">CalculerNouvelleDate(N53,AC53)</f>
        <v/>
      </c>
      <c r="AE53" s="68" t="str" cm="1">
        <f t="array" ref="AE53">CalculerNouvelleDate(O53,AD53)</f>
        <v/>
      </c>
      <c r="AF53" s="68" t="str" cm="1">
        <f t="array" ref="AF53">CalculerNouvelleDate(P53,AE53)</f>
        <v/>
      </c>
      <c r="AG53" s="68" t="str" cm="1">
        <f t="array" ref="AG53">CalculerNouvelleDate(Q53,AF53)</f>
        <v/>
      </c>
      <c r="AH53" s="68" t="str" cm="1">
        <f t="array" ref="AH53">CalculerNouvelleDate(R53,AG53)</f>
        <v/>
      </c>
      <c r="AI53" s="68" t="str" cm="1">
        <f t="array" ref="AI53">CalculerNouvelleDate(S53,AH53)</f>
        <v/>
      </c>
      <c r="AJ53" s="68" t="str" cm="1">
        <f t="array" ref="AJ53">CalculerNouvelleDate(T53,AI53)</f>
        <v/>
      </c>
      <c r="AK53" s="68" t="str" cm="1">
        <f t="array" ref="AK53">CalculerNouvelleDate(U53,AJ53)</f>
        <v/>
      </c>
      <c r="AL53" s="68" t="str" cm="1">
        <f t="array" ref="AL53">CalculerNouvelleDate(V53,AK53)</f>
        <v/>
      </c>
      <c r="AM53" s="83" t="str" cm="1">
        <f t="array" ref="AM53">CorrespondanceDAte(X53:AL53,D54)</f>
        <v>0</v>
      </c>
      <c r="AN53" s="1"/>
      <c r="AO53" s="1"/>
      <c r="AP53" s="1"/>
      <c r="AQ53" s="1"/>
      <c r="AR53" s="1"/>
      <c r="AS53" s="1"/>
      <c r="AT53" s="1"/>
      <c r="AU53" s="1"/>
      <c r="AV53" s="1"/>
      <c r="AW53" s="1"/>
      <c r="AX53" s="1"/>
      <c r="AY53" s="1"/>
      <c r="AZ53" s="1"/>
      <c r="BA53" s="1"/>
    </row>
    <row r="54" spans="1:53" x14ac:dyDescent="0.3">
      <c r="A54" s="1"/>
      <c r="B54" s="11"/>
      <c r="C54" s="1" t="s">
        <v>596</v>
      </c>
      <c r="D54" s="1" t="s">
        <v>599</v>
      </c>
      <c r="E54" s="1"/>
      <c r="F54" s="1"/>
      <c r="G54" s="1"/>
      <c r="H54" s="43"/>
      <c r="I54" s="45"/>
      <c r="J54" s="46"/>
      <c r="K54" s="46"/>
      <c r="L54" s="46"/>
      <c r="M54" s="44"/>
      <c r="N54" s="46"/>
      <c r="O54" s="46"/>
      <c r="P54" s="46"/>
      <c r="Q54" s="46"/>
      <c r="R54" s="46"/>
      <c r="S54" s="46"/>
      <c r="T54" s="46"/>
      <c r="U54" s="46"/>
      <c r="V54" s="46"/>
      <c r="W54" s="62"/>
      <c r="X54" s="67"/>
      <c r="Y54" s="68" t="str" cm="1">
        <f t="array" ref="Y54">CalculerNouvelleDate(I54,X54)</f>
        <v/>
      </c>
      <c r="Z54" s="68" t="str" cm="1">
        <f t="array" ref="Z54">CalculerNouvelleDate(J54,Y54)</f>
        <v/>
      </c>
      <c r="AA54" s="68" t="str" cm="1">
        <f t="array" ref="AA54">CalculerNouvelleDate(K54,Z54)</f>
        <v/>
      </c>
      <c r="AB54" s="68" t="str" cm="1">
        <f t="array" ref="AB54">CalculerNouvelleDate(L54,AA54)</f>
        <v/>
      </c>
      <c r="AC54" s="68" t="str" cm="1">
        <f t="array" ref="AC54">CalculerNouvelleDate(M54,AB54)</f>
        <v/>
      </c>
      <c r="AD54" s="68" t="str" cm="1">
        <f t="array" ref="AD54">CalculerNouvelleDate(N54,AC54)</f>
        <v/>
      </c>
      <c r="AE54" s="68" t="str" cm="1">
        <f t="array" ref="AE54">CalculerNouvelleDate(O54,AD54)</f>
        <v/>
      </c>
      <c r="AF54" s="68" t="str" cm="1">
        <f t="array" ref="AF54">CalculerNouvelleDate(P54,AE54)</f>
        <v/>
      </c>
      <c r="AG54" s="68" t="str" cm="1">
        <f t="array" ref="AG54">CalculerNouvelleDate(Q54,AF54)</f>
        <v/>
      </c>
      <c r="AH54" s="68" t="str" cm="1">
        <f t="array" ref="AH54">CalculerNouvelleDate(R54,AG54)</f>
        <v/>
      </c>
      <c r="AI54" s="68" t="str" cm="1">
        <f t="array" ref="AI54">CalculerNouvelleDate(S54,AH54)</f>
        <v/>
      </c>
      <c r="AJ54" s="68" t="str" cm="1">
        <f t="array" ref="AJ54">CalculerNouvelleDate(T54,AI54)</f>
        <v/>
      </c>
      <c r="AK54" s="68" t="str" cm="1">
        <f t="array" ref="AK54">CalculerNouvelleDate(U54,AJ54)</f>
        <v/>
      </c>
      <c r="AL54" s="68" t="str" cm="1">
        <f t="array" ref="AL54">CalculerNouvelleDate(V54,AK54)</f>
        <v/>
      </c>
      <c r="AM54" s="83" t="str" cm="1">
        <f t="array" ref="AM54">CorrespondanceDAte(X54:AL54,D55)</f>
        <v>0</v>
      </c>
      <c r="AN54" s="1"/>
      <c r="AO54" s="1"/>
      <c r="AP54" s="1"/>
      <c r="AQ54" s="1"/>
      <c r="AR54" s="1"/>
      <c r="AS54" s="1"/>
      <c r="AT54" s="1"/>
      <c r="AU54" s="1"/>
      <c r="AV54" s="1"/>
      <c r="AW54" s="1"/>
      <c r="AX54" s="1"/>
      <c r="AY54" s="1"/>
      <c r="AZ54" s="1"/>
      <c r="BA54" s="1"/>
    </row>
    <row r="55" spans="1:53" x14ac:dyDescent="0.3">
      <c r="A55" s="1"/>
      <c r="B55" s="11"/>
      <c r="C55" s="1"/>
      <c r="D55" s="1"/>
      <c r="E55" s="1"/>
      <c r="F55" s="1"/>
      <c r="G55" s="1"/>
      <c r="H55" s="43"/>
      <c r="I55" s="46"/>
      <c r="J55" s="1"/>
      <c r="K55" s="1"/>
      <c r="L55" s="1"/>
      <c r="M55" s="1"/>
      <c r="N55" s="1"/>
      <c r="O55" s="1"/>
      <c r="P55" s="1"/>
      <c r="Q55" s="1"/>
      <c r="R55" s="1"/>
      <c r="S55" s="1"/>
      <c r="T55" s="1"/>
      <c r="U55" s="1"/>
      <c r="V55" s="1"/>
      <c r="W55" s="11"/>
      <c r="X55" s="67"/>
      <c r="Y55" s="68" t="str" cm="1">
        <f t="array" ref="Y55">CalculerNouvelleDate(I55,X55)</f>
        <v/>
      </c>
      <c r="Z55" s="68" t="str" cm="1">
        <f t="array" ref="Z55">CalculerNouvelleDate(J55,Y55)</f>
        <v/>
      </c>
      <c r="AA55" s="68" t="str" cm="1">
        <f t="array" ref="AA55">CalculerNouvelleDate(K55,Z55)</f>
        <v/>
      </c>
      <c r="AB55" s="68" t="str" cm="1">
        <f t="array" ref="AB55">CalculerNouvelleDate(L55,AA55)</f>
        <v/>
      </c>
      <c r="AC55" s="68" t="str" cm="1">
        <f t="array" ref="AC55">CalculerNouvelleDate(M55,AB55)</f>
        <v/>
      </c>
      <c r="AD55" s="68" t="str" cm="1">
        <f t="array" ref="AD55">CalculerNouvelleDate(N55,AC55)</f>
        <v/>
      </c>
      <c r="AE55" s="68" t="str" cm="1">
        <f t="array" ref="AE55">CalculerNouvelleDate(O55,AD55)</f>
        <v/>
      </c>
      <c r="AF55" s="68" t="str" cm="1">
        <f t="array" ref="AF55">CalculerNouvelleDate(P55,AE55)</f>
        <v/>
      </c>
      <c r="AG55" s="68" t="str" cm="1">
        <f t="array" ref="AG55">CalculerNouvelleDate(Q55,AF55)</f>
        <v/>
      </c>
      <c r="AH55" s="68" t="str" cm="1">
        <f t="array" ref="AH55">CalculerNouvelleDate(R55,AG55)</f>
        <v/>
      </c>
      <c r="AI55" s="68" t="str" cm="1">
        <f t="array" ref="AI55">CalculerNouvelleDate(S55,AH55)</f>
        <v/>
      </c>
      <c r="AJ55" s="68" t="str" cm="1">
        <f t="array" ref="AJ55">CalculerNouvelleDate(T55,AI55)</f>
        <v/>
      </c>
      <c r="AK55" s="68" t="str" cm="1">
        <f t="array" ref="AK55">CalculerNouvelleDate(U55,AJ55)</f>
        <v/>
      </c>
      <c r="AL55" s="68" t="str" cm="1">
        <f t="array" ref="AL55">CalculerNouvelleDate(V55,AK55)</f>
        <v/>
      </c>
      <c r="AM55" s="83" t="str" cm="1">
        <f t="array" ref="AM55">CorrespondanceDAte(X55:AL55,D56)</f>
        <v>0</v>
      </c>
      <c r="AN55" s="1"/>
      <c r="AO55" s="1"/>
      <c r="AP55" s="1"/>
      <c r="AQ55" s="1"/>
      <c r="AR55" s="1"/>
      <c r="AS55" s="1"/>
      <c r="AT55" s="1"/>
      <c r="AU55" s="1"/>
      <c r="AV55" s="1"/>
      <c r="AW55" s="1"/>
      <c r="AX55" s="1"/>
      <c r="AY55" s="1"/>
      <c r="AZ55" s="1"/>
      <c r="BA55" s="1"/>
    </row>
    <row r="56" spans="1:53" x14ac:dyDescent="0.3">
      <c r="A56" s="20" t="s">
        <v>22</v>
      </c>
      <c r="B56" s="19"/>
      <c r="C56" s="19"/>
      <c r="D56" s="19"/>
      <c r="E56" s="19"/>
      <c r="F56" s="22"/>
      <c r="G56" s="22"/>
      <c r="H56" s="43"/>
      <c r="I56" s="46"/>
      <c r="J56" s="1"/>
      <c r="K56" s="1"/>
      <c r="L56" s="1"/>
      <c r="M56" s="1"/>
      <c r="N56" s="1"/>
      <c r="O56" s="1"/>
      <c r="P56" s="1"/>
      <c r="Q56" s="1"/>
      <c r="R56" s="1"/>
      <c r="S56" s="1"/>
      <c r="T56" s="1"/>
      <c r="U56" s="1"/>
      <c r="V56" s="1"/>
      <c r="W56" s="11"/>
      <c r="X56" s="67"/>
      <c r="Y56" s="68" t="str" cm="1">
        <f t="array" ref="Y56">CalculerNouvelleDate(I56,X56)</f>
        <v/>
      </c>
      <c r="Z56" s="68" t="str" cm="1">
        <f t="array" ref="Z56">CalculerNouvelleDate(J56,Y56)</f>
        <v/>
      </c>
      <c r="AA56" s="68" t="str" cm="1">
        <f t="array" ref="AA56">CalculerNouvelleDate(K56,Z56)</f>
        <v/>
      </c>
      <c r="AB56" s="68" t="str" cm="1">
        <f t="array" ref="AB56">CalculerNouvelleDate(L56,AA56)</f>
        <v/>
      </c>
      <c r="AC56" s="68" t="str" cm="1">
        <f t="array" ref="AC56">CalculerNouvelleDate(M56,AB56)</f>
        <v/>
      </c>
      <c r="AD56" s="68" t="str" cm="1">
        <f t="array" ref="AD56">CalculerNouvelleDate(N56,AC56)</f>
        <v/>
      </c>
      <c r="AE56" s="68" t="str" cm="1">
        <f t="array" ref="AE56">CalculerNouvelleDate(O56,AD56)</f>
        <v/>
      </c>
      <c r="AF56" s="68" t="str" cm="1">
        <f t="array" ref="AF56">CalculerNouvelleDate(P56,AE56)</f>
        <v/>
      </c>
      <c r="AG56" s="68" t="str" cm="1">
        <f t="array" ref="AG56">CalculerNouvelleDate(Q56,AF56)</f>
        <v/>
      </c>
      <c r="AH56" s="68" t="str" cm="1">
        <f t="array" ref="AH56">CalculerNouvelleDate(R56,AG56)</f>
        <v/>
      </c>
      <c r="AI56" s="68" t="str" cm="1">
        <f t="array" ref="AI56">CalculerNouvelleDate(S56,AH56)</f>
        <v/>
      </c>
      <c r="AJ56" s="68" t="str" cm="1">
        <f t="array" ref="AJ56">CalculerNouvelleDate(T56,AI56)</f>
        <v/>
      </c>
      <c r="AK56" s="68" t="str" cm="1">
        <f t="array" ref="AK56">CalculerNouvelleDate(U56,AJ56)</f>
        <v/>
      </c>
      <c r="AL56" s="68" t="str" cm="1">
        <f t="array" ref="AL56">CalculerNouvelleDate(V56,AK56)</f>
        <v/>
      </c>
      <c r="AM56" s="83" t="str" cm="1">
        <f t="array" ref="AM56">CorrespondanceDAte(X56:AL56,D57)</f>
        <v>0</v>
      </c>
      <c r="AN56" s="1"/>
      <c r="AO56" s="1"/>
      <c r="AP56" s="1"/>
      <c r="AQ56" s="1"/>
      <c r="AR56" s="1"/>
      <c r="AS56" s="1"/>
      <c r="AT56" s="1"/>
      <c r="AU56" s="1"/>
      <c r="AV56" s="1"/>
      <c r="AW56" s="1"/>
      <c r="AX56" s="1"/>
      <c r="AY56" s="1"/>
      <c r="AZ56" s="1"/>
      <c r="BA56" s="1"/>
    </row>
    <row r="57" spans="1:53" x14ac:dyDescent="0.3">
      <c r="A57" s="1"/>
      <c r="B57" s="11">
        <v>1</v>
      </c>
      <c r="C57" s="1" t="s">
        <v>24</v>
      </c>
      <c r="D57" s="1"/>
      <c r="E57" s="1"/>
      <c r="F57" s="1"/>
      <c r="G57" s="1"/>
      <c r="H57" s="43"/>
      <c r="I57" s="45"/>
      <c r="J57" s="1"/>
      <c r="K57" s="1"/>
      <c r="L57" s="1"/>
      <c r="M57" s="1"/>
      <c r="N57" s="1"/>
      <c r="O57" s="1"/>
      <c r="P57" s="1"/>
      <c r="Q57" s="1"/>
      <c r="R57" s="1"/>
      <c r="S57" s="1"/>
      <c r="T57" s="1"/>
      <c r="U57" s="1"/>
      <c r="V57" s="1"/>
      <c r="W57" s="11"/>
      <c r="X57" s="67"/>
      <c r="Y57" s="68" t="str" cm="1">
        <f t="array" ref="Y57">CalculerNouvelleDate(I57,X57)</f>
        <v/>
      </c>
      <c r="Z57" s="68" t="str" cm="1">
        <f t="array" ref="Z57">CalculerNouvelleDate(J57,Y57)</f>
        <v/>
      </c>
      <c r="AA57" s="68" t="str" cm="1">
        <f t="array" ref="AA57">CalculerNouvelleDate(K57,Z57)</f>
        <v/>
      </c>
      <c r="AB57" s="68" t="str" cm="1">
        <f t="array" ref="AB57">CalculerNouvelleDate(L57,AA57)</f>
        <v/>
      </c>
      <c r="AC57" s="68" t="str" cm="1">
        <f t="array" ref="AC57">CalculerNouvelleDate(M57,AB57)</f>
        <v/>
      </c>
      <c r="AD57" s="68" t="str" cm="1">
        <f t="array" ref="AD57">CalculerNouvelleDate(N57,AC57)</f>
        <v/>
      </c>
      <c r="AE57" s="68" t="str" cm="1">
        <f t="array" ref="AE57">CalculerNouvelleDate(O57,AD57)</f>
        <v/>
      </c>
      <c r="AF57" s="68" t="str" cm="1">
        <f t="array" ref="AF57">CalculerNouvelleDate(P57,AE57)</f>
        <v/>
      </c>
      <c r="AG57" s="68" t="str" cm="1">
        <f t="array" ref="AG57">CalculerNouvelleDate(Q57,AF57)</f>
        <v/>
      </c>
      <c r="AH57" s="68" t="str" cm="1">
        <f t="array" ref="AH57">CalculerNouvelleDate(R57,AG57)</f>
        <v/>
      </c>
      <c r="AI57" s="68" t="str" cm="1">
        <f t="array" ref="AI57">CalculerNouvelleDate(S57,AH57)</f>
        <v/>
      </c>
      <c r="AJ57" s="68" t="str" cm="1">
        <f t="array" ref="AJ57">CalculerNouvelleDate(T57,AI57)</f>
        <v/>
      </c>
      <c r="AK57" s="68" t="str" cm="1">
        <f t="array" ref="AK57">CalculerNouvelleDate(U57,AJ57)</f>
        <v/>
      </c>
      <c r="AL57" s="68" t="str" cm="1">
        <f t="array" ref="AL57">CalculerNouvelleDate(V57,AK57)</f>
        <v/>
      </c>
      <c r="AM57" s="83" t="str" cm="1">
        <f t="array" ref="AM57">CorrespondanceDAte(X57:AL57,D58)</f>
        <v>0</v>
      </c>
      <c r="AN57" s="1"/>
      <c r="AO57" s="1"/>
      <c r="AP57" s="1"/>
      <c r="AQ57" s="1"/>
      <c r="AR57" s="1"/>
      <c r="AS57" s="1"/>
      <c r="AT57" s="1"/>
      <c r="AU57" s="1"/>
      <c r="AV57" s="1"/>
      <c r="AW57" s="1"/>
      <c r="AX57" s="1"/>
      <c r="AY57" s="1"/>
      <c r="AZ57" s="1"/>
      <c r="BA57" s="1"/>
    </row>
    <row r="58" spans="1:53" x14ac:dyDescent="0.3">
      <c r="A58" s="1"/>
      <c r="B58" s="11"/>
      <c r="C58" s="69" t="s">
        <v>531</v>
      </c>
      <c r="D58" s="1" t="s">
        <v>600</v>
      </c>
      <c r="E58" s="1"/>
      <c r="F58" s="1"/>
      <c r="G58" s="1"/>
      <c r="H58" s="43"/>
      <c r="I58" s="45"/>
      <c r="J58" s="46"/>
      <c r="K58" s="46"/>
      <c r="L58" s="46"/>
      <c r="M58" s="46"/>
      <c r="N58" s="46"/>
      <c r="O58" s="46"/>
      <c r="P58" s="46"/>
      <c r="Q58" s="46"/>
      <c r="R58" s="46"/>
      <c r="S58" s="46"/>
      <c r="T58" s="46"/>
      <c r="U58" s="46"/>
      <c r="V58" s="46"/>
      <c r="W58" s="62"/>
      <c r="X58" s="67"/>
      <c r="Y58" s="68" t="str" cm="1">
        <f t="array" ref="Y58">CalculerNouvelleDate(I58,X58)</f>
        <v/>
      </c>
      <c r="Z58" s="68" t="str" cm="1">
        <f t="array" ref="Z58">CalculerNouvelleDate(J58,Y58)</f>
        <v/>
      </c>
      <c r="AA58" s="68" t="str" cm="1">
        <f t="array" ref="AA58">CalculerNouvelleDate(K58,Z58)</f>
        <v/>
      </c>
      <c r="AB58" s="68" t="str" cm="1">
        <f t="array" ref="AB58">CalculerNouvelleDate(L58,AA58)</f>
        <v/>
      </c>
      <c r="AC58" s="68" t="str" cm="1">
        <f t="array" ref="AC58">CalculerNouvelleDate(M58,AB58)</f>
        <v/>
      </c>
      <c r="AD58" s="68" t="str" cm="1">
        <f t="array" ref="AD58">CalculerNouvelleDate(N58,AC58)</f>
        <v/>
      </c>
      <c r="AE58" s="68" t="str" cm="1">
        <f t="array" ref="AE58">CalculerNouvelleDate(O58,AD58)</f>
        <v/>
      </c>
      <c r="AF58" s="68" t="str" cm="1">
        <f t="array" ref="AF58">CalculerNouvelleDate(P58,AE58)</f>
        <v/>
      </c>
      <c r="AG58" s="68" t="str" cm="1">
        <f t="array" ref="AG58">CalculerNouvelleDate(Q58,AF58)</f>
        <v/>
      </c>
      <c r="AH58" s="68" t="str" cm="1">
        <f t="array" ref="AH58">CalculerNouvelleDate(R58,AG58)</f>
        <v/>
      </c>
      <c r="AI58" s="68" t="str" cm="1">
        <f t="array" ref="AI58">CalculerNouvelleDate(S58,AH58)</f>
        <v/>
      </c>
      <c r="AJ58" s="68" t="str" cm="1">
        <f t="array" ref="AJ58">CalculerNouvelleDate(T58,AI58)</f>
        <v/>
      </c>
      <c r="AK58" s="68" t="str" cm="1">
        <f t="array" ref="AK58">CalculerNouvelleDate(U58,AJ58)</f>
        <v/>
      </c>
      <c r="AL58" s="68" t="str" cm="1">
        <f t="array" ref="AL58">CalculerNouvelleDate(V58,AK58)</f>
        <v/>
      </c>
      <c r="AM58" s="83" t="str" cm="1">
        <f t="array" ref="AM58">CorrespondanceDAte(X58:AL58,D59)</f>
        <v>0</v>
      </c>
      <c r="AN58" s="1"/>
      <c r="AO58" s="1"/>
      <c r="AP58" s="1"/>
      <c r="AQ58" s="1"/>
      <c r="AR58" s="1"/>
      <c r="AS58" s="1"/>
      <c r="AT58" s="1"/>
      <c r="AU58" s="1"/>
      <c r="AV58" s="1"/>
      <c r="AW58" s="1"/>
      <c r="AX58" s="1"/>
      <c r="AY58" s="1"/>
      <c r="AZ58" s="1"/>
      <c r="BA58" s="1"/>
    </row>
    <row r="59" spans="1:53" x14ac:dyDescent="0.3">
      <c r="A59" s="1"/>
      <c r="B59" s="11"/>
      <c r="C59" s="69" t="s">
        <v>534</v>
      </c>
      <c r="D59" s="1" t="s">
        <v>601</v>
      </c>
      <c r="E59" s="1"/>
      <c r="F59" s="1"/>
      <c r="G59" s="1"/>
      <c r="H59" s="43"/>
      <c r="I59" s="45"/>
      <c r="J59" s="46"/>
      <c r="K59" s="46"/>
      <c r="L59" s="46"/>
      <c r="M59" s="46"/>
      <c r="N59" s="46"/>
      <c r="O59" s="46"/>
      <c r="P59" s="46"/>
      <c r="Q59" s="46"/>
      <c r="R59" s="46"/>
      <c r="S59" s="46"/>
      <c r="T59" s="46"/>
      <c r="U59" s="46"/>
      <c r="V59" s="46"/>
      <c r="W59" s="62"/>
      <c r="X59" s="67"/>
      <c r="Y59" s="68" t="str" cm="1">
        <f t="array" ref="Y59">CalculerNouvelleDate(I59,X59)</f>
        <v/>
      </c>
      <c r="Z59" s="68" t="str" cm="1">
        <f t="array" ref="Z59">CalculerNouvelleDate(J59,Y59)</f>
        <v/>
      </c>
      <c r="AA59" s="68" t="str" cm="1">
        <f t="array" ref="AA59">CalculerNouvelleDate(K59,Z59)</f>
        <v/>
      </c>
      <c r="AB59" s="68" t="str" cm="1">
        <f t="array" ref="AB59">CalculerNouvelleDate(L59,AA59)</f>
        <v/>
      </c>
      <c r="AC59" s="68" t="str" cm="1">
        <f t="array" ref="AC59">CalculerNouvelleDate(M59,AB59)</f>
        <v/>
      </c>
      <c r="AD59" s="68" t="str" cm="1">
        <f t="array" ref="AD59">CalculerNouvelleDate(N59,AC59)</f>
        <v/>
      </c>
      <c r="AE59" s="68" t="str" cm="1">
        <f t="array" ref="AE59">CalculerNouvelleDate(O59,AD59)</f>
        <v/>
      </c>
      <c r="AF59" s="68" t="str" cm="1">
        <f t="array" ref="AF59">CalculerNouvelleDate(P59,AE59)</f>
        <v/>
      </c>
      <c r="AG59" s="68" t="str" cm="1">
        <f t="array" ref="AG59">CalculerNouvelleDate(Q59,AF59)</f>
        <v/>
      </c>
      <c r="AH59" s="68" t="str" cm="1">
        <f t="array" ref="AH59">CalculerNouvelleDate(R59,AG59)</f>
        <v/>
      </c>
      <c r="AI59" s="68" t="str" cm="1">
        <f t="array" ref="AI59">CalculerNouvelleDate(S59,AH59)</f>
        <v/>
      </c>
      <c r="AJ59" s="68" t="str" cm="1">
        <f t="array" ref="AJ59">CalculerNouvelleDate(T59,AI59)</f>
        <v/>
      </c>
      <c r="AK59" s="68" t="str" cm="1">
        <f t="array" ref="AK59">CalculerNouvelleDate(U59,AJ59)</f>
        <v/>
      </c>
      <c r="AL59" s="68" t="str" cm="1">
        <f t="array" ref="AL59">CalculerNouvelleDate(V59,AK59)</f>
        <v/>
      </c>
      <c r="AM59" s="83" t="str" cm="1">
        <f t="array" ref="AM59">CorrespondanceDAte(X59:AL59,D60)</f>
        <v>0</v>
      </c>
      <c r="AN59" s="1"/>
      <c r="AO59" s="1"/>
      <c r="AP59" s="1"/>
      <c r="AQ59" s="1"/>
      <c r="AR59" s="1"/>
      <c r="AS59" s="1"/>
      <c r="AT59" s="1"/>
      <c r="AU59" s="1"/>
      <c r="AV59" s="1"/>
      <c r="AW59" s="1"/>
      <c r="AX59" s="1"/>
      <c r="AY59" s="1"/>
      <c r="AZ59" s="1"/>
      <c r="BA59" s="1"/>
    </row>
    <row r="60" spans="1:53" x14ac:dyDescent="0.3">
      <c r="A60" s="1"/>
      <c r="B60" s="11"/>
      <c r="C60" s="69" t="s">
        <v>538</v>
      </c>
      <c r="D60" s="1" t="s">
        <v>602</v>
      </c>
      <c r="E60" s="1"/>
      <c r="F60" s="1"/>
      <c r="G60" s="1"/>
      <c r="H60" s="43"/>
      <c r="I60" s="45"/>
      <c r="J60" s="46"/>
      <c r="K60" s="46"/>
      <c r="L60" s="46"/>
      <c r="M60" s="46"/>
      <c r="N60" s="46"/>
      <c r="O60" s="46"/>
      <c r="P60" s="46"/>
      <c r="Q60" s="46"/>
      <c r="R60" s="46"/>
      <c r="S60" s="46"/>
      <c r="T60" s="46"/>
      <c r="U60" s="46"/>
      <c r="V60" s="46"/>
      <c r="W60" s="62"/>
      <c r="X60" s="67"/>
      <c r="Y60" s="68" t="str" cm="1">
        <f t="array" ref="Y60">CalculerNouvelleDate(I60,X60)</f>
        <v/>
      </c>
      <c r="Z60" s="68" t="str" cm="1">
        <f t="array" ref="Z60">CalculerNouvelleDate(J60,Y60)</f>
        <v/>
      </c>
      <c r="AA60" s="68" t="str" cm="1">
        <f t="array" ref="AA60">CalculerNouvelleDate(K60,Z60)</f>
        <v/>
      </c>
      <c r="AB60" s="68" t="str" cm="1">
        <f t="array" ref="AB60">CalculerNouvelleDate(L60,AA60)</f>
        <v/>
      </c>
      <c r="AC60" s="68" t="str" cm="1">
        <f t="array" ref="AC60">CalculerNouvelleDate(M60,AB60)</f>
        <v/>
      </c>
      <c r="AD60" s="68" t="str" cm="1">
        <f t="array" ref="AD60">CalculerNouvelleDate(N60,AC60)</f>
        <v/>
      </c>
      <c r="AE60" s="68" t="str" cm="1">
        <f t="array" ref="AE60">CalculerNouvelleDate(O60,AD60)</f>
        <v/>
      </c>
      <c r="AF60" s="68" t="str" cm="1">
        <f t="array" ref="AF60">CalculerNouvelleDate(P60,AE60)</f>
        <v/>
      </c>
      <c r="AG60" s="68" t="str" cm="1">
        <f t="array" ref="AG60">CalculerNouvelleDate(Q60,AF60)</f>
        <v/>
      </c>
      <c r="AH60" s="68" t="str" cm="1">
        <f t="array" ref="AH60">CalculerNouvelleDate(R60,AG60)</f>
        <v/>
      </c>
      <c r="AI60" s="68" t="str" cm="1">
        <f t="array" ref="AI60">CalculerNouvelleDate(S60,AH60)</f>
        <v/>
      </c>
      <c r="AJ60" s="68" t="str" cm="1">
        <f t="array" ref="AJ60">CalculerNouvelleDate(T60,AI60)</f>
        <v/>
      </c>
      <c r="AK60" s="68" t="str" cm="1">
        <f t="array" ref="AK60">CalculerNouvelleDate(U60,AJ60)</f>
        <v/>
      </c>
      <c r="AL60" s="68" t="str" cm="1">
        <f t="array" ref="AL60">CalculerNouvelleDate(V60,AK60)</f>
        <v/>
      </c>
      <c r="AM60" s="83" t="str" cm="1">
        <f t="array" ref="AM60">CorrespondanceDAte(X60:AL60,D61)</f>
        <v>0</v>
      </c>
      <c r="AN60" s="1"/>
      <c r="AO60" s="1"/>
      <c r="AP60" s="1"/>
      <c r="AQ60" s="1"/>
      <c r="AR60" s="1"/>
      <c r="AS60" s="1"/>
      <c r="AT60" s="1"/>
      <c r="AU60" s="1"/>
      <c r="AV60" s="1"/>
      <c r="AW60" s="1"/>
      <c r="AX60" s="1"/>
      <c r="AY60" s="1"/>
      <c r="AZ60" s="1"/>
      <c r="BA60" s="1"/>
    </row>
    <row r="61" spans="1:53" x14ac:dyDescent="0.3">
      <c r="A61" s="1"/>
      <c r="B61" s="11"/>
      <c r="C61" s="69" t="s">
        <v>539</v>
      </c>
      <c r="D61" s="1" t="s">
        <v>603</v>
      </c>
      <c r="E61" s="1"/>
      <c r="F61" s="1"/>
      <c r="G61" s="1"/>
      <c r="H61" s="43"/>
      <c r="I61" s="45"/>
      <c r="J61" s="46"/>
      <c r="K61" s="46"/>
      <c r="L61" s="46"/>
      <c r="M61" s="46"/>
      <c r="N61" s="46"/>
      <c r="O61" s="46"/>
      <c r="P61" s="46"/>
      <c r="Q61" s="46"/>
      <c r="R61" s="46"/>
      <c r="S61" s="46"/>
      <c r="T61" s="46"/>
      <c r="U61" s="46"/>
      <c r="V61" s="46"/>
      <c r="W61" s="62"/>
      <c r="X61" s="67"/>
      <c r="Y61" s="68" t="str" cm="1">
        <f t="array" ref="Y61">CalculerNouvelleDate(I61,X61)</f>
        <v/>
      </c>
      <c r="Z61" s="68" t="str" cm="1">
        <f t="array" ref="Z61">CalculerNouvelleDate(J61,Y61)</f>
        <v/>
      </c>
      <c r="AA61" s="68" t="str" cm="1">
        <f t="array" ref="AA61">CalculerNouvelleDate(K61,Z61)</f>
        <v/>
      </c>
      <c r="AB61" s="68" t="str" cm="1">
        <f t="array" ref="AB61">CalculerNouvelleDate(L61,AA61)</f>
        <v/>
      </c>
      <c r="AC61" s="68" t="str" cm="1">
        <f t="array" ref="AC61">CalculerNouvelleDate(M61,AB61)</f>
        <v/>
      </c>
      <c r="AD61" s="68" t="str" cm="1">
        <f t="array" ref="AD61">CalculerNouvelleDate(N61,AC61)</f>
        <v/>
      </c>
      <c r="AE61" s="68" t="str" cm="1">
        <f t="array" ref="AE61">CalculerNouvelleDate(O61,AD61)</f>
        <v/>
      </c>
      <c r="AF61" s="68" t="str" cm="1">
        <f t="array" ref="AF61">CalculerNouvelleDate(P61,AE61)</f>
        <v/>
      </c>
      <c r="AG61" s="68" t="str" cm="1">
        <f t="array" ref="AG61">CalculerNouvelleDate(Q61,AF61)</f>
        <v/>
      </c>
      <c r="AH61" s="68" t="str" cm="1">
        <f t="array" ref="AH61">CalculerNouvelleDate(R61,AG61)</f>
        <v/>
      </c>
      <c r="AI61" s="68" t="str" cm="1">
        <f t="array" ref="AI61">CalculerNouvelleDate(S61,AH61)</f>
        <v/>
      </c>
      <c r="AJ61" s="68" t="str" cm="1">
        <f t="array" ref="AJ61">CalculerNouvelleDate(T61,AI61)</f>
        <v/>
      </c>
      <c r="AK61" s="68" t="str" cm="1">
        <f t="array" ref="AK61">CalculerNouvelleDate(U61,AJ61)</f>
        <v/>
      </c>
      <c r="AL61" s="68" t="str" cm="1">
        <f t="array" ref="AL61">CalculerNouvelleDate(V61,AK61)</f>
        <v/>
      </c>
      <c r="AM61" s="83" t="str" cm="1">
        <f t="array" ref="AM61">CorrespondanceDAte(X61:AL61,D62)</f>
        <v>0</v>
      </c>
      <c r="AN61" s="1"/>
      <c r="AO61" s="1"/>
      <c r="AP61" s="1"/>
      <c r="AQ61" s="1"/>
      <c r="AR61" s="1"/>
      <c r="AS61" s="1"/>
      <c r="AT61" s="1"/>
      <c r="AU61" s="1"/>
      <c r="AV61" s="1"/>
      <c r="AW61" s="1"/>
      <c r="AX61" s="1"/>
      <c r="AY61" s="1"/>
      <c r="AZ61" s="1"/>
      <c r="BA61" s="1"/>
    </row>
    <row r="62" spans="1:53" x14ac:dyDescent="0.3">
      <c r="A62" s="1"/>
      <c r="B62" s="11"/>
      <c r="C62" s="69" t="s">
        <v>540</v>
      </c>
      <c r="D62" s="1" t="s">
        <v>604</v>
      </c>
      <c r="E62" s="1"/>
      <c r="F62" s="1"/>
      <c r="G62" s="1"/>
      <c r="H62" s="43"/>
      <c r="I62" s="45"/>
      <c r="J62" s="46"/>
      <c r="K62" s="46"/>
      <c r="L62" s="46"/>
      <c r="M62" s="46"/>
      <c r="N62" s="46"/>
      <c r="O62" s="46"/>
      <c r="P62" s="46"/>
      <c r="Q62" s="46"/>
      <c r="R62" s="46"/>
      <c r="S62" s="46"/>
      <c r="T62" s="46"/>
      <c r="U62" s="46"/>
      <c r="V62" s="46"/>
      <c r="W62" s="62"/>
      <c r="X62" s="67"/>
      <c r="Y62" s="68" t="str" cm="1">
        <f t="array" ref="Y62">CalculerNouvelleDate(I62,X62)</f>
        <v/>
      </c>
      <c r="Z62" s="68" t="str" cm="1">
        <f t="array" ref="Z62">CalculerNouvelleDate(J62,Y62)</f>
        <v/>
      </c>
      <c r="AA62" s="68" t="str" cm="1">
        <f t="array" ref="AA62">CalculerNouvelleDate(K62,Z62)</f>
        <v/>
      </c>
      <c r="AB62" s="68" t="str" cm="1">
        <f t="array" ref="AB62">CalculerNouvelleDate(L62,AA62)</f>
        <v/>
      </c>
      <c r="AC62" s="68" t="str" cm="1">
        <f t="array" ref="AC62">CalculerNouvelleDate(M62,AB62)</f>
        <v/>
      </c>
      <c r="AD62" s="68" t="str" cm="1">
        <f t="array" ref="AD62">CalculerNouvelleDate(N62,AC62)</f>
        <v/>
      </c>
      <c r="AE62" s="68" t="str" cm="1">
        <f t="array" ref="AE62">CalculerNouvelleDate(O62,AD62)</f>
        <v/>
      </c>
      <c r="AF62" s="68" t="str" cm="1">
        <f t="array" ref="AF62">CalculerNouvelleDate(P62,AE62)</f>
        <v/>
      </c>
      <c r="AG62" s="68" t="str" cm="1">
        <f t="array" ref="AG62">CalculerNouvelleDate(Q62,AF62)</f>
        <v/>
      </c>
      <c r="AH62" s="68" t="str" cm="1">
        <f t="array" ref="AH62">CalculerNouvelleDate(R62,AG62)</f>
        <v/>
      </c>
      <c r="AI62" s="68" t="str" cm="1">
        <f t="array" ref="AI62">CalculerNouvelleDate(S62,AH62)</f>
        <v/>
      </c>
      <c r="AJ62" s="68" t="str" cm="1">
        <f t="array" ref="AJ62">CalculerNouvelleDate(T62,AI62)</f>
        <v/>
      </c>
      <c r="AK62" s="68" t="str" cm="1">
        <f t="array" ref="AK62">CalculerNouvelleDate(U62,AJ62)</f>
        <v/>
      </c>
      <c r="AL62" s="68" t="str" cm="1">
        <f t="array" ref="AL62">CalculerNouvelleDate(V62,AK62)</f>
        <v/>
      </c>
      <c r="AM62" s="83" t="str" cm="1">
        <f t="array" ref="AM62">CorrespondanceDAte(X62:AL62,D63)</f>
        <v>0</v>
      </c>
      <c r="AN62" s="1"/>
      <c r="AO62" s="1"/>
      <c r="AP62" s="1"/>
      <c r="AQ62" s="1"/>
      <c r="AR62" s="1"/>
      <c r="AS62" s="1"/>
      <c r="AT62" s="1"/>
      <c r="AU62" s="1"/>
      <c r="AV62" s="1"/>
      <c r="AW62" s="1"/>
      <c r="AX62" s="1"/>
      <c r="AY62" s="1"/>
      <c r="AZ62" s="1"/>
      <c r="BA62" s="1"/>
    </row>
    <row r="63" spans="1:53" x14ac:dyDescent="0.3">
      <c r="A63" s="1"/>
      <c r="B63" s="11">
        <v>2</v>
      </c>
      <c r="C63" s="1" t="s">
        <v>25</v>
      </c>
      <c r="D63" s="1"/>
      <c r="E63" s="1"/>
      <c r="F63" s="1"/>
      <c r="G63" s="1"/>
      <c r="H63" s="43"/>
      <c r="I63" s="45"/>
      <c r="J63" s="1"/>
      <c r="K63" s="1"/>
      <c r="L63" s="1"/>
      <c r="M63" s="1"/>
      <c r="N63" s="1"/>
      <c r="O63" s="1"/>
      <c r="P63" s="1"/>
      <c r="Q63" s="1"/>
      <c r="R63" s="1"/>
      <c r="S63" s="1"/>
      <c r="T63" s="1"/>
      <c r="U63" s="1"/>
      <c r="V63" s="1"/>
      <c r="W63" s="11"/>
      <c r="X63" s="67"/>
      <c r="Y63" s="68" t="str" cm="1">
        <f t="array" ref="Y63">CalculerNouvelleDate(I63,X63)</f>
        <v/>
      </c>
      <c r="Z63" s="68" t="str" cm="1">
        <f t="array" ref="Z63">CalculerNouvelleDate(J63,Y63)</f>
        <v/>
      </c>
      <c r="AA63" s="68" t="str" cm="1">
        <f t="array" ref="AA63">CalculerNouvelleDate(K63,Z63)</f>
        <v/>
      </c>
      <c r="AB63" s="68" t="str" cm="1">
        <f t="array" ref="AB63">CalculerNouvelleDate(L63,AA63)</f>
        <v/>
      </c>
      <c r="AC63" s="68" t="str" cm="1">
        <f t="array" ref="AC63">CalculerNouvelleDate(M63,AB63)</f>
        <v/>
      </c>
      <c r="AD63" s="68" t="str" cm="1">
        <f t="array" ref="AD63">CalculerNouvelleDate(N63,AC63)</f>
        <v/>
      </c>
      <c r="AE63" s="68" t="str" cm="1">
        <f t="array" ref="AE63">CalculerNouvelleDate(O63,AD63)</f>
        <v/>
      </c>
      <c r="AF63" s="68" t="str" cm="1">
        <f t="array" ref="AF63">CalculerNouvelleDate(P63,AE63)</f>
        <v/>
      </c>
      <c r="AG63" s="68" t="str" cm="1">
        <f t="array" ref="AG63">CalculerNouvelleDate(Q63,AF63)</f>
        <v/>
      </c>
      <c r="AH63" s="68" t="str" cm="1">
        <f t="array" ref="AH63">CalculerNouvelleDate(R63,AG63)</f>
        <v/>
      </c>
      <c r="AI63" s="68" t="str" cm="1">
        <f t="array" ref="AI63">CalculerNouvelleDate(S63,AH63)</f>
        <v/>
      </c>
      <c r="AJ63" s="68" t="str" cm="1">
        <f t="array" ref="AJ63">CalculerNouvelleDate(T63,AI63)</f>
        <v/>
      </c>
      <c r="AK63" s="68" t="str" cm="1">
        <f t="array" ref="AK63">CalculerNouvelleDate(U63,AJ63)</f>
        <v/>
      </c>
      <c r="AL63" s="68" t="str" cm="1">
        <f t="array" ref="AL63">CalculerNouvelleDate(V63,AK63)</f>
        <v/>
      </c>
      <c r="AM63" s="83" t="str" cm="1">
        <f t="array" ref="AM63">CorrespondanceDAte(X63:AL63,D64)</f>
        <v>0</v>
      </c>
      <c r="AN63" s="1"/>
      <c r="AO63" s="1"/>
      <c r="AP63" s="1"/>
      <c r="AQ63" s="1"/>
      <c r="AR63" s="1"/>
      <c r="AS63" s="1"/>
      <c r="AT63" s="1"/>
      <c r="AU63" s="1"/>
      <c r="AV63" s="1"/>
      <c r="AW63" s="1"/>
      <c r="AX63" s="1"/>
      <c r="AY63" s="1"/>
      <c r="AZ63" s="1"/>
      <c r="BA63" s="1"/>
    </row>
    <row r="64" spans="1:53" x14ac:dyDescent="0.3">
      <c r="A64" s="1"/>
      <c r="B64" s="11"/>
      <c r="C64" s="69" t="s">
        <v>533</v>
      </c>
      <c r="D64" s="1" t="s">
        <v>605</v>
      </c>
      <c r="E64" s="1"/>
      <c r="F64" s="1"/>
      <c r="G64" s="1"/>
      <c r="H64" s="43"/>
      <c r="I64" s="45"/>
      <c r="J64" s="46"/>
      <c r="K64" s="46"/>
      <c r="L64" s="46"/>
      <c r="M64" s="46"/>
      <c r="N64" s="46"/>
      <c r="O64" s="46"/>
      <c r="P64" s="46"/>
      <c r="Q64" s="46"/>
      <c r="R64" s="46"/>
      <c r="S64" s="46"/>
      <c r="T64" s="46"/>
      <c r="U64" s="46"/>
      <c r="V64" s="46"/>
      <c r="W64" s="62"/>
      <c r="X64" s="67"/>
      <c r="Y64" s="68" t="str" cm="1">
        <f t="array" ref="Y64">CalculerNouvelleDate(I64,X64)</f>
        <v/>
      </c>
      <c r="Z64" s="68" t="str" cm="1">
        <f t="array" ref="Z64">CalculerNouvelleDate(J64,Y64)</f>
        <v/>
      </c>
      <c r="AA64" s="68" t="str" cm="1">
        <f t="array" ref="AA64">CalculerNouvelleDate(K64,Z64)</f>
        <v/>
      </c>
      <c r="AB64" s="68" t="str" cm="1">
        <f t="array" ref="AB64">CalculerNouvelleDate(L64,AA64)</f>
        <v/>
      </c>
      <c r="AC64" s="68" t="str" cm="1">
        <f t="array" ref="AC64">CalculerNouvelleDate(M64,AB64)</f>
        <v/>
      </c>
      <c r="AD64" s="68" t="str" cm="1">
        <f t="array" ref="AD64">CalculerNouvelleDate(N64,AC64)</f>
        <v/>
      </c>
      <c r="AE64" s="68" t="str" cm="1">
        <f t="array" ref="AE64">CalculerNouvelleDate(O64,AD64)</f>
        <v/>
      </c>
      <c r="AF64" s="68" t="str" cm="1">
        <f t="array" ref="AF64">CalculerNouvelleDate(P64,AE64)</f>
        <v/>
      </c>
      <c r="AG64" s="68" t="str" cm="1">
        <f t="array" ref="AG64">CalculerNouvelleDate(Q64,AF64)</f>
        <v/>
      </c>
      <c r="AH64" s="68" t="str" cm="1">
        <f t="array" ref="AH64">CalculerNouvelleDate(R64,AG64)</f>
        <v/>
      </c>
      <c r="AI64" s="68" t="str" cm="1">
        <f t="array" ref="AI64">CalculerNouvelleDate(S64,AH64)</f>
        <v/>
      </c>
      <c r="AJ64" s="68" t="str" cm="1">
        <f t="array" ref="AJ64">CalculerNouvelleDate(T64,AI64)</f>
        <v/>
      </c>
      <c r="AK64" s="68" t="str" cm="1">
        <f t="array" ref="AK64">CalculerNouvelleDate(U64,AJ64)</f>
        <v/>
      </c>
      <c r="AL64" s="68" t="str" cm="1">
        <f t="array" ref="AL64">CalculerNouvelleDate(V64,AK64)</f>
        <v/>
      </c>
      <c r="AM64" s="83" t="str" cm="1">
        <f t="array" ref="AM64">CorrespondanceDAte(X64:AL64,D65)</f>
        <v>0</v>
      </c>
      <c r="AN64" s="1"/>
      <c r="AO64" s="1"/>
      <c r="AP64" s="1"/>
      <c r="AQ64" s="1"/>
      <c r="AR64" s="1"/>
      <c r="AS64" s="1"/>
      <c r="AT64" s="1"/>
      <c r="AU64" s="1"/>
      <c r="AV64" s="1"/>
      <c r="AW64" s="1"/>
      <c r="AX64" s="1"/>
      <c r="AY64" s="1"/>
      <c r="AZ64" s="1"/>
      <c r="BA64" s="1"/>
    </row>
    <row r="65" spans="1:53" x14ac:dyDescent="0.3">
      <c r="A65" s="1"/>
      <c r="B65" s="11"/>
      <c r="C65" s="69" t="s">
        <v>535</v>
      </c>
      <c r="D65" s="1" t="s">
        <v>606</v>
      </c>
      <c r="E65" s="1"/>
      <c r="F65" s="1"/>
      <c r="G65" s="1"/>
      <c r="H65" s="43"/>
      <c r="I65" s="45"/>
      <c r="J65" s="46"/>
      <c r="K65" s="46"/>
      <c r="L65" s="46"/>
      <c r="M65" s="46"/>
      <c r="N65" s="46"/>
      <c r="O65" s="46"/>
      <c r="P65" s="46"/>
      <c r="Q65" s="46"/>
      <c r="R65" s="46"/>
      <c r="S65" s="46"/>
      <c r="T65" s="46"/>
      <c r="U65" s="46"/>
      <c r="V65" s="46"/>
      <c r="W65" s="62"/>
      <c r="X65" s="67"/>
      <c r="Y65" s="68" t="str" cm="1">
        <f t="array" ref="Y65">CalculerNouvelleDate(I65,X65)</f>
        <v/>
      </c>
      <c r="Z65" s="68" t="str" cm="1">
        <f t="array" ref="Z65">CalculerNouvelleDate(J65,Y65)</f>
        <v/>
      </c>
      <c r="AA65" s="68" t="str" cm="1">
        <f t="array" ref="AA65">CalculerNouvelleDate(K65,Z65)</f>
        <v/>
      </c>
      <c r="AB65" s="68" t="str" cm="1">
        <f t="array" ref="AB65">CalculerNouvelleDate(L65,AA65)</f>
        <v/>
      </c>
      <c r="AC65" s="68" t="str" cm="1">
        <f t="array" ref="AC65">CalculerNouvelleDate(M65,AB65)</f>
        <v/>
      </c>
      <c r="AD65" s="68" t="str" cm="1">
        <f t="array" ref="AD65">CalculerNouvelleDate(N65,AC65)</f>
        <v/>
      </c>
      <c r="AE65" s="68" t="str" cm="1">
        <f t="array" ref="AE65">CalculerNouvelleDate(O65,AD65)</f>
        <v/>
      </c>
      <c r="AF65" s="68" t="str" cm="1">
        <f t="array" ref="AF65">CalculerNouvelleDate(P65,AE65)</f>
        <v/>
      </c>
      <c r="AG65" s="68" t="str" cm="1">
        <f t="array" ref="AG65">CalculerNouvelleDate(Q65,AF65)</f>
        <v/>
      </c>
      <c r="AH65" s="68" t="str" cm="1">
        <f t="array" ref="AH65">CalculerNouvelleDate(R65,AG65)</f>
        <v/>
      </c>
      <c r="AI65" s="68" t="str" cm="1">
        <f t="array" ref="AI65">CalculerNouvelleDate(S65,AH65)</f>
        <v/>
      </c>
      <c r="AJ65" s="68" t="str" cm="1">
        <f t="array" ref="AJ65">CalculerNouvelleDate(T65,AI65)</f>
        <v/>
      </c>
      <c r="AK65" s="68" t="str" cm="1">
        <f t="array" ref="AK65">CalculerNouvelleDate(U65,AJ65)</f>
        <v/>
      </c>
      <c r="AL65" s="68" t="str" cm="1">
        <f t="array" ref="AL65">CalculerNouvelleDate(V65,AK65)</f>
        <v/>
      </c>
      <c r="AM65" s="83" t="str" cm="1">
        <f t="array" ref="AM65">CorrespondanceDAte(X65:AL65,D66)</f>
        <v>0</v>
      </c>
      <c r="AN65" s="1"/>
      <c r="AO65" s="1"/>
      <c r="AP65" s="1"/>
      <c r="AQ65" s="1"/>
      <c r="AR65" s="1"/>
      <c r="AS65" s="1"/>
      <c r="AT65" s="1"/>
      <c r="AU65" s="1"/>
      <c r="AV65" s="1"/>
      <c r="AW65" s="1"/>
      <c r="AX65" s="1"/>
      <c r="AY65" s="1"/>
      <c r="AZ65" s="1"/>
      <c r="BA65" s="1"/>
    </row>
    <row r="66" spans="1:53" x14ac:dyDescent="0.3">
      <c r="A66" s="1"/>
      <c r="B66" s="11"/>
      <c r="C66" s="69" t="s">
        <v>545</v>
      </c>
      <c r="D66" s="1" t="s">
        <v>607</v>
      </c>
      <c r="E66" s="1"/>
      <c r="F66" s="1"/>
      <c r="G66" s="1"/>
      <c r="H66" s="43"/>
      <c r="I66" s="45"/>
      <c r="J66" s="46"/>
      <c r="K66" s="46"/>
      <c r="L66" s="46"/>
      <c r="M66" s="46"/>
      <c r="N66" s="46"/>
      <c r="O66" s="46"/>
      <c r="P66" s="46"/>
      <c r="Q66" s="46"/>
      <c r="R66" s="46"/>
      <c r="S66" s="46"/>
      <c r="T66" s="46"/>
      <c r="U66" s="46"/>
      <c r="V66" s="46"/>
      <c r="W66" s="62"/>
      <c r="X66" s="67"/>
      <c r="Y66" s="68" t="str" cm="1">
        <f t="array" ref="Y66">CalculerNouvelleDate(I66,X66)</f>
        <v/>
      </c>
      <c r="Z66" s="68" t="str" cm="1">
        <f t="array" ref="Z66">CalculerNouvelleDate(J66,Y66)</f>
        <v/>
      </c>
      <c r="AA66" s="68" t="str" cm="1">
        <f t="array" ref="AA66">CalculerNouvelleDate(K66,Z66)</f>
        <v/>
      </c>
      <c r="AB66" s="68" t="str" cm="1">
        <f t="array" ref="AB66">CalculerNouvelleDate(L66,AA66)</f>
        <v/>
      </c>
      <c r="AC66" s="68" t="str" cm="1">
        <f t="array" ref="AC66">CalculerNouvelleDate(M66,AB66)</f>
        <v/>
      </c>
      <c r="AD66" s="68" t="str" cm="1">
        <f t="array" ref="AD66">CalculerNouvelleDate(N66,AC66)</f>
        <v/>
      </c>
      <c r="AE66" s="68" t="str" cm="1">
        <f t="array" ref="AE66">CalculerNouvelleDate(O66,AD66)</f>
        <v/>
      </c>
      <c r="AF66" s="68" t="str" cm="1">
        <f t="array" ref="AF66">CalculerNouvelleDate(P66,AE66)</f>
        <v/>
      </c>
      <c r="AG66" s="68" t="str" cm="1">
        <f t="array" ref="AG66">CalculerNouvelleDate(Q66,AF66)</f>
        <v/>
      </c>
      <c r="AH66" s="68" t="str" cm="1">
        <f t="array" ref="AH66">CalculerNouvelleDate(R66,AG66)</f>
        <v/>
      </c>
      <c r="AI66" s="68" t="str" cm="1">
        <f t="array" ref="AI66">CalculerNouvelleDate(S66,AH66)</f>
        <v/>
      </c>
      <c r="AJ66" s="68" t="str" cm="1">
        <f t="array" ref="AJ66">CalculerNouvelleDate(T66,AI66)</f>
        <v/>
      </c>
      <c r="AK66" s="68" t="str" cm="1">
        <f t="array" ref="AK66">CalculerNouvelleDate(U66,AJ66)</f>
        <v/>
      </c>
      <c r="AL66" s="68" t="str" cm="1">
        <f t="array" ref="AL66">CalculerNouvelleDate(V66,AK66)</f>
        <v/>
      </c>
      <c r="AM66" s="83" t="str" cm="1">
        <f t="array" ref="AM66">CorrespondanceDAte(X66:AL66,D67)</f>
        <v>0</v>
      </c>
      <c r="AN66" s="1"/>
      <c r="AO66" s="1"/>
      <c r="AP66" s="1"/>
      <c r="AQ66" s="1"/>
      <c r="AR66" s="1"/>
      <c r="AS66" s="1"/>
      <c r="AT66" s="1"/>
      <c r="AU66" s="1"/>
      <c r="AV66" s="1"/>
      <c r="AW66" s="1"/>
      <c r="AX66" s="1"/>
      <c r="AY66" s="1"/>
      <c r="AZ66" s="1"/>
      <c r="BA66" s="1"/>
    </row>
    <row r="67" spans="1:53" x14ac:dyDescent="0.3">
      <c r="A67" s="1"/>
      <c r="B67" s="11">
        <v>3</v>
      </c>
      <c r="C67" s="1" t="s">
        <v>26</v>
      </c>
      <c r="D67" s="1"/>
      <c r="E67" s="1"/>
      <c r="F67" s="1"/>
      <c r="G67" s="1"/>
      <c r="H67" s="43"/>
      <c r="I67" s="45"/>
      <c r="J67" s="1"/>
      <c r="K67" s="1"/>
      <c r="L67" s="1"/>
      <c r="M67" s="1"/>
      <c r="N67" s="1"/>
      <c r="O67" s="1"/>
      <c r="P67" s="1"/>
      <c r="Q67" s="1"/>
      <c r="R67" s="1"/>
      <c r="S67" s="1"/>
      <c r="T67" s="1"/>
      <c r="U67" s="1"/>
      <c r="V67" s="1"/>
      <c r="W67" s="11"/>
      <c r="X67" s="67"/>
      <c r="Y67" s="68" t="str" cm="1">
        <f t="array" ref="Y67">CalculerNouvelleDate(I67,X67)</f>
        <v/>
      </c>
      <c r="Z67" s="68" t="str" cm="1">
        <f t="array" ref="Z67">CalculerNouvelleDate(J67,Y67)</f>
        <v/>
      </c>
      <c r="AA67" s="68" t="str" cm="1">
        <f t="array" ref="AA67">CalculerNouvelleDate(K67,Z67)</f>
        <v/>
      </c>
      <c r="AB67" s="68" t="str" cm="1">
        <f t="array" ref="AB67">CalculerNouvelleDate(L67,AA67)</f>
        <v/>
      </c>
      <c r="AC67" s="68" t="str" cm="1">
        <f t="array" ref="AC67">CalculerNouvelleDate(M67,AB67)</f>
        <v/>
      </c>
      <c r="AD67" s="68" t="str" cm="1">
        <f t="array" ref="AD67">CalculerNouvelleDate(N67,AC67)</f>
        <v/>
      </c>
      <c r="AE67" s="68" t="str" cm="1">
        <f t="array" ref="AE67">CalculerNouvelleDate(O67,AD67)</f>
        <v/>
      </c>
      <c r="AF67" s="68" t="str" cm="1">
        <f t="array" ref="AF67">CalculerNouvelleDate(P67,AE67)</f>
        <v/>
      </c>
      <c r="AG67" s="68" t="str" cm="1">
        <f t="array" ref="AG67">CalculerNouvelleDate(Q67,AF67)</f>
        <v/>
      </c>
      <c r="AH67" s="68" t="str" cm="1">
        <f t="array" ref="AH67">CalculerNouvelleDate(R67,AG67)</f>
        <v/>
      </c>
      <c r="AI67" s="68" t="str" cm="1">
        <f t="array" ref="AI67">CalculerNouvelleDate(S67,AH67)</f>
        <v/>
      </c>
      <c r="AJ67" s="68" t="str" cm="1">
        <f t="array" ref="AJ67">CalculerNouvelleDate(T67,AI67)</f>
        <v/>
      </c>
      <c r="AK67" s="68" t="str" cm="1">
        <f t="array" ref="AK67">CalculerNouvelleDate(U67,AJ67)</f>
        <v/>
      </c>
      <c r="AL67" s="68" t="str" cm="1">
        <f t="array" ref="AL67">CalculerNouvelleDate(V67,AK67)</f>
        <v/>
      </c>
      <c r="AM67" s="83" t="str" cm="1">
        <f t="array" ref="AM67">CorrespondanceDAte(X67:AL67,D68)</f>
        <v>0</v>
      </c>
      <c r="AN67" s="1"/>
      <c r="AO67" s="1"/>
      <c r="AP67" s="1"/>
      <c r="AQ67" s="1"/>
      <c r="AR67" s="1"/>
      <c r="AS67" s="1"/>
      <c r="AT67" s="1"/>
      <c r="AU67" s="1"/>
      <c r="AV67" s="1"/>
      <c r="AW67" s="1"/>
      <c r="AX67" s="1"/>
      <c r="AY67" s="1"/>
      <c r="AZ67" s="1"/>
      <c r="BA67" s="1"/>
    </row>
    <row r="68" spans="1:53" x14ac:dyDescent="0.3">
      <c r="A68" s="1"/>
      <c r="B68" s="11"/>
      <c r="C68" s="69" t="s">
        <v>549</v>
      </c>
      <c r="D68" s="1" t="s">
        <v>609</v>
      </c>
      <c r="E68" s="1"/>
      <c r="F68" s="1"/>
      <c r="G68" s="1"/>
      <c r="H68" s="43"/>
      <c r="I68" s="45"/>
      <c r="J68" s="46"/>
      <c r="K68" s="46"/>
      <c r="L68" s="46"/>
      <c r="M68" s="46"/>
      <c r="N68" s="46"/>
      <c r="O68" s="46"/>
      <c r="P68" s="46"/>
      <c r="Q68" s="46"/>
      <c r="R68" s="46"/>
      <c r="S68" s="46"/>
      <c r="T68" s="46"/>
      <c r="U68" s="46"/>
      <c r="V68" s="46"/>
      <c r="W68" s="62"/>
      <c r="X68" s="67"/>
      <c r="Y68" s="68" t="str" cm="1">
        <f t="array" ref="Y68">CalculerNouvelleDate(I68,X68)</f>
        <v/>
      </c>
      <c r="Z68" s="68" t="str" cm="1">
        <f t="array" ref="Z68">CalculerNouvelleDate(J68,Y68)</f>
        <v/>
      </c>
      <c r="AA68" s="68" t="str" cm="1">
        <f t="array" ref="AA68">CalculerNouvelleDate(K68,Z68)</f>
        <v/>
      </c>
      <c r="AB68" s="68" t="str" cm="1">
        <f t="array" ref="AB68">CalculerNouvelleDate(L68,AA68)</f>
        <v/>
      </c>
      <c r="AC68" s="68" t="str" cm="1">
        <f t="array" ref="AC68">CalculerNouvelleDate(M68,AB68)</f>
        <v/>
      </c>
      <c r="AD68" s="68" t="str" cm="1">
        <f t="array" ref="AD68">CalculerNouvelleDate(N68,AC68)</f>
        <v/>
      </c>
      <c r="AE68" s="68" t="str" cm="1">
        <f t="array" ref="AE68">CalculerNouvelleDate(O68,AD68)</f>
        <v/>
      </c>
      <c r="AF68" s="68" t="str" cm="1">
        <f t="array" ref="AF68">CalculerNouvelleDate(P68,AE68)</f>
        <v/>
      </c>
      <c r="AG68" s="68" t="str" cm="1">
        <f t="array" ref="AG68">CalculerNouvelleDate(Q68,AF68)</f>
        <v/>
      </c>
      <c r="AH68" s="68" t="str" cm="1">
        <f t="array" ref="AH68">CalculerNouvelleDate(R68,AG68)</f>
        <v/>
      </c>
      <c r="AI68" s="68" t="str" cm="1">
        <f t="array" ref="AI68">CalculerNouvelleDate(S68,AH68)</f>
        <v/>
      </c>
      <c r="AJ68" s="68" t="str" cm="1">
        <f t="array" ref="AJ68">CalculerNouvelleDate(T68,AI68)</f>
        <v/>
      </c>
      <c r="AK68" s="68" t="str" cm="1">
        <f t="array" ref="AK68">CalculerNouvelleDate(U68,AJ68)</f>
        <v/>
      </c>
      <c r="AL68" s="68" t="str" cm="1">
        <f t="array" ref="AL68">CalculerNouvelleDate(V68,AK68)</f>
        <v/>
      </c>
      <c r="AM68" s="83" t="str" cm="1">
        <f t="array" ref="AM68">CorrespondanceDAte(X68:AL68,D69)</f>
        <v>0</v>
      </c>
      <c r="AN68" s="1"/>
      <c r="AO68" s="1"/>
      <c r="AP68" s="1"/>
      <c r="AQ68" s="1"/>
      <c r="AR68" s="1"/>
      <c r="AS68" s="1"/>
      <c r="AT68" s="1"/>
      <c r="AU68" s="1"/>
      <c r="AV68" s="1"/>
      <c r="AW68" s="1"/>
      <c r="AX68" s="1"/>
      <c r="AY68" s="1"/>
      <c r="AZ68" s="1"/>
      <c r="BA68" s="1"/>
    </row>
    <row r="69" spans="1:53" x14ac:dyDescent="0.3">
      <c r="A69" s="1"/>
      <c r="B69" s="11"/>
      <c r="C69" s="69" t="s">
        <v>536</v>
      </c>
      <c r="D69" s="1" t="s">
        <v>610</v>
      </c>
      <c r="E69" s="1"/>
      <c r="F69" s="1"/>
      <c r="G69" s="1"/>
      <c r="H69" s="43"/>
      <c r="I69" s="45"/>
      <c r="J69" s="46"/>
      <c r="K69" s="46"/>
      <c r="L69" s="46"/>
      <c r="M69" s="46"/>
      <c r="N69" s="46"/>
      <c r="O69" s="46"/>
      <c r="P69" s="46"/>
      <c r="Q69" s="46"/>
      <c r="R69" s="46"/>
      <c r="S69" s="46"/>
      <c r="T69" s="46"/>
      <c r="U69" s="46"/>
      <c r="V69" s="46"/>
      <c r="W69" s="62"/>
      <c r="X69" s="67"/>
      <c r="Y69" s="68" t="str" cm="1">
        <f t="array" ref="Y69">CalculerNouvelleDate(I69,X69)</f>
        <v/>
      </c>
      <c r="Z69" s="68" t="str" cm="1">
        <f t="array" ref="Z69">CalculerNouvelleDate(J69,Y69)</f>
        <v/>
      </c>
      <c r="AA69" s="68" t="str" cm="1">
        <f t="array" ref="AA69">CalculerNouvelleDate(K69,Z69)</f>
        <v/>
      </c>
      <c r="AB69" s="68" t="str" cm="1">
        <f t="array" ref="AB69">CalculerNouvelleDate(L69,AA69)</f>
        <v/>
      </c>
      <c r="AC69" s="68" t="str" cm="1">
        <f t="array" ref="AC69">CalculerNouvelleDate(M69,AB69)</f>
        <v/>
      </c>
      <c r="AD69" s="68" t="str" cm="1">
        <f t="array" ref="AD69">CalculerNouvelleDate(N69,AC69)</f>
        <v/>
      </c>
      <c r="AE69" s="68" t="str" cm="1">
        <f t="array" ref="AE69">CalculerNouvelleDate(O69,AD69)</f>
        <v/>
      </c>
      <c r="AF69" s="68" t="str" cm="1">
        <f t="array" ref="AF69">CalculerNouvelleDate(P69,AE69)</f>
        <v/>
      </c>
      <c r="AG69" s="68" t="str" cm="1">
        <f t="array" ref="AG69">CalculerNouvelleDate(Q69,AF69)</f>
        <v/>
      </c>
      <c r="AH69" s="68" t="str" cm="1">
        <f t="array" ref="AH69">CalculerNouvelleDate(R69,AG69)</f>
        <v/>
      </c>
      <c r="AI69" s="68" t="str" cm="1">
        <f t="array" ref="AI69">CalculerNouvelleDate(S69,AH69)</f>
        <v/>
      </c>
      <c r="AJ69" s="68" t="str" cm="1">
        <f t="array" ref="AJ69">CalculerNouvelleDate(T69,AI69)</f>
        <v/>
      </c>
      <c r="AK69" s="68" t="str" cm="1">
        <f t="array" ref="AK69">CalculerNouvelleDate(U69,AJ69)</f>
        <v/>
      </c>
      <c r="AL69" s="68" t="str" cm="1">
        <f t="array" ref="AL69">CalculerNouvelleDate(V69,AK69)</f>
        <v/>
      </c>
      <c r="AM69" s="83" t="str" cm="1">
        <f t="array" ref="AM69">CorrespondanceDAte(X69:AL69,D70)</f>
        <v>0</v>
      </c>
      <c r="AN69" s="1"/>
      <c r="AO69" s="1"/>
      <c r="AP69" s="1"/>
      <c r="AQ69" s="1"/>
      <c r="AR69" s="1"/>
      <c r="AS69" s="1"/>
      <c r="AT69" s="1"/>
      <c r="AU69" s="1"/>
      <c r="AV69" s="1"/>
      <c r="AW69" s="1"/>
      <c r="AX69" s="1"/>
      <c r="AY69" s="1"/>
      <c r="AZ69" s="1"/>
      <c r="BA69" s="1"/>
    </row>
    <row r="70" spans="1:53" x14ac:dyDescent="0.3">
      <c r="A70" s="1"/>
      <c r="B70" s="11"/>
      <c r="C70" s="69" t="s">
        <v>550</v>
      </c>
      <c r="D70" s="1" t="s">
        <v>611</v>
      </c>
      <c r="E70" s="1"/>
      <c r="F70" s="1"/>
      <c r="G70" s="1"/>
      <c r="H70" s="43"/>
      <c r="I70" s="45"/>
      <c r="J70" s="46"/>
      <c r="K70" s="46"/>
      <c r="L70" s="46"/>
      <c r="M70" s="46"/>
      <c r="N70" s="46"/>
      <c r="O70" s="46"/>
      <c r="P70" s="46"/>
      <c r="Q70" s="46"/>
      <c r="R70" s="46"/>
      <c r="S70" s="46"/>
      <c r="T70" s="46"/>
      <c r="U70" s="46"/>
      <c r="V70" s="46"/>
      <c r="W70" s="62"/>
      <c r="X70" s="67"/>
      <c r="Y70" s="68" t="str" cm="1">
        <f t="array" ref="Y70">CalculerNouvelleDate(I70,X70)</f>
        <v/>
      </c>
      <c r="Z70" s="68" t="str" cm="1">
        <f t="array" ref="Z70">CalculerNouvelleDate(J70,Y70)</f>
        <v/>
      </c>
      <c r="AA70" s="68" t="str" cm="1">
        <f t="array" ref="AA70">CalculerNouvelleDate(K70,Z70)</f>
        <v/>
      </c>
      <c r="AB70" s="68" t="str" cm="1">
        <f t="array" ref="AB70">CalculerNouvelleDate(L70,AA70)</f>
        <v/>
      </c>
      <c r="AC70" s="68" t="str" cm="1">
        <f t="array" ref="AC70">CalculerNouvelleDate(M70,AB70)</f>
        <v/>
      </c>
      <c r="AD70" s="68" t="str" cm="1">
        <f t="array" ref="AD70">CalculerNouvelleDate(N70,AC70)</f>
        <v/>
      </c>
      <c r="AE70" s="68" t="str" cm="1">
        <f t="array" ref="AE70">CalculerNouvelleDate(O70,AD70)</f>
        <v/>
      </c>
      <c r="AF70" s="68" t="str" cm="1">
        <f t="array" ref="AF70">CalculerNouvelleDate(P70,AE70)</f>
        <v/>
      </c>
      <c r="AG70" s="68" t="str" cm="1">
        <f t="array" ref="AG70">CalculerNouvelleDate(Q70,AF70)</f>
        <v/>
      </c>
      <c r="AH70" s="68" t="str" cm="1">
        <f t="array" ref="AH70">CalculerNouvelleDate(R70,AG70)</f>
        <v/>
      </c>
      <c r="AI70" s="68" t="str" cm="1">
        <f t="array" ref="AI70">CalculerNouvelleDate(S70,AH70)</f>
        <v/>
      </c>
      <c r="AJ70" s="68" t="str" cm="1">
        <f t="array" ref="AJ70">CalculerNouvelleDate(T70,AI70)</f>
        <v/>
      </c>
      <c r="AK70" s="68" t="str" cm="1">
        <f t="array" ref="AK70">CalculerNouvelleDate(U70,AJ70)</f>
        <v/>
      </c>
      <c r="AL70" s="68" t="str" cm="1">
        <f t="array" ref="AL70">CalculerNouvelleDate(V70,AK70)</f>
        <v/>
      </c>
      <c r="AM70" s="83" t="str" cm="1">
        <f t="array" ref="AM70">CorrespondanceDAte(X70:AL70,D71)</f>
        <v>0</v>
      </c>
      <c r="AN70" s="1"/>
      <c r="AO70" s="1"/>
      <c r="AP70" s="1"/>
      <c r="AQ70" s="1"/>
      <c r="AR70" s="1"/>
      <c r="AS70" s="1"/>
      <c r="AT70" s="1"/>
      <c r="AU70" s="1"/>
      <c r="AV70" s="1"/>
      <c r="AW70" s="1"/>
      <c r="AX70" s="1"/>
      <c r="AY70" s="1"/>
      <c r="AZ70" s="1"/>
      <c r="BA70" s="1"/>
    </row>
    <row r="71" spans="1:53" x14ac:dyDescent="0.3">
      <c r="A71" s="1"/>
      <c r="B71" s="11"/>
      <c r="C71" s="69" t="s">
        <v>551</v>
      </c>
      <c r="D71" s="1" t="s">
        <v>612</v>
      </c>
      <c r="E71" s="1"/>
      <c r="F71" s="1"/>
      <c r="G71" s="1"/>
      <c r="H71" s="43"/>
      <c r="I71" s="45"/>
      <c r="J71" s="46"/>
      <c r="K71" s="46"/>
      <c r="L71" s="46"/>
      <c r="M71" s="46"/>
      <c r="N71" s="46"/>
      <c r="O71" s="46"/>
      <c r="P71" s="46"/>
      <c r="Q71" s="46"/>
      <c r="R71" s="46"/>
      <c r="S71" s="46"/>
      <c r="T71" s="46"/>
      <c r="U71" s="46"/>
      <c r="V71" s="46"/>
      <c r="W71" s="62"/>
      <c r="X71" s="67"/>
      <c r="Y71" s="68" t="str" cm="1">
        <f t="array" ref="Y71">CalculerNouvelleDate(I71,X71)</f>
        <v/>
      </c>
      <c r="Z71" s="68" t="str" cm="1">
        <f t="array" ref="Z71">CalculerNouvelleDate(J71,Y71)</f>
        <v/>
      </c>
      <c r="AA71" s="68" t="str" cm="1">
        <f t="array" ref="AA71">CalculerNouvelleDate(K71,Z71)</f>
        <v/>
      </c>
      <c r="AB71" s="68" t="str" cm="1">
        <f t="array" ref="AB71">CalculerNouvelleDate(L71,AA71)</f>
        <v/>
      </c>
      <c r="AC71" s="68" t="str" cm="1">
        <f t="array" ref="AC71">CalculerNouvelleDate(M71,AB71)</f>
        <v/>
      </c>
      <c r="AD71" s="68" t="str" cm="1">
        <f t="array" ref="AD71">CalculerNouvelleDate(N71,AC71)</f>
        <v/>
      </c>
      <c r="AE71" s="68" t="str" cm="1">
        <f t="array" ref="AE71">CalculerNouvelleDate(O71,AD71)</f>
        <v/>
      </c>
      <c r="AF71" s="68" t="str" cm="1">
        <f t="array" ref="AF71">CalculerNouvelleDate(P71,AE71)</f>
        <v/>
      </c>
      <c r="AG71" s="68" t="str" cm="1">
        <f t="array" ref="AG71">CalculerNouvelleDate(Q71,AF71)</f>
        <v/>
      </c>
      <c r="AH71" s="68" t="str" cm="1">
        <f t="array" ref="AH71">CalculerNouvelleDate(R71,AG71)</f>
        <v/>
      </c>
      <c r="AI71" s="68" t="str" cm="1">
        <f t="array" ref="AI71">CalculerNouvelleDate(S71,AH71)</f>
        <v/>
      </c>
      <c r="AJ71" s="68" t="str" cm="1">
        <f t="array" ref="AJ71">CalculerNouvelleDate(T71,AI71)</f>
        <v/>
      </c>
      <c r="AK71" s="68" t="str" cm="1">
        <f t="array" ref="AK71">CalculerNouvelleDate(U71,AJ71)</f>
        <v/>
      </c>
      <c r="AL71" s="68" t="str" cm="1">
        <f t="array" ref="AL71">CalculerNouvelleDate(V71,AK71)</f>
        <v/>
      </c>
      <c r="AM71" s="83" t="str" cm="1">
        <f t="array" ref="AM71">CorrespondanceDAte(X71:AL71,D72)</f>
        <v>0</v>
      </c>
      <c r="AN71" s="1"/>
      <c r="AO71" s="1"/>
      <c r="AP71" s="1"/>
      <c r="AQ71" s="1"/>
      <c r="AR71" s="1"/>
      <c r="AS71" s="1"/>
      <c r="AT71" s="1"/>
      <c r="AU71" s="1"/>
      <c r="AV71" s="1"/>
      <c r="AW71" s="1"/>
      <c r="AX71" s="1"/>
      <c r="AY71" s="1"/>
      <c r="AZ71" s="1"/>
      <c r="BA71" s="1"/>
    </row>
    <row r="72" spans="1:53" x14ac:dyDescent="0.3">
      <c r="A72" s="1"/>
      <c r="B72" s="11">
        <v>4</v>
      </c>
      <c r="C72" s="1" t="s">
        <v>27</v>
      </c>
      <c r="D72" s="1"/>
      <c r="E72" s="1"/>
      <c r="F72" s="1"/>
      <c r="G72" s="1"/>
      <c r="H72" s="43"/>
      <c r="I72" s="45"/>
      <c r="J72" s="1"/>
      <c r="K72" s="1"/>
      <c r="L72" s="1"/>
      <c r="M72" s="1"/>
      <c r="N72" s="1"/>
      <c r="O72" s="1"/>
      <c r="P72" s="1"/>
      <c r="Q72" s="1"/>
      <c r="R72" s="1"/>
      <c r="S72" s="1"/>
      <c r="T72" s="1"/>
      <c r="U72" s="1"/>
      <c r="V72" s="1"/>
      <c r="W72" s="11"/>
      <c r="X72" s="67"/>
      <c r="Y72" s="68" t="str" cm="1">
        <f t="array" ref="Y72">CalculerNouvelleDate(I72,X72)</f>
        <v/>
      </c>
      <c r="Z72" s="68" t="str" cm="1">
        <f t="array" ref="Z72">CalculerNouvelleDate(J72,Y72)</f>
        <v/>
      </c>
      <c r="AA72" s="68" t="str" cm="1">
        <f t="array" ref="AA72">CalculerNouvelleDate(K72,Z72)</f>
        <v/>
      </c>
      <c r="AB72" s="68" t="str" cm="1">
        <f t="array" ref="AB72">CalculerNouvelleDate(L72,AA72)</f>
        <v/>
      </c>
      <c r="AC72" s="68" t="str" cm="1">
        <f t="array" ref="AC72">CalculerNouvelleDate(M72,AB72)</f>
        <v/>
      </c>
      <c r="AD72" s="68" t="str" cm="1">
        <f t="array" ref="AD72">CalculerNouvelleDate(N72,AC72)</f>
        <v/>
      </c>
      <c r="AE72" s="68" t="str" cm="1">
        <f t="array" ref="AE72">CalculerNouvelleDate(O72,AD72)</f>
        <v/>
      </c>
      <c r="AF72" s="68" t="str" cm="1">
        <f t="array" ref="AF72">CalculerNouvelleDate(P72,AE72)</f>
        <v/>
      </c>
      <c r="AG72" s="68" t="str" cm="1">
        <f t="array" ref="AG72">CalculerNouvelleDate(Q72,AF72)</f>
        <v/>
      </c>
      <c r="AH72" s="68" t="str" cm="1">
        <f t="array" ref="AH72">CalculerNouvelleDate(R72,AG72)</f>
        <v/>
      </c>
      <c r="AI72" s="68" t="str" cm="1">
        <f t="array" ref="AI72">CalculerNouvelleDate(S72,AH72)</f>
        <v/>
      </c>
      <c r="AJ72" s="68" t="str" cm="1">
        <f t="array" ref="AJ72">CalculerNouvelleDate(T72,AI72)</f>
        <v/>
      </c>
      <c r="AK72" s="68" t="str" cm="1">
        <f t="array" ref="AK72">CalculerNouvelleDate(U72,AJ72)</f>
        <v/>
      </c>
      <c r="AL72" s="68" t="str" cm="1">
        <f t="array" ref="AL72">CalculerNouvelleDate(V72,AK72)</f>
        <v/>
      </c>
      <c r="AM72" s="83" t="str" cm="1">
        <f t="array" ref="AM72">CorrespondanceDAte(X72:AL72,D73)</f>
        <v>0</v>
      </c>
      <c r="AN72" s="1"/>
      <c r="AO72" s="1"/>
      <c r="AP72" s="1"/>
      <c r="AQ72" s="1"/>
      <c r="AR72" s="1"/>
      <c r="AS72" s="1"/>
      <c r="AT72" s="1"/>
      <c r="AU72" s="1"/>
      <c r="AV72" s="1"/>
      <c r="AW72" s="1"/>
      <c r="AX72" s="1"/>
      <c r="AY72" s="1"/>
      <c r="AZ72" s="1"/>
      <c r="BA72" s="1"/>
    </row>
    <row r="73" spans="1:53" x14ac:dyDescent="0.3">
      <c r="A73" s="1"/>
      <c r="B73" s="11"/>
      <c r="C73" s="69" t="s">
        <v>556</v>
      </c>
      <c r="D73" s="1" t="s">
        <v>613</v>
      </c>
      <c r="E73" s="1"/>
      <c r="F73" s="1"/>
      <c r="G73" s="1"/>
      <c r="H73" s="43"/>
      <c r="I73" s="45"/>
      <c r="J73" s="46"/>
      <c r="K73" s="46"/>
      <c r="L73" s="46"/>
      <c r="M73" s="46"/>
      <c r="N73" s="46"/>
      <c r="O73" s="46"/>
      <c r="P73" s="46"/>
      <c r="Q73" s="46"/>
      <c r="R73" s="46"/>
      <c r="S73" s="46"/>
      <c r="T73" s="46"/>
      <c r="U73" s="46"/>
      <c r="V73" s="46"/>
      <c r="W73" s="62"/>
      <c r="X73" s="67"/>
      <c r="Y73" s="68" t="str" cm="1">
        <f t="array" ref="Y73">CalculerNouvelleDate(I73,X73)</f>
        <v/>
      </c>
      <c r="Z73" s="68" t="str" cm="1">
        <f t="array" ref="Z73">CalculerNouvelleDate(J73,Y73)</f>
        <v/>
      </c>
      <c r="AA73" s="68" t="str" cm="1">
        <f t="array" ref="AA73">CalculerNouvelleDate(K73,Z73)</f>
        <v/>
      </c>
      <c r="AB73" s="68" t="str" cm="1">
        <f t="array" ref="AB73">CalculerNouvelleDate(L73,AA73)</f>
        <v/>
      </c>
      <c r="AC73" s="68" t="str" cm="1">
        <f t="array" ref="AC73">CalculerNouvelleDate(M73,AB73)</f>
        <v/>
      </c>
      <c r="AD73" s="68" t="str" cm="1">
        <f t="array" ref="AD73">CalculerNouvelleDate(N73,AC73)</f>
        <v/>
      </c>
      <c r="AE73" s="68" t="str" cm="1">
        <f t="array" ref="AE73">CalculerNouvelleDate(O73,AD73)</f>
        <v/>
      </c>
      <c r="AF73" s="68" t="str" cm="1">
        <f t="array" ref="AF73">CalculerNouvelleDate(P73,AE73)</f>
        <v/>
      </c>
      <c r="AG73" s="68" t="str" cm="1">
        <f t="array" ref="AG73">CalculerNouvelleDate(Q73,AF73)</f>
        <v/>
      </c>
      <c r="AH73" s="68" t="str" cm="1">
        <f t="array" ref="AH73">CalculerNouvelleDate(R73,AG73)</f>
        <v/>
      </c>
      <c r="AI73" s="68" t="str" cm="1">
        <f t="array" ref="AI73">CalculerNouvelleDate(S73,AH73)</f>
        <v/>
      </c>
      <c r="AJ73" s="68" t="str" cm="1">
        <f t="array" ref="AJ73">CalculerNouvelleDate(T73,AI73)</f>
        <v/>
      </c>
      <c r="AK73" s="68" t="str" cm="1">
        <f t="array" ref="AK73">CalculerNouvelleDate(U73,AJ73)</f>
        <v/>
      </c>
      <c r="AL73" s="68" t="str" cm="1">
        <f t="array" ref="AL73">CalculerNouvelleDate(V73,AK73)</f>
        <v/>
      </c>
      <c r="AM73" s="83" t="str" cm="1">
        <f t="array" ref="AM73">CorrespondanceDAte(X73:AL73,D74)</f>
        <v>0</v>
      </c>
      <c r="AN73" s="1"/>
      <c r="AO73" s="1"/>
      <c r="AP73" s="1"/>
      <c r="AQ73" s="1"/>
      <c r="AR73" s="1"/>
      <c r="AS73" s="1"/>
      <c r="AT73" s="1"/>
      <c r="AU73" s="1"/>
      <c r="AV73" s="1"/>
      <c r="AW73" s="1"/>
      <c r="AX73" s="1"/>
      <c r="AY73" s="1"/>
      <c r="AZ73" s="1"/>
      <c r="BA73" s="1"/>
    </row>
    <row r="74" spans="1:53" x14ac:dyDescent="0.3">
      <c r="A74" s="1"/>
      <c r="B74" s="11"/>
      <c r="C74" s="69" t="s">
        <v>537</v>
      </c>
      <c r="D74" s="1" t="s">
        <v>614</v>
      </c>
      <c r="E74" s="1"/>
      <c r="F74" s="1"/>
      <c r="G74" s="1"/>
      <c r="H74" s="43"/>
      <c r="I74" s="45"/>
      <c r="J74" s="46"/>
      <c r="K74" s="46"/>
      <c r="L74" s="46"/>
      <c r="M74" s="46"/>
      <c r="N74" s="46"/>
      <c r="O74" s="46"/>
      <c r="P74" s="46"/>
      <c r="Q74" s="46"/>
      <c r="R74" s="46"/>
      <c r="S74" s="46"/>
      <c r="T74" s="46"/>
      <c r="U74" s="46"/>
      <c r="V74" s="46"/>
      <c r="W74" s="62"/>
      <c r="X74" s="67"/>
      <c r="Y74" s="68" t="str" cm="1">
        <f t="array" ref="Y74">CalculerNouvelleDate(I74,X74)</f>
        <v/>
      </c>
      <c r="Z74" s="68" t="str" cm="1">
        <f t="array" ref="Z74">CalculerNouvelleDate(J74,Y74)</f>
        <v/>
      </c>
      <c r="AA74" s="68" t="str" cm="1">
        <f t="array" ref="AA74">CalculerNouvelleDate(K74,Z74)</f>
        <v/>
      </c>
      <c r="AB74" s="68" t="str" cm="1">
        <f t="array" ref="AB74">CalculerNouvelleDate(L74,AA74)</f>
        <v/>
      </c>
      <c r="AC74" s="68" t="str" cm="1">
        <f t="array" ref="AC74">CalculerNouvelleDate(M74,AB74)</f>
        <v/>
      </c>
      <c r="AD74" s="68" t="str" cm="1">
        <f t="array" ref="AD74">CalculerNouvelleDate(N74,AC74)</f>
        <v/>
      </c>
      <c r="AE74" s="68" t="str" cm="1">
        <f t="array" ref="AE74">CalculerNouvelleDate(O74,AD74)</f>
        <v/>
      </c>
      <c r="AF74" s="68" t="str" cm="1">
        <f t="array" ref="AF74">CalculerNouvelleDate(P74,AE74)</f>
        <v/>
      </c>
      <c r="AG74" s="68" t="str" cm="1">
        <f t="array" ref="AG74">CalculerNouvelleDate(Q74,AF74)</f>
        <v/>
      </c>
      <c r="AH74" s="68" t="str" cm="1">
        <f t="array" ref="AH74">CalculerNouvelleDate(R74,AG74)</f>
        <v/>
      </c>
      <c r="AI74" s="68" t="str" cm="1">
        <f t="array" ref="AI74">CalculerNouvelleDate(S74,AH74)</f>
        <v/>
      </c>
      <c r="AJ74" s="68" t="str" cm="1">
        <f t="array" ref="AJ74">CalculerNouvelleDate(T74,AI74)</f>
        <v/>
      </c>
      <c r="AK74" s="68" t="str" cm="1">
        <f t="array" ref="AK74">CalculerNouvelleDate(U74,AJ74)</f>
        <v/>
      </c>
      <c r="AL74" s="68" t="str" cm="1">
        <f t="array" ref="AL74">CalculerNouvelleDate(V74,AK74)</f>
        <v/>
      </c>
      <c r="AM74" s="83" t="str" cm="1">
        <f t="array" ref="AM74">CorrespondanceDAte(X74:AL74,D75)</f>
        <v>0</v>
      </c>
      <c r="AN74" s="1"/>
      <c r="AO74" s="1"/>
      <c r="AP74" s="1"/>
      <c r="AQ74" s="1"/>
      <c r="AR74" s="1"/>
      <c r="AS74" s="1"/>
      <c r="AT74" s="1"/>
      <c r="AU74" s="1"/>
      <c r="AV74" s="1"/>
      <c r="AW74" s="1"/>
      <c r="AX74" s="1"/>
      <c r="AY74" s="1"/>
      <c r="AZ74" s="1"/>
      <c r="BA74" s="1"/>
    </row>
    <row r="75" spans="1:53" x14ac:dyDescent="0.3">
      <c r="A75" s="1"/>
      <c r="B75" s="11"/>
      <c r="C75" s="69" t="s">
        <v>557</v>
      </c>
      <c r="D75" s="1" t="s">
        <v>615</v>
      </c>
      <c r="E75" s="1"/>
      <c r="F75" s="1"/>
      <c r="G75" s="1"/>
      <c r="H75" s="43"/>
      <c r="I75" s="45"/>
      <c r="J75" s="46"/>
      <c r="K75" s="46"/>
      <c r="L75" s="46"/>
      <c r="M75" s="46"/>
      <c r="N75" s="46"/>
      <c r="O75" s="46"/>
      <c r="P75" s="46"/>
      <c r="Q75" s="46"/>
      <c r="R75" s="46"/>
      <c r="S75" s="46"/>
      <c r="T75" s="46"/>
      <c r="U75" s="46"/>
      <c r="V75" s="46"/>
      <c r="W75" s="62"/>
      <c r="X75" s="67"/>
      <c r="Y75" s="68" t="str" cm="1">
        <f t="array" ref="Y75">CalculerNouvelleDate(I75,X75)</f>
        <v/>
      </c>
      <c r="Z75" s="68" t="str" cm="1">
        <f t="array" ref="Z75">CalculerNouvelleDate(J75,Y75)</f>
        <v/>
      </c>
      <c r="AA75" s="68" t="str" cm="1">
        <f t="array" ref="AA75">CalculerNouvelleDate(K75,Z75)</f>
        <v/>
      </c>
      <c r="AB75" s="68" t="str" cm="1">
        <f t="array" ref="AB75">CalculerNouvelleDate(L75,AA75)</f>
        <v/>
      </c>
      <c r="AC75" s="68" t="str" cm="1">
        <f t="array" ref="AC75">CalculerNouvelleDate(M75,AB75)</f>
        <v/>
      </c>
      <c r="AD75" s="68" t="str" cm="1">
        <f t="array" ref="AD75">CalculerNouvelleDate(N75,AC75)</f>
        <v/>
      </c>
      <c r="AE75" s="68" t="str" cm="1">
        <f t="array" ref="AE75">CalculerNouvelleDate(O75,AD75)</f>
        <v/>
      </c>
      <c r="AF75" s="68" t="str" cm="1">
        <f t="array" ref="AF75">CalculerNouvelleDate(P75,AE75)</f>
        <v/>
      </c>
      <c r="AG75" s="68" t="str" cm="1">
        <f t="array" ref="AG75">CalculerNouvelleDate(Q75,AF75)</f>
        <v/>
      </c>
      <c r="AH75" s="68" t="str" cm="1">
        <f t="array" ref="AH75">CalculerNouvelleDate(R75,AG75)</f>
        <v/>
      </c>
      <c r="AI75" s="68" t="str" cm="1">
        <f t="array" ref="AI75">CalculerNouvelleDate(S75,AH75)</f>
        <v/>
      </c>
      <c r="AJ75" s="68" t="str" cm="1">
        <f t="array" ref="AJ75">CalculerNouvelleDate(T75,AI75)</f>
        <v/>
      </c>
      <c r="AK75" s="68" t="str" cm="1">
        <f t="array" ref="AK75">CalculerNouvelleDate(U75,AJ75)</f>
        <v/>
      </c>
      <c r="AL75" s="68" t="str" cm="1">
        <f t="array" ref="AL75">CalculerNouvelleDate(V75,AK75)</f>
        <v/>
      </c>
      <c r="AM75" s="83" t="str" cm="1">
        <f t="array" ref="AM75">CorrespondanceDAte(X75:AL75,D76)</f>
        <v>0</v>
      </c>
      <c r="AN75" s="1"/>
      <c r="AO75" s="1"/>
      <c r="AP75" s="1"/>
      <c r="AQ75" s="1"/>
      <c r="AR75" s="1"/>
      <c r="AS75" s="1"/>
      <c r="AT75" s="1"/>
      <c r="AU75" s="1"/>
      <c r="AV75" s="1"/>
      <c r="AW75" s="1"/>
      <c r="AX75" s="1"/>
      <c r="AY75" s="1"/>
      <c r="AZ75" s="1"/>
      <c r="BA75" s="1"/>
    </row>
    <row r="76" spans="1:53" x14ac:dyDescent="0.3">
      <c r="A76" s="1"/>
      <c r="B76" s="11"/>
      <c r="C76" s="1" t="s">
        <v>608</v>
      </c>
      <c r="D76" s="1" t="s">
        <v>616</v>
      </c>
      <c r="E76" s="1"/>
      <c r="F76" s="1"/>
      <c r="G76" s="1"/>
      <c r="H76" s="43"/>
      <c r="I76" s="45"/>
      <c r="J76" s="46"/>
      <c r="K76" s="46"/>
      <c r="L76" s="46"/>
      <c r="M76" s="46"/>
      <c r="N76" s="46"/>
      <c r="O76" s="46"/>
      <c r="P76" s="46"/>
      <c r="Q76" s="46"/>
      <c r="R76" s="46"/>
      <c r="S76" s="46"/>
      <c r="T76" s="46"/>
      <c r="U76" s="46"/>
      <c r="V76" s="46"/>
      <c r="W76" s="62"/>
      <c r="X76" s="67"/>
      <c r="Y76" s="68" t="str" cm="1">
        <f t="array" ref="Y76">CalculerNouvelleDate(I76,X76)</f>
        <v/>
      </c>
      <c r="Z76" s="68" t="str" cm="1">
        <f t="array" ref="Z76">CalculerNouvelleDate(J76,Y76)</f>
        <v/>
      </c>
      <c r="AA76" s="68" t="str" cm="1">
        <f t="array" ref="AA76">CalculerNouvelleDate(K76,Z76)</f>
        <v/>
      </c>
      <c r="AB76" s="68" t="str" cm="1">
        <f t="array" ref="AB76">CalculerNouvelleDate(L76,AA76)</f>
        <v/>
      </c>
      <c r="AC76" s="68" t="str" cm="1">
        <f t="array" ref="AC76">CalculerNouvelleDate(M76,AB76)</f>
        <v/>
      </c>
      <c r="AD76" s="68" t="str" cm="1">
        <f t="array" ref="AD76">CalculerNouvelleDate(N76,AC76)</f>
        <v/>
      </c>
      <c r="AE76" s="68" t="str" cm="1">
        <f t="array" ref="AE76">CalculerNouvelleDate(O76,AD76)</f>
        <v/>
      </c>
      <c r="AF76" s="68" t="str" cm="1">
        <f t="array" ref="AF76">CalculerNouvelleDate(P76,AE76)</f>
        <v/>
      </c>
      <c r="AG76" s="68" t="str" cm="1">
        <f t="array" ref="AG76">CalculerNouvelleDate(Q76,AF76)</f>
        <v/>
      </c>
      <c r="AH76" s="68" t="str" cm="1">
        <f t="array" ref="AH76">CalculerNouvelleDate(R76,AG76)</f>
        <v/>
      </c>
      <c r="AI76" s="68" t="str" cm="1">
        <f t="array" ref="AI76">CalculerNouvelleDate(S76,AH76)</f>
        <v/>
      </c>
      <c r="AJ76" s="68" t="str" cm="1">
        <f t="array" ref="AJ76">CalculerNouvelleDate(T76,AI76)</f>
        <v/>
      </c>
      <c r="AK76" s="68" t="str" cm="1">
        <f t="array" ref="AK76">CalculerNouvelleDate(U76,AJ76)</f>
        <v/>
      </c>
      <c r="AL76" s="68" t="str" cm="1">
        <f t="array" ref="AL76">CalculerNouvelleDate(V76,AK76)</f>
        <v/>
      </c>
      <c r="AM76" s="83" t="str" cm="1">
        <f t="array" ref="AM76">CorrespondanceDAte(X76:AL76,D77)</f>
        <v>0</v>
      </c>
      <c r="AN76" s="1"/>
      <c r="AO76" s="1"/>
      <c r="AP76" s="1"/>
      <c r="AQ76" s="1"/>
      <c r="AR76" s="1"/>
      <c r="AS76" s="1"/>
      <c r="AT76" s="1"/>
      <c r="AU76" s="1"/>
      <c r="AV76" s="1"/>
      <c r="AW76" s="1"/>
      <c r="AX76" s="1"/>
      <c r="AY76" s="1"/>
      <c r="AZ76" s="1"/>
      <c r="BA76" s="1"/>
    </row>
    <row r="77" spans="1:53" x14ac:dyDescent="0.3">
      <c r="A77" s="1"/>
      <c r="B77" s="11">
        <v>5</v>
      </c>
      <c r="C77" s="1" t="s">
        <v>28</v>
      </c>
      <c r="D77" s="1"/>
      <c r="E77" s="1"/>
      <c r="F77" s="1"/>
      <c r="G77" s="1"/>
      <c r="H77" s="43"/>
      <c r="I77" s="45"/>
      <c r="J77" s="1"/>
      <c r="K77" s="1"/>
      <c r="L77" s="1"/>
      <c r="M77" s="1"/>
      <c r="N77" s="1"/>
      <c r="O77" s="1"/>
      <c r="P77" s="1"/>
      <c r="Q77" s="1"/>
      <c r="R77" s="1"/>
      <c r="S77" s="1"/>
      <c r="T77" s="1"/>
      <c r="U77" s="1"/>
      <c r="V77" s="1"/>
      <c r="W77" s="11"/>
      <c r="X77" s="67"/>
      <c r="Y77" s="68" t="str" cm="1">
        <f t="array" ref="Y77">CalculerNouvelleDate(I77,X77)</f>
        <v/>
      </c>
      <c r="Z77" s="68" t="str" cm="1">
        <f t="array" ref="Z77">CalculerNouvelleDate(J77,Y77)</f>
        <v/>
      </c>
      <c r="AA77" s="68" t="str" cm="1">
        <f t="array" ref="AA77">CalculerNouvelleDate(K77,Z77)</f>
        <v/>
      </c>
      <c r="AB77" s="68" t="str" cm="1">
        <f t="array" ref="AB77">CalculerNouvelleDate(L77,AA77)</f>
        <v/>
      </c>
      <c r="AC77" s="68" t="str" cm="1">
        <f t="array" ref="AC77">CalculerNouvelleDate(M77,AB77)</f>
        <v/>
      </c>
      <c r="AD77" s="68" t="str" cm="1">
        <f t="array" ref="AD77">CalculerNouvelleDate(N77,AC77)</f>
        <v/>
      </c>
      <c r="AE77" s="68" t="str" cm="1">
        <f t="array" ref="AE77">CalculerNouvelleDate(O77,AD77)</f>
        <v/>
      </c>
      <c r="AF77" s="68" t="str" cm="1">
        <f t="array" ref="AF77">CalculerNouvelleDate(P77,AE77)</f>
        <v/>
      </c>
      <c r="AG77" s="68" t="str" cm="1">
        <f t="array" ref="AG77">CalculerNouvelleDate(Q77,AF77)</f>
        <v/>
      </c>
      <c r="AH77" s="68" t="str" cm="1">
        <f t="array" ref="AH77">CalculerNouvelleDate(R77,AG77)</f>
        <v/>
      </c>
      <c r="AI77" s="68" t="str" cm="1">
        <f t="array" ref="AI77">CalculerNouvelleDate(S77,AH77)</f>
        <v/>
      </c>
      <c r="AJ77" s="68" t="str" cm="1">
        <f t="array" ref="AJ77">CalculerNouvelleDate(T77,AI77)</f>
        <v/>
      </c>
      <c r="AK77" s="68" t="str" cm="1">
        <f t="array" ref="AK77">CalculerNouvelleDate(U77,AJ77)</f>
        <v/>
      </c>
      <c r="AL77" s="68" t="str" cm="1">
        <f t="array" ref="AL77">CalculerNouvelleDate(V77,AK77)</f>
        <v/>
      </c>
      <c r="AM77" s="83" t="str" cm="1">
        <f t="array" ref="AM77">CorrespondanceDAte(X77:AL77,D78)</f>
        <v>0</v>
      </c>
      <c r="AN77" s="1"/>
      <c r="AO77" s="1"/>
      <c r="AP77" s="1"/>
      <c r="AQ77" s="1"/>
      <c r="AR77" s="1"/>
      <c r="AS77" s="1"/>
      <c r="AT77" s="1"/>
      <c r="AU77" s="1"/>
      <c r="AV77" s="1"/>
      <c r="AW77" s="1"/>
      <c r="AX77" s="1"/>
      <c r="AY77" s="1"/>
      <c r="AZ77" s="1"/>
      <c r="BA77" s="1"/>
    </row>
    <row r="78" spans="1:53" x14ac:dyDescent="0.3">
      <c r="A78" s="1"/>
      <c r="B78" s="11"/>
      <c r="C78" s="1" t="s">
        <v>560</v>
      </c>
      <c r="D78" s="1" t="s">
        <v>620</v>
      </c>
      <c r="E78" s="1"/>
      <c r="F78" s="1"/>
      <c r="G78" s="1"/>
      <c r="H78" s="43"/>
      <c r="I78" s="45"/>
      <c r="J78" s="46"/>
      <c r="K78" s="46"/>
      <c r="L78" s="46"/>
      <c r="M78" s="46"/>
      <c r="N78" s="46"/>
      <c r="O78" s="46"/>
      <c r="P78" s="46"/>
      <c r="Q78" s="46"/>
      <c r="R78" s="46"/>
      <c r="S78" s="46"/>
      <c r="T78" s="46"/>
      <c r="U78" s="46"/>
      <c r="V78" s="46"/>
      <c r="W78" s="62"/>
      <c r="X78" s="67"/>
      <c r="Y78" s="68" t="str" cm="1">
        <f t="array" ref="Y78">CalculerNouvelleDate(I78,X78)</f>
        <v/>
      </c>
      <c r="Z78" s="68" t="str" cm="1">
        <f t="array" ref="Z78">CalculerNouvelleDate(J78,Y78)</f>
        <v/>
      </c>
      <c r="AA78" s="68" t="str" cm="1">
        <f t="array" ref="AA78">CalculerNouvelleDate(K78,Z78)</f>
        <v/>
      </c>
      <c r="AB78" s="68" t="str" cm="1">
        <f t="array" ref="AB78">CalculerNouvelleDate(L78,AA78)</f>
        <v/>
      </c>
      <c r="AC78" s="68" t="str" cm="1">
        <f t="array" ref="AC78">CalculerNouvelleDate(M78,AB78)</f>
        <v/>
      </c>
      <c r="AD78" s="68" t="str" cm="1">
        <f t="array" ref="AD78">CalculerNouvelleDate(N78,AC78)</f>
        <v/>
      </c>
      <c r="AE78" s="68" t="str" cm="1">
        <f t="array" ref="AE78">CalculerNouvelleDate(O78,AD78)</f>
        <v/>
      </c>
      <c r="AF78" s="68" t="str" cm="1">
        <f t="array" ref="AF78">CalculerNouvelleDate(P78,AE78)</f>
        <v/>
      </c>
      <c r="AG78" s="68" t="str" cm="1">
        <f t="array" ref="AG78">CalculerNouvelleDate(Q78,AF78)</f>
        <v/>
      </c>
      <c r="AH78" s="68" t="str" cm="1">
        <f t="array" ref="AH78">CalculerNouvelleDate(R78,AG78)</f>
        <v/>
      </c>
      <c r="AI78" s="68" t="str" cm="1">
        <f t="array" ref="AI78">CalculerNouvelleDate(S78,AH78)</f>
        <v/>
      </c>
      <c r="AJ78" s="68" t="str" cm="1">
        <f t="array" ref="AJ78">CalculerNouvelleDate(T78,AI78)</f>
        <v/>
      </c>
      <c r="AK78" s="68" t="str" cm="1">
        <f t="array" ref="AK78">CalculerNouvelleDate(U78,AJ78)</f>
        <v/>
      </c>
      <c r="AL78" s="68" t="str" cm="1">
        <f t="array" ref="AL78">CalculerNouvelleDate(V78,AK78)</f>
        <v/>
      </c>
      <c r="AM78" s="83" t="str" cm="1">
        <f t="array" ref="AM78">CorrespondanceDAte(X78:AL78,D79)</f>
        <v>0</v>
      </c>
      <c r="AN78" s="1"/>
      <c r="AO78" s="1"/>
      <c r="AP78" s="1"/>
      <c r="AQ78" s="1"/>
      <c r="AR78" s="1"/>
      <c r="AS78" s="1"/>
      <c r="AT78" s="1"/>
      <c r="AU78" s="1"/>
      <c r="AV78" s="1"/>
      <c r="AW78" s="1"/>
      <c r="AX78" s="1"/>
      <c r="AY78" s="1"/>
      <c r="AZ78" s="1"/>
      <c r="BA78" s="1"/>
    </row>
    <row r="79" spans="1:53" x14ac:dyDescent="0.3">
      <c r="A79" s="1"/>
      <c r="B79" s="11"/>
      <c r="C79" s="1" t="s">
        <v>561</v>
      </c>
      <c r="D79" s="1" t="s">
        <v>621</v>
      </c>
      <c r="E79" s="1"/>
      <c r="F79" s="1"/>
      <c r="G79" s="1"/>
      <c r="H79" s="43"/>
      <c r="I79" s="45"/>
      <c r="J79" s="46"/>
      <c r="K79" s="46"/>
      <c r="L79" s="46"/>
      <c r="M79" s="46"/>
      <c r="N79" s="46"/>
      <c r="O79" s="46"/>
      <c r="P79" s="46"/>
      <c r="Q79" s="46"/>
      <c r="R79" s="46"/>
      <c r="S79" s="46"/>
      <c r="T79" s="46"/>
      <c r="U79" s="46"/>
      <c r="V79" s="46"/>
      <c r="W79" s="62"/>
      <c r="X79" s="67"/>
      <c r="Y79" s="68" t="str" cm="1">
        <f t="array" ref="Y79">CalculerNouvelleDate(I79,X79)</f>
        <v/>
      </c>
      <c r="Z79" s="68" t="str" cm="1">
        <f t="array" ref="Z79">CalculerNouvelleDate(J79,Y79)</f>
        <v/>
      </c>
      <c r="AA79" s="68" t="str" cm="1">
        <f t="array" ref="AA79">CalculerNouvelleDate(K79,Z79)</f>
        <v/>
      </c>
      <c r="AB79" s="68" t="str" cm="1">
        <f t="array" ref="AB79">CalculerNouvelleDate(L79,AA79)</f>
        <v/>
      </c>
      <c r="AC79" s="68" t="str" cm="1">
        <f t="array" ref="AC79">CalculerNouvelleDate(M79,AB79)</f>
        <v/>
      </c>
      <c r="AD79" s="68" t="str" cm="1">
        <f t="array" ref="AD79">CalculerNouvelleDate(N79,AC79)</f>
        <v/>
      </c>
      <c r="AE79" s="68" t="str" cm="1">
        <f t="array" ref="AE79">CalculerNouvelleDate(O79,AD79)</f>
        <v/>
      </c>
      <c r="AF79" s="68" t="str" cm="1">
        <f t="array" ref="AF79">CalculerNouvelleDate(P79,AE79)</f>
        <v/>
      </c>
      <c r="AG79" s="68" t="str" cm="1">
        <f t="array" ref="AG79">CalculerNouvelleDate(Q79,AF79)</f>
        <v/>
      </c>
      <c r="AH79" s="68" t="str" cm="1">
        <f t="array" ref="AH79">CalculerNouvelleDate(R79,AG79)</f>
        <v/>
      </c>
      <c r="AI79" s="68" t="str" cm="1">
        <f t="array" ref="AI79">CalculerNouvelleDate(S79,AH79)</f>
        <v/>
      </c>
      <c r="AJ79" s="68" t="str" cm="1">
        <f t="array" ref="AJ79">CalculerNouvelleDate(T79,AI79)</f>
        <v/>
      </c>
      <c r="AK79" s="68" t="str" cm="1">
        <f t="array" ref="AK79">CalculerNouvelleDate(U79,AJ79)</f>
        <v/>
      </c>
      <c r="AL79" s="68" t="str" cm="1">
        <f t="array" ref="AL79">CalculerNouvelleDate(V79,AK79)</f>
        <v/>
      </c>
      <c r="AM79" s="83" t="str" cm="1">
        <f t="array" ref="AM79">CorrespondanceDAte(X79:AL79,D80)</f>
        <v>0</v>
      </c>
      <c r="AN79" s="1"/>
      <c r="AO79" s="1"/>
      <c r="AP79" s="1"/>
      <c r="AQ79" s="1"/>
      <c r="AR79" s="1"/>
      <c r="AS79" s="1"/>
      <c r="AT79" s="1"/>
      <c r="AU79" s="1"/>
      <c r="AV79" s="1"/>
      <c r="AW79" s="1"/>
      <c r="AX79" s="1"/>
      <c r="AY79" s="1"/>
      <c r="AZ79" s="1"/>
      <c r="BA79" s="1"/>
    </row>
    <row r="80" spans="1:53" x14ac:dyDescent="0.3">
      <c r="A80" s="1"/>
      <c r="B80" s="11"/>
      <c r="C80" s="1" t="s">
        <v>562</v>
      </c>
      <c r="D80" s="1" t="s">
        <v>622</v>
      </c>
      <c r="E80" s="1"/>
      <c r="F80" s="1"/>
      <c r="G80" s="1"/>
      <c r="H80" s="43"/>
      <c r="I80" s="45"/>
      <c r="J80" s="46"/>
      <c r="K80" s="46"/>
      <c r="L80" s="46"/>
      <c r="M80" s="46"/>
      <c r="N80" s="46"/>
      <c r="O80" s="46"/>
      <c r="P80" s="46"/>
      <c r="Q80" s="46"/>
      <c r="R80" s="46"/>
      <c r="S80" s="46"/>
      <c r="T80" s="46"/>
      <c r="U80" s="46"/>
      <c r="V80" s="46"/>
      <c r="W80" s="62"/>
      <c r="X80" s="67"/>
      <c r="Y80" s="68" t="str" cm="1">
        <f t="array" ref="Y80">CalculerNouvelleDate(I80,X80)</f>
        <v/>
      </c>
      <c r="Z80" s="68" t="str" cm="1">
        <f t="array" ref="Z80">CalculerNouvelleDate(J80,Y80)</f>
        <v/>
      </c>
      <c r="AA80" s="68" t="str" cm="1">
        <f t="array" ref="AA80">CalculerNouvelleDate(K80,Z80)</f>
        <v/>
      </c>
      <c r="AB80" s="68" t="str" cm="1">
        <f t="array" ref="AB80">CalculerNouvelleDate(L80,AA80)</f>
        <v/>
      </c>
      <c r="AC80" s="68" t="str" cm="1">
        <f t="array" ref="AC80">CalculerNouvelleDate(M80,AB80)</f>
        <v/>
      </c>
      <c r="AD80" s="68" t="str" cm="1">
        <f t="array" ref="AD80">CalculerNouvelleDate(N80,AC80)</f>
        <v/>
      </c>
      <c r="AE80" s="68" t="str" cm="1">
        <f t="array" ref="AE80">CalculerNouvelleDate(O80,AD80)</f>
        <v/>
      </c>
      <c r="AF80" s="68" t="str" cm="1">
        <f t="array" ref="AF80">CalculerNouvelleDate(P80,AE80)</f>
        <v/>
      </c>
      <c r="AG80" s="68" t="str" cm="1">
        <f t="array" ref="AG80">CalculerNouvelleDate(Q80,AF80)</f>
        <v/>
      </c>
      <c r="AH80" s="68" t="str" cm="1">
        <f t="array" ref="AH80">CalculerNouvelleDate(R80,AG80)</f>
        <v/>
      </c>
      <c r="AI80" s="68" t="str" cm="1">
        <f t="array" ref="AI80">CalculerNouvelleDate(S80,AH80)</f>
        <v/>
      </c>
      <c r="AJ80" s="68" t="str" cm="1">
        <f t="array" ref="AJ80">CalculerNouvelleDate(T80,AI80)</f>
        <v/>
      </c>
      <c r="AK80" s="68" t="str" cm="1">
        <f t="array" ref="AK80">CalculerNouvelleDate(U80,AJ80)</f>
        <v/>
      </c>
      <c r="AL80" s="68" t="str" cm="1">
        <f t="array" ref="AL80">CalculerNouvelleDate(V80,AK80)</f>
        <v/>
      </c>
      <c r="AM80" s="83" t="str" cm="1">
        <f t="array" ref="AM80">CorrespondanceDAte(X80:AL80,D81)</f>
        <v>0</v>
      </c>
      <c r="AN80" s="1"/>
      <c r="AO80" s="1"/>
      <c r="AP80" s="1"/>
      <c r="AQ80" s="1"/>
      <c r="AR80" s="1"/>
      <c r="AS80" s="1"/>
      <c r="AT80" s="1"/>
      <c r="AU80" s="1"/>
      <c r="AV80" s="1"/>
      <c r="AW80" s="1"/>
      <c r="AX80" s="1"/>
      <c r="AY80" s="1"/>
      <c r="AZ80" s="1"/>
      <c r="BA80" s="1"/>
    </row>
    <row r="81" spans="1:53" x14ac:dyDescent="0.3">
      <c r="A81" s="1"/>
      <c r="B81" s="11"/>
      <c r="C81" s="1" t="s">
        <v>617</v>
      </c>
      <c r="D81" s="1" t="s">
        <v>623</v>
      </c>
      <c r="E81" s="1"/>
      <c r="F81" s="1"/>
      <c r="G81" s="1"/>
      <c r="H81" s="43"/>
      <c r="I81" s="45"/>
      <c r="J81" s="46"/>
      <c r="K81" s="46"/>
      <c r="L81" s="46"/>
      <c r="M81" s="46"/>
      <c r="N81" s="46"/>
      <c r="O81" s="46"/>
      <c r="P81" s="46"/>
      <c r="Q81" s="46"/>
      <c r="R81" s="46"/>
      <c r="S81" s="46"/>
      <c r="T81" s="46"/>
      <c r="U81" s="46"/>
      <c r="V81" s="46"/>
      <c r="W81" s="62"/>
      <c r="X81" s="67"/>
      <c r="Y81" s="68" t="str" cm="1">
        <f t="array" ref="Y81">CalculerNouvelleDate(I81,X81)</f>
        <v/>
      </c>
      <c r="Z81" s="68" t="str" cm="1">
        <f t="array" ref="Z81">CalculerNouvelleDate(J81,Y81)</f>
        <v/>
      </c>
      <c r="AA81" s="68" t="str" cm="1">
        <f t="array" ref="AA81">CalculerNouvelleDate(K81,Z81)</f>
        <v/>
      </c>
      <c r="AB81" s="68" t="str" cm="1">
        <f t="array" ref="AB81">CalculerNouvelleDate(L81,AA81)</f>
        <v/>
      </c>
      <c r="AC81" s="68" t="str" cm="1">
        <f t="array" ref="AC81">CalculerNouvelleDate(M81,AB81)</f>
        <v/>
      </c>
      <c r="AD81" s="68" t="str" cm="1">
        <f t="array" ref="AD81">CalculerNouvelleDate(N81,AC81)</f>
        <v/>
      </c>
      <c r="AE81" s="68" t="str" cm="1">
        <f t="array" ref="AE81">CalculerNouvelleDate(O81,AD81)</f>
        <v/>
      </c>
      <c r="AF81" s="68" t="str" cm="1">
        <f t="array" ref="AF81">CalculerNouvelleDate(P81,AE81)</f>
        <v/>
      </c>
      <c r="AG81" s="68" t="str" cm="1">
        <f t="array" ref="AG81">CalculerNouvelleDate(Q81,AF81)</f>
        <v/>
      </c>
      <c r="AH81" s="68" t="str" cm="1">
        <f t="array" ref="AH81">CalculerNouvelleDate(R81,AG81)</f>
        <v/>
      </c>
      <c r="AI81" s="68" t="str" cm="1">
        <f t="array" ref="AI81">CalculerNouvelleDate(S81,AH81)</f>
        <v/>
      </c>
      <c r="AJ81" s="68" t="str" cm="1">
        <f t="array" ref="AJ81">CalculerNouvelleDate(T81,AI81)</f>
        <v/>
      </c>
      <c r="AK81" s="68" t="str" cm="1">
        <f t="array" ref="AK81">CalculerNouvelleDate(U81,AJ81)</f>
        <v/>
      </c>
      <c r="AL81" s="68" t="str" cm="1">
        <f t="array" ref="AL81">CalculerNouvelleDate(V81,AK81)</f>
        <v/>
      </c>
      <c r="AM81" s="83" t="str" cm="1">
        <f t="array" ref="AM81">CorrespondanceDAte(X81:AL81,D82)</f>
        <v>0</v>
      </c>
      <c r="AN81" s="1"/>
      <c r="AO81" s="1"/>
      <c r="AP81" s="1"/>
      <c r="AQ81" s="1"/>
      <c r="AR81" s="1"/>
      <c r="AS81" s="1"/>
      <c r="AT81" s="1"/>
      <c r="AU81" s="1"/>
      <c r="AV81" s="1"/>
      <c r="AW81" s="1"/>
      <c r="AX81" s="1"/>
      <c r="AY81" s="1"/>
      <c r="AZ81" s="1"/>
      <c r="BA81" s="1"/>
    </row>
    <row r="82" spans="1:53" x14ac:dyDescent="0.3">
      <c r="A82" s="1"/>
      <c r="B82" s="11"/>
      <c r="C82" s="1" t="s">
        <v>618</v>
      </c>
      <c r="D82" s="1" t="s">
        <v>624</v>
      </c>
      <c r="E82" s="1"/>
      <c r="F82" s="1"/>
      <c r="G82" s="1"/>
      <c r="H82" s="43"/>
      <c r="I82" s="45"/>
      <c r="J82" s="46"/>
      <c r="K82" s="46"/>
      <c r="L82" s="46"/>
      <c r="M82" s="46"/>
      <c r="N82" s="46"/>
      <c r="O82" s="46"/>
      <c r="P82" s="46"/>
      <c r="Q82" s="46"/>
      <c r="R82" s="46"/>
      <c r="S82" s="46"/>
      <c r="T82" s="46"/>
      <c r="U82" s="46"/>
      <c r="V82" s="46"/>
      <c r="W82" s="62"/>
      <c r="X82" s="67"/>
      <c r="Y82" s="68" t="str" cm="1">
        <f t="array" ref="Y82">CalculerNouvelleDate(I82,X82)</f>
        <v/>
      </c>
      <c r="Z82" s="68" t="str" cm="1">
        <f t="array" ref="Z82">CalculerNouvelleDate(J82,Y82)</f>
        <v/>
      </c>
      <c r="AA82" s="68" t="str" cm="1">
        <f t="array" ref="AA82">CalculerNouvelleDate(K82,Z82)</f>
        <v/>
      </c>
      <c r="AB82" s="68" t="str" cm="1">
        <f t="array" ref="AB82">CalculerNouvelleDate(L82,AA82)</f>
        <v/>
      </c>
      <c r="AC82" s="68" t="str" cm="1">
        <f t="array" ref="AC82">CalculerNouvelleDate(M82,AB82)</f>
        <v/>
      </c>
      <c r="AD82" s="68" t="str" cm="1">
        <f t="array" ref="AD82">CalculerNouvelleDate(N82,AC82)</f>
        <v/>
      </c>
      <c r="AE82" s="68" t="str" cm="1">
        <f t="array" ref="AE82">CalculerNouvelleDate(O82,AD82)</f>
        <v/>
      </c>
      <c r="AF82" s="68" t="str" cm="1">
        <f t="array" ref="AF82">CalculerNouvelleDate(P82,AE82)</f>
        <v/>
      </c>
      <c r="AG82" s="68" t="str" cm="1">
        <f t="array" ref="AG82">CalculerNouvelleDate(Q82,AF82)</f>
        <v/>
      </c>
      <c r="AH82" s="68" t="str" cm="1">
        <f t="array" ref="AH82">CalculerNouvelleDate(R82,AG82)</f>
        <v/>
      </c>
      <c r="AI82" s="68" t="str" cm="1">
        <f t="array" ref="AI82">CalculerNouvelleDate(S82,AH82)</f>
        <v/>
      </c>
      <c r="AJ82" s="68" t="str" cm="1">
        <f t="array" ref="AJ82">CalculerNouvelleDate(T82,AI82)</f>
        <v/>
      </c>
      <c r="AK82" s="68" t="str" cm="1">
        <f t="array" ref="AK82">CalculerNouvelleDate(U82,AJ82)</f>
        <v/>
      </c>
      <c r="AL82" s="68" t="str" cm="1">
        <f t="array" ref="AL82">CalculerNouvelleDate(V82,AK82)</f>
        <v/>
      </c>
      <c r="AM82" s="83" t="str" cm="1">
        <f t="array" ref="AM82">CorrespondanceDAte(X82:AL82,D83)</f>
        <v>0</v>
      </c>
      <c r="AN82" s="1"/>
      <c r="AO82" s="1"/>
      <c r="AP82" s="1"/>
      <c r="AQ82" s="1"/>
      <c r="AR82" s="1"/>
      <c r="AS82" s="1"/>
      <c r="AT82" s="1"/>
      <c r="AU82" s="1"/>
      <c r="AV82" s="1"/>
      <c r="AW82" s="1"/>
      <c r="AX82" s="1"/>
      <c r="AY82" s="1"/>
      <c r="AZ82" s="1"/>
      <c r="BA82" s="1"/>
    </row>
    <row r="83" spans="1:53" x14ac:dyDescent="0.3">
      <c r="A83" s="1"/>
      <c r="B83" s="11"/>
      <c r="C83" s="1" t="s">
        <v>619</v>
      </c>
      <c r="D83" s="1" t="s">
        <v>625</v>
      </c>
      <c r="E83" s="1"/>
      <c r="F83" s="1"/>
      <c r="G83" s="1"/>
      <c r="H83" s="43"/>
      <c r="I83" s="45"/>
      <c r="J83" s="46"/>
      <c r="K83" s="46"/>
      <c r="L83" s="46"/>
      <c r="M83" s="46"/>
      <c r="N83" s="46"/>
      <c r="O83" s="46"/>
      <c r="P83" s="46"/>
      <c r="Q83" s="46"/>
      <c r="R83" s="46"/>
      <c r="S83" s="46"/>
      <c r="T83" s="46"/>
      <c r="U83" s="46"/>
      <c r="V83" s="46"/>
      <c r="W83" s="62"/>
      <c r="X83" s="67"/>
      <c r="Y83" s="68" t="str" cm="1">
        <f t="array" ref="Y83">CalculerNouvelleDate(I83,X83)</f>
        <v/>
      </c>
      <c r="Z83" s="68" t="str" cm="1">
        <f t="array" ref="Z83">CalculerNouvelleDate(J83,Y83)</f>
        <v/>
      </c>
      <c r="AA83" s="68" t="str" cm="1">
        <f t="array" ref="AA83">CalculerNouvelleDate(K83,Z83)</f>
        <v/>
      </c>
      <c r="AB83" s="68" t="str" cm="1">
        <f t="array" ref="AB83">CalculerNouvelleDate(L83,AA83)</f>
        <v/>
      </c>
      <c r="AC83" s="68" t="str" cm="1">
        <f t="array" ref="AC83">CalculerNouvelleDate(M83,AB83)</f>
        <v/>
      </c>
      <c r="AD83" s="68" t="str" cm="1">
        <f t="array" ref="AD83">CalculerNouvelleDate(N83,AC83)</f>
        <v/>
      </c>
      <c r="AE83" s="68" t="str" cm="1">
        <f t="array" ref="AE83">CalculerNouvelleDate(O83,AD83)</f>
        <v/>
      </c>
      <c r="AF83" s="68" t="str" cm="1">
        <f t="array" ref="AF83">CalculerNouvelleDate(P83,AE83)</f>
        <v/>
      </c>
      <c r="AG83" s="68" t="str" cm="1">
        <f t="array" ref="AG83">CalculerNouvelleDate(Q83,AF83)</f>
        <v/>
      </c>
      <c r="AH83" s="68" t="str" cm="1">
        <f t="array" ref="AH83">CalculerNouvelleDate(R83,AG83)</f>
        <v/>
      </c>
      <c r="AI83" s="68" t="str" cm="1">
        <f t="array" ref="AI83">CalculerNouvelleDate(S83,AH83)</f>
        <v/>
      </c>
      <c r="AJ83" s="68" t="str" cm="1">
        <f t="array" ref="AJ83">CalculerNouvelleDate(T83,AI83)</f>
        <v/>
      </c>
      <c r="AK83" s="68" t="str" cm="1">
        <f t="array" ref="AK83">CalculerNouvelleDate(U83,AJ83)</f>
        <v/>
      </c>
      <c r="AL83" s="68" t="str" cm="1">
        <f t="array" ref="AL83">CalculerNouvelleDate(V83,AK83)</f>
        <v/>
      </c>
      <c r="AM83" s="83" t="str" cm="1">
        <f t="array" ref="AM83">CorrespondanceDAte(X83:AL83,D84)</f>
        <v>0</v>
      </c>
      <c r="AN83" s="1"/>
      <c r="AO83" s="1"/>
      <c r="AP83" s="1"/>
      <c r="AQ83" s="1"/>
      <c r="AR83" s="1"/>
      <c r="AS83" s="1"/>
      <c r="AT83" s="1"/>
      <c r="AU83" s="1"/>
      <c r="AV83" s="1"/>
      <c r="AW83" s="1"/>
      <c r="AX83" s="1"/>
      <c r="AY83" s="1"/>
      <c r="AZ83" s="1"/>
      <c r="BA83" s="1"/>
    </row>
    <row r="84" spans="1:53" x14ac:dyDescent="0.3">
      <c r="A84" s="1"/>
      <c r="B84" s="11">
        <v>6</v>
      </c>
      <c r="C84" s="1" t="s">
        <v>29</v>
      </c>
      <c r="D84" s="1"/>
      <c r="E84" s="1"/>
      <c r="F84" s="1"/>
      <c r="G84" s="1"/>
      <c r="H84" s="43"/>
      <c r="I84" s="45"/>
      <c r="J84" s="1"/>
      <c r="K84" s="1"/>
      <c r="L84" s="1"/>
      <c r="M84" s="1"/>
      <c r="N84" s="1"/>
      <c r="O84" s="1"/>
      <c r="P84" s="1"/>
      <c r="Q84" s="1"/>
      <c r="R84" s="1"/>
      <c r="S84" s="1"/>
      <c r="T84" s="1"/>
      <c r="U84" s="1"/>
      <c r="V84" s="1"/>
      <c r="W84" s="11"/>
      <c r="X84" s="67"/>
      <c r="Y84" s="68" t="str" cm="1">
        <f t="array" ref="Y84">CalculerNouvelleDate(I84,X84)</f>
        <v/>
      </c>
      <c r="Z84" s="68" t="str" cm="1">
        <f t="array" ref="Z84">CalculerNouvelleDate(J84,Y84)</f>
        <v/>
      </c>
      <c r="AA84" s="68" t="str" cm="1">
        <f t="array" ref="AA84">CalculerNouvelleDate(K84,Z84)</f>
        <v/>
      </c>
      <c r="AB84" s="68" t="str" cm="1">
        <f t="array" ref="AB84">CalculerNouvelleDate(L84,AA84)</f>
        <v/>
      </c>
      <c r="AC84" s="68" t="str" cm="1">
        <f t="array" ref="AC84">CalculerNouvelleDate(M84,AB84)</f>
        <v/>
      </c>
      <c r="AD84" s="68" t="str" cm="1">
        <f t="array" ref="AD84">CalculerNouvelleDate(N84,AC84)</f>
        <v/>
      </c>
      <c r="AE84" s="68" t="str" cm="1">
        <f t="array" ref="AE84">CalculerNouvelleDate(O84,AD84)</f>
        <v/>
      </c>
      <c r="AF84" s="68" t="str" cm="1">
        <f t="array" ref="AF84">CalculerNouvelleDate(P84,AE84)</f>
        <v/>
      </c>
      <c r="AG84" s="68" t="str" cm="1">
        <f t="array" ref="AG84">CalculerNouvelleDate(Q84,AF84)</f>
        <v/>
      </c>
      <c r="AH84" s="68" t="str" cm="1">
        <f t="array" ref="AH84">CalculerNouvelleDate(R84,AG84)</f>
        <v/>
      </c>
      <c r="AI84" s="68" t="str" cm="1">
        <f t="array" ref="AI84">CalculerNouvelleDate(S84,AH84)</f>
        <v/>
      </c>
      <c r="AJ84" s="68" t="str" cm="1">
        <f t="array" ref="AJ84">CalculerNouvelleDate(T84,AI84)</f>
        <v/>
      </c>
      <c r="AK84" s="68" t="str" cm="1">
        <f t="array" ref="AK84">CalculerNouvelleDate(U84,AJ84)</f>
        <v/>
      </c>
      <c r="AL84" s="68" t="str" cm="1">
        <f t="array" ref="AL84">CalculerNouvelleDate(V84,AK84)</f>
        <v/>
      </c>
      <c r="AM84" s="83" t="str" cm="1">
        <f t="array" ref="AM84">CorrespondanceDAte(X84:AL84,D85)</f>
        <v>0</v>
      </c>
      <c r="AN84" s="1"/>
      <c r="AO84" s="1"/>
      <c r="AP84" s="1"/>
      <c r="AQ84" s="1"/>
      <c r="AR84" s="1"/>
      <c r="AS84" s="1"/>
      <c r="AT84" s="1"/>
      <c r="AU84" s="1"/>
      <c r="AV84" s="1"/>
      <c r="AW84" s="1"/>
      <c r="AX84" s="1"/>
      <c r="AY84" s="1"/>
      <c r="AZ84" s="1"/>
      <c r="BA84" s="1"/>
    </row>
    <row r="85" spans="1:53" x14ac:dyDescent="0.3">
      <c r="A85" s="1"/>
      <c r="B85" s="11"/>
      <c r="C85" s="1" t="s">
        <v>566</v>
      </c>
      <c r="D85" s="1" t="s">
        <v>628</v>
      </c>
      <c r="E85" s="1"/>
      <c r="F85" s="1"/>
      <c r="G85" s="1"/>
      <c r="H85" s="43"/>
      <c r="I85" s="45"/>
      <c r="J85" s="46"/>
      <c r="K85" s="46"/>
      <c r="L85" s="46"/>
      <c r="M85" s="46"/>
      <c r="N85" s="46"/>
      <c r="O85" s="46"/>
      <c r="P85" s="46"/>
      <c r="Q85" s="46"/>
      <c r="R85" s="46"/>
      <c r="S85" s="46"/>
      <c r="T85" s="46"/>
      <c r="U85" s="46"/>
      <c r="V85" s="46"/>
      <c r="W85" s="62"/>
      <c r="X85" s="67"/>
      <c r="Y85" s="68" t="str" cm="1">
        <f t="array" ref="Y85">CalculerNouvelleDate(I85,X85)</f>
        <v/>
      </c>
      <c r="Z85" s="68" t="str" cm="1">
        <f t="array" ref="Z85">CalculerNouvelleDate(J85,Y85)</f>
        <v/>
      </c>
      <c r="AA85" s="68" t="str" cm="1">
        <f t="array" ref="AA85">CalculerNouvelleDate(K85,Z85)</f>
        <v/>
      </c>
      <c r="AB85" s="68" t="str" cm="1">
        <f t="array" ref="AB85">CalculerNouvelleDate(L85,AA85)</f>
        <v/>
      </c>
      <c r="AC85" s="68" t="str" cm="1">
        <f t="array" ref="AC85">CalculerNouvelleDate(M85,AB85)</f>
        <v/>
      </c>
      <c r="AD85" s="68" t="str" cm="1">
        <f t="array" ref="AD85">CalculerNouvelleDate(N85,AC85)</f>
        <v/>
      </c>
      <c r="AE85" s="68" t="str" cm="1">
        <f t="array" ref="AE85">CalculerNouvelleDate(O85,AD85)</f>
        <v/>
      </c>
      <c r="AF85" s="68" t="str" cm="1">
        <f t="array" ref="AF85">CalculerNouvelleDate(P85,AE85)</f>
        <v/>
      </c>
      <c r="AG85" s="68" t="str" cm="1">
        <f t="array" ref="AG85">CalculerNouvelleDate(Q85,AF85)</f>
        <v/>
      </c>
      <c r="AH85" s="68" t="str" cm="1">
        <f t="array" ref="AH85">CalculerNouvelleDate(R85,AG85)</f>
        <v/>
      </c>
      <c r="AI85" s="68" t="str" cm="1">
        <f t="array" ref="AI85">CalculerNouvelleDate(S85,AH85)</f>
        <v/>
      </c>
      <c r="AJ85" s="68" t="str" cm="1">
        <f t="array" ref="AJ85">CalculerNouvelleDate(T85,AI85)</f>
        <v/>
      </c>
      <c r="AK85" s="68" t="str" cm="1">
        <f t="array" ref="AK85">CalculerNouvelleDate(U85,AJ85)</f>
        <v/>
      </c>
      <c r="AL85" s="68" t="str" cm="1">
        <f t="array" ref="AL85">CalculerNouvelleDate(V85,AK85)</f>
        <v/>
      </c>
      <c r="AM85" s="83" t="str" cm="1">
        <f t="array" ref="AM85">CorrespondanceDAte(X85:AL85,D86)</f>
        <v>0</v>
      </c>
      <c r="AN85" s="1"/>
      <c r="AO85" s="1"/>
      <c r="AP85" s="1"/>
      <c r="AQ85" s="1"/>
      <c r="AR85" s="1"/>
      <c r="AS85" s="1"/>
      <c r="AT85" s="1"/>
      <c r="AU85" s="1"/>
      <c r="AV85" s="1"/>
      <c r="AW85" s="1"/>
      <c r="AX85" s="1"/>
      <c r="AY85" s="1"/>
      <c r="AZ85" s="1"/>
      <c r="BA85" s="1"/>
    </row>
    <row r="86" spans="1:53" x14ac:dyDescent="0.3">
      <c r="A86" s="1"/>
      <c r="B86" s="11"/>
      <c r="C86" s="1" t="s">
        <v>626</v>
      </c>
      <c r="D86" s="1" t="s">
        <v>629</v>
      </c>
      <c r="E86" s="1"/>
      <c r="F86" s="1"/>
      <c r="G86" s="1"/>
      <c r="H86" s="43"/>
      <c r="I86" s="45"/>
      <c r="J86" s="46"/>
      <c r="K86" s="46"/>
      <c r="L86" s="46"/>
      <c r="M86" s="46"/>
      <c r="N86" s="46"/>
      <c r="O86" s="46"/>
      <c r="P86" s="46"/>
      <c r="Q86" s="46"/>
      <c r="R86" s="46"/>
      <c r="S86" s="46"/>
      <c r="T86" s="46"/>
      <c r="U86" s="46"/>
      <c r="V86" s="46"/>
      <c r="W86" s="62"/>
      <c r="X86" s="67"/>
      <c r="Y86" s="68" t="str" cm="1">
        <f t="array" ref="Y86">CalculerNouvelleDate(I86,X86)</f>
        <v/>
      </c>
      <c r="Z86" s="68" t="str" cm="1">
        <f t="array" ref="Z86">CalculerNouvelleDate(J86,Y86)</f>
        <v/>
      </c>
      <c r="AA86" s="68" t="str" cm="1">
        <f t="array" ref="AA86">CalculerNouvelleDate(K86,Z86)</f>
        <v/>
      </c>
      <c r="AB86" s="68" t="str" cm="1">
        <f t="array" ref="AB86">CalculerNouvelleDate(L86,AA86)</f>
        <v/>
      </c>
      <c r="AC86" s="68" t="str" cm="1">
        <f t="array" ref="AC86">CalculerNouvelleDate(M86,AB86)</f>
        <v/>
      </c>
      <c r="AD86" s="68" t="str" cm="1">
        <f t="array" ref="AD86">CalculerNouvelleDate(N86,AC86)</f>
        <v/>
      </c>
      <c r="AE86" s="68" t="str" cm="1">
        <f t="array" ref="AE86">CalculerNouvelleDate(O86,AD86)</f>
        <v/>
      </c>
      <c r="AF86" s="68" t="str" cm="1">
        <f t="array" ref="AF86">CalculerNouvelleDate(P86,AE86)</f>
        <v/>
      </c>
      <c r="AG86" s="68" t="str" cm="1">
        <f t="array" ref="AG86">CalculerNouvelleDate(Q86,AF86)</f>
        <v/>
      </c>
      <c r="AH86" s="68" t="str" cm="1">
        <f t="array" ref="AH86">CalculerNouvelleDate(R86,AG86)</f>
        <v/>
      </c>
      <c r="AI86" s="68" t="str" cm="1">
        <f t="array" ref="AI86">CalculerNouvelleDate(S86,AH86)</f>
        <v/>
      </c>
      <c r="AJ86" s="68" t="str" cm="1">
        <f t="array" ref="AJ86">CalculerNouvelleDate(T86,AI86)</f>
        <v/>
      </c>
      <c r="AK86" s="68" t="str" cm="1">
        <f t="array" ref="AK86">CalculerNouvelleDate(U86,AJ86)</f>
        <v/>
      </c>
      <c r="AL86" s="68" t="str" cm="1">
        <f t="array" ref="AL86">CalculerNouvelleDate(V86,AK86)</f>
        <v/>
      </c>
      <c r="AM86" s="83" t="str" cm="1">
        <f t="array" ref="AM86">CorrespondanceDAte(X86:AL86,D87)</f>
        <v>0</v>
      </c>
      <c r="AN86" s="1"/>
      <c r="AO86" s="1"/>
      <c r="AP86" s="1"/>
      <c r="AQ86" s="1"/>
      <c r="AR86" s="1"/>
      <c r="AS86" s="1"/>
      <c r="AT86" s="1"/>
      <c r="AU86" s="1"/>
      <c r="AV86" s="1"/>
      <c r="AW86" s="1"/>
      <c r="AX86" s="1"/>
      <c r="AY86" s="1"/>
      <c r="AZ86" s="1"/>
      <c r="BA86" s="1"/>
    </row>
    <row r="87" spans="1:53" x14ac:dyDescent="0.3">
      <c r="A87" s="1"/>
      <c r="B87" s="11"/>
      <c r="C87" s="1" t="s">
        <v>627</v>
      </c>
      <c r="D87" s="1" t="s">
        <v>630</v>
      </c>
      <c r="E87" s="1"/>
      <c r="F87" s="1"/>
      <c r="G87" s="1"/>
      <c r="H87" s="43"/>
      <c r="I87" s="45"/>
      <c r="J87" s="46"/>
      <c r="K87" s="46"/>
      <c r="L87" s="46"/>
      <c r="M87" s="46"/>
      <c r="N87" s="46"/>
      <c r="O87" s="46"/>
      <c r="P87" s="46"/>
      <c r="Q87" s="46"/>
      <c r="R87" s="46"/>
      <c r="S87" s="46"/>
      <c r="T87" s="46"/>
      <c r="U87" s="46"/>
      <c r="V87" s="46"/>
      <c r="W87" s="62"/>
      <c r="X87" s="67"/>
      <c r="Y87" s="68" t="str" cm="1">
        <f t="array" ref="Y87">CalculerNouvelleDate(I87,X87)</f>
        <v/>
      </c>
      <c r="Z87" s="68" t="str" cm="1">
        <f t="array" ref="Z87">CalculerNouvelleDate(J87,Y87)</f>
        <v/>
      </c>
      <c r="AA87" s="68" t="str" cm="1">
        <f t="array" ref="AA87">CalculerNouvelleDate(K87,Z87)</f>
        <v/>
      </c>
      <c r="AB87" s="68" t="str" cm="1">
        <f t="array" ref="AB87">CalculerNouvelleDate(L87,AA87)</f>
        <v/>
      </c>
      <c r="AC87" s="68" t="str" cm="1">
        <f t="array" ref="AC87">CalculerNouvelleDate(M87,AB87)</f>
        <v/>
      </c>
      <c r="AD87" s="68" t="str" cm="1">
        <f t="array" ref="AD87">CalculerNouvelleDate(N87,AC87)</f>
        <v/>
      </c>
      <c r="AE87" s="68" t="str" cm="1">
        <f t="array" ref="AE87">CalculerNouvelleDate(O87,AD87)</f>
        <v/>
      </c>
      <c r="AF87" s="68" t="str" cm="1">
        <f t="array" ref="AF87">CalculerNouvelleDate(P87,AE87)</f>
        <v/>
      </c>
      <c r="AG87" s="68" t="str" cm="1">
        <f t="array" ref="AG87">CalculerNouvelleDate(Q87,AF87)</f>
        <v/>
      </c>
      <c r="AH87" s="68" t="str" cm="1">
        <f t="array" ref="AH87">CalculerNouvelleDate(R87,AG87)</f>
        <v/>
      </c>
      <c r="AI87" s="68" t="str" cm="1">
        <f t="array" ref="AI87">CalculerNouvelleDate(S87,AH87)</f>
        <v/>
      </c>
      <c r="AJ87" s="68" t="str" cm="1">
        <f t="array" ref="AJ87">CalculerNouvelleDate(T87,AI87)</f>
        <v/>
      </c>
      <c r="AK87" s="68" t="str" cm="1">
        <f t="array" ref="AK87">CalculerNouvelleDate(U87,AJ87)</f>
        <v/>
      </c>
      <c r="AL87" s="68" t="str" cm="1">
        <f t="array" ref="AL87">CalculerNouvelleDate(V87,AK87)</f>
        <v/>
      </c>
      <c r="AM87" s="83" t="str" cm="1">
        <f t="array" ref="AM87">CorrespondanceDAte(X87:AL87,D88)</f>
        <v>0</v>
      </c>
      <c r="AN87" s="1"/>
      <c r="AO87" s="1"/>
      <c r="AP87" s="1"/>
      <c r="AQ87" s="1"/>
      <c r="AR87" s="1"/>
      <c r="AS87" s="1"/>
      <c r="AT87" s="1"/>
      <c r="AU87" s="1"/>
      <c r="AV87" s="1"/>
      <c r="AW87" s="1"/>
      <c r="AX87" s="1"/>
      <c r="AY87" s="1"/>
      <c r="AZ87" s="1"/>
      <c r="BA87" s="1"/>
    </row>
    <row r="88" spans="1:53" x14ac:dyDescent="0.3">
      <c r="A88" s="1"/>
      <c r="B88" s="11">
        <v>7</v>
      </c>
      <c r="C88" s="1" t="s">
        <v>30</v>
      </c>
      <c r="D88" s="1"/>
      <c r="E88" s="1"/>
      <c r="F88" s="1"/>
      <c r="G88" s="1"/>
      <c r="H88" s="43"/>
      <c r="I88" s="45"/>
      <c r="J88" s="1"/>
      <c r="K88" s="1"/>
      <c r="L88" s="1"/>
      <c r="M88" s="1"/>
      <c r="N88" s="1"/>
      <c r="O88" s="1"/>
      <c r="P88" s="1"/>
      <c r="Q88" s="1"/>
      <c r="R88" s="1"/>
      <c r="S88" s="1"/>
      <c r="T88" s="1"/>
      <c r="U88" s="1"/>
      <c r="V88" s="1"/>
      <c r="W88" s="11"/>
      <c r="X88" s="67"/>
      <c r="Y88" s="68" t="str" cm="1">
        <f t="array" ref="Y88">CalculerNouvelleDate(I88,X88)</f>
        <v/>
      </c>
      <c r="Z88" s="68" t="str" cm="1">
        <f t="array" ref="Z88">CalculerNouvelleDate(J88,Y88)</f>
        <v/>
      </c>
      <c r="AA88" s="68" t="str" cm="1">
        <f t="array" ref="AA88">CalculerNouvelleDate(K88,Z88)</f>
        <v/>
      </c>
      <c r="AB88" s="68" t="str" cm="1">
        <f t="array" ref="AB88">CalculerNouvelleDate(L88,AA88)</f>
        <v/>
      </c>
      <c r="AC88" s="68" t="str" cm="1">
        <f t="array" ref="AC88">CalculerNouvelleDate(M88,AB88)</f>
        <v/>
      </c>
      <c r="AD88" s="68" t="str" cm="1">
        <f t="array" ref="AD88">CalculerNouvelleDate(N88,AC88)</f>
        <v/>
      </c>
      <c r="AE88" s="68" t="str" cm="1">
        <f t="array" ref="AE88">CalculerNouvelleDate(O88,AD88)</f>
        <v/>
      </c>
      <c r="AF88" s="68" t="str" cm="1">
        <f t="array" ref="AF88">CalculerNouvelleDate(P88,AE88)</f>
        <v/>
      </c>
      <c r="AG88" s="68" t="str" cm="1">
        <f t="array" ref="AG88">CalculerNouvelleDate(Q88,AF88)</f>
        <v/>
      </c>
      <c r="AH88" s="68" t="str" cm="1">
        <f t="array" ref="AH88">CalculerNouvelleDate(R88,AG88)</f>
        <v/>
      </c>
      <c r="AI88" s="68" t="str" cm="1">
        <f t="array" ref="AI88">CalculerNouvelleDate(S88,AH88)</f>
        <v/>
      </c>
      <c r="AJ88" s="68" t="str" cm="1">
        <f t="array" ref="AJ88">CalculerNouvelleDate(T88,AI88)</f>
        <v/>
      </c>
      <c r="AK88" s="68" t="str" cm="1">
        <f t="array" ref="AK88">CalculerNouvelleDate(U88,AJ88)</f>
        <v/>
      </c>
      <c r="AL88" s="68" t="str" cm="1">
        <f t="array" ref="AL88">CalculerNouvelleDate(V88,AK88)</f>
        <v/>
      </c>
      <c r="AM88" s="83" t="str" cm="1">
        <f t="array" ref="AM88">CorrespondanceDAte(X88:AL88,D89)</f>
        <v>0</v>
      </c>
      <c r="AN88" s="1"/>
      <c r="AO88" s="1"/>
      <c r="AP88" s="1"/>
      <c r="AQ88" s="1"/>
      <c r="AR88" s="1"/>
      <c r="AS88" s="1"/>
      <c r="AT88" s="1"/>
      <c r="AU88" s="1"/>
      <c r="AV88" s="1"/>
      <c r="AW88" s="1"/>
      <c r="AX88" s="1"/>
      <c r="AY88" s="1"/>
      <c r="AZ88" s="1"/>
      <c r="BA88" s="1"/>
    </row>
    <row r="89" spans="1:53" x14ac:dyDescent="0.3">
      <c r="A89" s="1"/>
      <c r="B89" s="11"/>
      <c r="C89" s="1" t="s">
        <v>568</v>
      </c>
      <c r="D89" s="1" t="s">
        <v>631</v>
      </c>
      <c r="E89" s="1"/>
      <c r="F89" s="1"/>
      <c r="G89" s="1"/>
      <c r="H89" s="43"/>
      <c r="I89" s="45"/>
      <c r="J89" s="46"/>
      <c r="K89" s="46"/>
      <c r="L89" s="46"/>
      <c r="M89" s="46"/>
      <c r="N89" s="46"/>
      <c r="O89" s="46"/>
      <c r="P89" s="46"/>
      <c r="Q89" s="46"/>
      <c r="R89" s="46"/>
      <c r="S89" s="46"/>
      <c r="T89" s="46"/>
      <c r="U89" s="46"/>
      <c r="V89" s="46"/>
      <c r="W89" s="62"/>
      <c r="X89" s="67"/>
      <c r="Y89" s="68" t="str" cm="1">
        <f t="array" ref="Y89">CalculerNouvelleDate(I89,X89)</f>
        <v/>
      </c>
      <c r="Z89" s="68" t="str" cm="1">
        <f t="array" ref="Z89">CalculerNouvelleDate(J89,Y89)</f>
        <v/>
      </c>
      <c r="AA89" s="68" t="str" cm="1">
        <f t="array" ref="AA89">CalculerNouvelleDate(K89,Z89)</f>
        <v/>
      </c>
      <c r="AB89" s="68" t="str" cm="1">
        <f t="array" ref="AB89">CalculerNouvelleDate(L89,AA89)</f>
        <v/>
      </c>
      <c r="AC89" s="68" t="str" cm="1">
        <f t="array" ref="AC89">CalculerNouvelleDate(M89,AB89)</f>
        <v/>
      </c>
      <c r="AD89" s="68" t="str" cm="1">
        <f t="array" ref="AD89">CalculerNouvelleDate(N89,AC89)</f>
        <v/>
      </c>
      <c r="AE89" s="68" t="str" cm="1">
        <f t="array" ref="AE89">CalculerNouvelleDate(O89,AD89)</f>
        <v/>
      </c>
      <c r="AF89" s="68" t="str" cm="1">
        <f t="array" ref="AF89">CalculerNouvelleDate(P89,AE89)</f>
        <v/>
      </c>
      <c r="AG89" s="68" t="str" cm="1">
        <f t="array" ref="AG89">CalculerNouvelleDate(Q89,AF89)</f>
        <v/>
      </c>
      <c r="AH89" s="68" t="str" cm="1">
        <f t="array" ref="AH89">CalculerNouvelleDate(R89,AG89)</f>
        <v/>
      </c>
      <c r="AI89" s="68" t="str" cm="1">
        <f t="array" ref="AI89">CalculerNouvelleDate(S89,AH89)</f>
        <v/>
      </c>
      <c r="AJ89" s="68" t="str" cm="1">
        <f t="array" ref="AJ89">CalculerNouvelleDate(T89,AI89)</f>
        <v/>
      </c>
      <c r="AK89" s="68" t="str" cm="1">
        <f t="array" ref="AK89">CalculerNouvelleDate(U89,AJ89)</f>
        <v/>
      </c>
      <c r="AL89" s="68" t="str" cm="1">
        <f t="array" ref="AL89">CalculerNouvelleDate(V89,AK89)</f>
        <v/>
      </c>
      <c r="AM89" s="83" t="str" cm="1">
        <f t="array" ref="AM89">CorrespondanceDAte(X89:AL89,D90)</f>
        <v>0</v>
      </c>
      <c r="AN89" s="1"/>
      <c r="AO89" s="1"/>
      <c r="AP89" s="1"/>
      <c r="AQ89" s="1"/>
      <c r="AR89" s="1"/>
      <c r="AS89" s="1"/>
      <c r="AT89" s="1"/>
      <c r="AU89" s="1"/>
      <c r="AV89" s="1"/>
      <c r="AW89" s="1"/>
      <c r="AX89" s="1"/>
      <c r="AY89" s="1"/>
      <c r="AZ89" s="1"/>
      <c r="BA89" s="1"/>
    </row>
    <row r="90" spans="1:53" x14ac:dyDescent="0.3">
      <c r="A90" s="1"/>
      <c r="B90" s="11"/>
      <c r="C90" s="1" t="s">
        <v>569</v>
      </c>
      <c r="D90" s="1" t="s">
        <v>632</v>
      </c>
      <c r="E90" s="1"/>
      <c r="F90" s="1"/>
      <c r="G90" s="1"/>
      <c r="H90" s="43"/>
      <c r="I90" s="45"/>
      <c r="J90" s="46"/>
      <c r="K90" s="46"/>
      <c r="L90" s="46"/>
      <c r="M90" s="46"/>
      <c r="N90" s="46"/>
      <c r="O90" s="46"/>
      <c r="P90" s="46"/>
      <c r="Q90" s="46"/>
      <c r="R90" s="46"/>
      <c r="S90" s="46"/>
      <c r="T90" s="46"/>
      <c r="U90" s="46"/>
      <c r="V90" s="46"/>
      <c r="W90" s="62"/>
      <c r="X90" s="67"/>
      <c r="Y90" s="68" t="str" cm="1">
        <f t="array" ref="Y90">CalculerNouvelleDate(I90,X90)</f>
        <v/>
      </c>
      <c r="Z90" s="68" t="str" cm="1">
        <f t="array" ref="Z90">CalculerNouvelleDate(J90,Y90)</f>
        <v/>
      </c>
      <c r="AA90" s="68" t="str" cm="1">
        <f t="array" ref="AA90">CalculerNouvelleDate(K90,Z90)</f>
        <v/>
      </c>
      <c r="AB90" s="68" t="str" cm="1">
        <f t="array" ref="AB90">CalculerNouvelleDate(L90,AA90)</f>
        <v/>
      </c>
      <c r="AC90" s="68" t="str" cm="1">
        <f t="array" ref="AC90">CalculerNouvelleDate(M90,AB90)</f>
        <v/>
      </c>
      <c r="AD90" s="68" t="str" cm="1">
        <f t="array" ref="AD90">CalculerNouvelleDate(N90,AC90)</f>
        <v/>
      </c>
      <c r="AE90" s="68" t="str" cm="1">
        <f t="array" ref="AE90">CalculerNouvelleDate(O90,AD90)</f>
        <v/>
      </c>
      <c r="AF90" s="68" t="str" cm="1">
        <f t="array" ref="AF90">CalculerNouvelleDate(P90,AE90)</f>
        <v/>
      </c>
      <c r="AG90" s="68" t="str" cm="1">
        <f t="array" ref="AG90">CalculerNouvelleDate(Q90,AF90)</f>
        <v/>
      </c>
      <c r="AH90" s="68" t="str" cm="1">
        <f t="array" ref="AH90">CalculerNouvelleDate(R90,AG90)</f>
        <v/>
      </c>
      <c r="AI90" s="68" t="str" cm="1">
        <f t="array" ref="AI90">CalculerNouvelleDate(S90,AH90)</f>
        <v/>
      </c>
      <c r="AJ90" s="68" t="str" cm="1">
        <f t="array" ref="AJ90">CalculerNouvelleDate(T90,AI90)</f>
        <v/>
      </c>
      <c r="AK90" s="68" t="str" cm="1">
        <f t="array" ref="AK90">CalculerNouvelleDate(U90,AJ90)</f>
        <v/>
      </c>
      <c r="AL90" s="68" t="str" cm="1">
        <f t="array" ref="AL90">CalculerNouvelleDate(V90,AK90)</f>
        <v/>
      </c>
      <c r="AM90" s="83" t="str" cm="1">
        <f t="array" ref="AM90">CorrespondanceDAte(X90:AL90,D91)</f>
        <v>0</v>
      </c>
      <c r="AN90" s="1"/>
      <c r="AO90" s="1"/>
      <c r="AP90" s="1"/>
      <c r="AQ90" s="1"/>
      <c r="AR90" s="1"/>
      <c r="AS90" s="1"/>
      <c r="AT90" s="1"/>
      <c r="AU90" s="1"/>
      <c r="AV90" s="1"/>
      <c r="AW90" s="1"/>
      <c r="AX90" s="1"/>
      <c r="AY90" s="1"/>
      <c r="AZ90" s="1"/>
      <c r="BA90" s="1"/>
    </row>
    <row r="91" spans="1:53" x14ac:dyDescent="0.3">
      <c r="A91" s="1"/>
      <c r="B91" s="11"/>
      <c r="C91" s="1" t="s">
        <v>570</v>
      </c>
      <c r="D91" s="1" t="s">
        <v>633</v>
      </c>
      <c r="E91" s="1"/>
      <c r="F91" s="1"/>
      <c r="G91" s="1"/>
      <c r="H91" s="43"/>
      <c r="I91" s="45"/>
      <c r="J91" s="46"/>
      <c r="K91" s="46"/>
      <c r="L91" s="46"/>
      <c r="M91" s="46"/>
      <c r="N91" s="46"/>
      <c r="O91" s="46"/>
      <c r="P91" s="46"/>
      <c r="Q91" s="46"/>
      <c r="R91" s="46"/>
      <c r="S91" s="46"/>
      <c r="T91" s="46"/>
      <c r="U91" s="46"/>
      <c r="V91" s="46"/>
      <c r="W91" s="62"/>
      <c r="X91" s="67"/>
      <c r="Y91" s="68" t="str" cm="1">
        <f t="array" ref="Y91">CalculerNouvelleDate(I91,X91)</f>
        <v/>
      </c>
      <c r="Z91" s="68" t="str" cm="1">
        <f t="array" ref="Z91">CalculerNouvelleDate(J91,Y91)</f>
        <v/>
      </c>
      <c r="AA91" s="68" t="str" cm="1">
        <f t="array" ref="AA91">CalculerNouvelleDate(K91,Z91)</f>
        <v/>
      </c>
      <c r="AB91" s="68" t="str" cm="1">
        <f t="array" ref="AB91">CalculerNouvelleDate(L91,AA91)</f>
        <v/>
      </c>
      <c r="AC91" s="68" t="str" cm="1">
        <f t="array" ref="AC91">CalculerNouvelleDate(M91,AB91)</f>
        <v/>
      </c>
      <c r="AD91" s="68" t="str" cm="1">
        <f t="array" ref="AD91">CalculerNouvelleDate(N91,AC91)</f>
        <v/>
      </c>
      <c r="AE91" s="68" t="str" cm="1">
        <f t="array" ref="AE91">CalculerNouvelleDate(O91,AD91)</f>
        <v/>
      </c>
      <c r="AF91" s="68" t="str" cm="1">
        <f t="array" ref="AF91">CalculerNouvelleDate(P91,AE91)</f>
        <v/>
      </c>
      <c r="AG91" s="68" t="str" cm="1">
        <f t="array" ref="AG91">CalculerNouvelleDate(Q91,AF91)</f>
        <v/>
      </c>
      <c r="AH91" s="68" t="str" cm="1">
        <f t="array" ref="AH91">CalculerNouvelleDate(R91,AG91)</f>
        <v/>
      </c>
      <c r="AI91" s="68" t="str" cm="1">
        <f t="array" ref="AI91">CalculerNouvelleDate(S91,AH91)</f>
        <v/>
      </c>
      <c r="AJ91" s="68" t="str" cm="1">
        <f t="array" ref="AJ91">CalculerNouvelleDate(T91,AI91)</f>
        <v/>
      </c>
      <c r="AK91" s="68" t="str" cm="1">
        <f t="array" ref="AK91">CalculerNouvelleDate(U91,AJ91)</f>
        <v/>
      </c>
      <c r="AL91" s="68" t="str" cm="1">
        <f t="array" ref="AL91">CalculerNouvelleDate(V91,AK91)</f>
        <v/>
      </c>
      <c r="AM91" s="83" t="str" cm="1">
        <f t="array" ref="AM91">CorrespondanceDAte(X91:AL91,D92)</f>
        <v>0</v>
      </c>
      <c r="AN91" s="1"/>
      <c r="AO91" s="1"/>
      <c r="AP91" s="1"/>
      <c r="AQ91" s="1"/>
      <c r="AR91" s="1"/>
      <c r="AS91" s="1"/>
      <c r="AT91" s="1"/>
      <c r="AU91" s="1"/>
      <c r="AV91" s="1"/>
      <c r="AW91" s="1"/>
      <c r="AX91" s="1"/>
      <c r="AY91" s="1"/>
      <c r="AZ91" s="1"/>
      <c r="BA91" s="1"/>
    </row>
    <row r="92" spans="1:53" x14ac:dyDescent="0.3">
      <c r="A92" s="1"/>
      <c r="B92" s="11">
        <v>8</v>
      </c>
      <c r="C92" s="1" t="s">
        <v>23</v>
      </c>
      <c r="D92" s="1"/>
      <c r="E92" s="1"/>
      <c r="F92" s="1"/>
      <c r="G92" s="1"/>
      <c r="H92" s="43"/>
      <c r="I92" s="45"/>
      <c r="J92" s="1"/>
      <c r="K92" s="1"/>
      <c r="L92" s="1"/>
      <c r="M92" s="1"/>
      <c r="N92" s="1"/>
      <c r="O92" s="1"/>
      <c r="P92" s="1"/>
      <c r="Q92" s="1"/>
      <c r="R92" s="1"/>
      <c r="S92" s="1"/>
      <c r="T92" s="1"/>
      <c r="U92" s="1"/>
      <c r="V92" s="1"/>
      <c r="W92" s="11"/>
      <c r="X92" s="67"/>
      <c r="Y92" s="68" t="str" cm="1">
        <f t="array" ref="Y92">CalculerNouvelleDate(I92,X92)</f>
        <v/>
      </c>
      <c r="Z92" s="68" t="str" cm="1">
        <f t="array" ref="Z92">CalculerNouvelleDate(J92,Y92)</f>
        <v/>
      </c>
      <c r="AA92" s="68" t="str" cm="1">
        <f t="array" ref="AA92">CalculerNouvelleDate(K92,Z92)</f>
        <v/>
      </c>
      <c r="AB92" s="68" t="str" cm="1">
        <f t="array" ref="AB92">CalculerNouvelleDate(L92,AA92)</f>
        <v/>
      </c>
      <c r="AC92" s="68" t="str" cm="1">
        <f t="array" ref="AC92">CalculerNouvelleDate(M92,AB92)</f>
        <v/>
      </c>
      <c r="AD92" s="68" t="str" cm="1">
        <f t="array" ref="AD92">CalculerNouvelleDate(N92,AC92)</f>
        <v/>
      </c>
      <c r="AE92" s="68" t="str" cm="1">
        <f t="array" ref="AE92">CalculerNouvelleDate(O92,AD92)</f>
        <v/>
      </c>
      <c r="AF92" s="68" t="str" cm="1">
        <f t="array" ref="AF92">CalculerNouvelleDate(P92,AE92)</f>
        <v/>
      </c>
      <c r="AG92" s="68" t="str" cm="1">
        <f t="array" ref="AG92">CalculerNouvelleDate(Q92,AF92)</f>
        <v/>
      </c>
      <c r="AH92" s="68" t="str" cm="1">
        <f t="array" ref="AH92">CalculerNouvelleDate(R92,AG92)</f>
        <v/>
      </c>
      <c r="AI92" s="68" t="str" cm="1">
        <f t="array" ref="AI92">CalculerNouvelleDate(S92,AH92)</f>
        <v/>
      </c>
      <c r="AJ92" s="68" t="str" cm="1">
        <f t="array" ref="AJ92">CalculerNouvelleDate(T92,AI92)</f>
        <v/>
      </c>
      <c r="AK92" s="68" t="str" cm="1">
        <f t="array" ref="AK92">CalculerNouvelleDate(U92,AJ92)</f>
        <v/>
      </c>
      <c r="AL92" s="68" t="str" cm="1">
        <f t="array" ref="AL92">CalculerNouvelleDate(V92,AK92)</f>
        <v/>
      </c>
      <c r="AM92" s="83" t="str" cm="1">
        <f t="array" ref="AM92">CorrespondanceDAte(X92:AL92,D93)</f>
        <v>0</v>
      </c>
      <c r="AN92" s="1"/>
      <c r="AO92" s="1"/>
      <c r="AP92" s="1"/>
      <c r="AQ92" s="1"/>
      <c r="AR92" s="1"/>
      <c r="AS92" s="1"/>
      <c r="AT92" s="1"/>
      <c r="AU92" s="1"/>
      <c r="AV92" s="1"/>
      <c r="AW92" s="1"/>
      <c r="AX92" s="1"/>
      <c r="AY92" s="1"/>
      <c r="AZ92" s="1"/>
      <c r="BA92" s="1"/>
    </row>
    <row r="93" spans="1:53" x14ac:dyDescent="0.3">
      <c r="A93" s="1"/>
      <c r="B93" s="11"/>
      <c r="C93" s="1" t="s">
        <v>574</v>
      </c>
      <c r="D93" s="1" t="s">
        <v>634</v>
      </c>
      <c r="E93" s="1"/>
      <c r="F93" s="1"/>
      <c r="G93" s="1"/>
      <c r="H93" s="43"/>
      <c r="I93" s="45"/>
      <c r="J93" s="46"/>
      <c r="K93" s="46"/>
      <c r="L93" s="46"/>
      <c r="M93" s="46"/>
      <c r="N93" s="46"/>
      <c r="O93" s="46"/>
      <c r="P93" s="46"/>
      <c r="Q93" s="46"/>
      <c r="R93" s="46"/>
      <c r="S93" s="46"/>
      <c r="T93" s="46"/>
      <c r="U93" s="46"/>
      <c r="V93" s="46"/>
      <c r="W93" s="62"/>
      <c r="X93" s="67"/>
      <c r="Y93" s="68" t="str" cm="1">
        <f t="array" ref="Y93">CalculerNouvelleDate(I93,X93)</f>
        <v/>
      </c>
      <c r="Z93" s="68" t="str" cm="1">
        <f t="array" ref="Z93">CalculerNouvelleDate(J93,Y93)</f>
        <v/>
      </c>
      <c r="AA93" s="68" t="str" cm="1">
        <f t="array" ref="AA93">CalculerNouvelleDate(K93,Z93)</f>
        <v/>
      </c>
      <c r="AB93" s="68" t="str" cm="1">
        <f t="array" ref="AB93">CalculerNouvelleDate(L93,AA93)</f>
        <v/>
      </c>
      <c r="AC93" s="68" t="str" cm="1">
        <f t="array" ref="AC93">CalculerNouvelleDate(M93,AB93)</f>
        <v/>
      </c>
      <c r="AD93" s="68" t="str" cm="1">
        <f t="array" ref="AD93">CalculerNouvelleDate(N93,AC93)</f>
        <v/>
      </c>
      <c r="AE93" s="68" t="str" cm="1">
        <f t="array" ref="AE93">CalculerNouvelleDate(O93,AD93)</f>
        <v/>
      </c>
      <c r="AF93" s="68" t="str" cm="1">
        <f t="array" ref="AF93">CalculerNouvelleDate(P93,AE93)</f>
        <v/>
      </c>
      <c r="AG93" s="68" t="str" cm="1">
        <f t="array" ref="AG93">CalculerNouvelleDate(Q93,AF93)</f>
        <v/>
      </c>
      <c r="AH93" s="68" t="str" cm="1">
        <f t="array" ref="AH93">CalculerNouvelleDate(R93,AG93)</f>
        <v/>
      </c>
      <c r="AI93" s="68" t="str" cm="1">
        <f t="array" ref="AI93">CalculerNouvelleDate(S93,AH93)</f>
        <v/>
      </c>
      <c r="AJ93" s="68" t="str" cm="1">
        <f t="array" ref="AJ93">CalculerNouvelleDate(T93,AI93)</f>
        <v/>
      </c>
      <c r="AK93" s="68" t="str" cm="1">
        <f t="array" ref="AK93">CalculerNouvelleDate(U93,AJ93)</f>
        <v/>
      </c>
      <c r="AL93" s="68" t="str" cm="1">
        <f t="array" ref="AL93">CalculerNouvelleDate(V93,AK93)</f>
        <v/>
      </c>
      <c r="AM93" s="83" t="str" cm="1">
        <f t="array" ref="AM93">CorrespondanceDAte(X93:AL93,D94)</f>
        <v>0</v>
      </c>
      <c r="AN93" s="1"/>
      <c r="AO93" s="1"/>
      <c r="AP93" s="1"/>
      <c r="AQ93" s="1"/>
      <c r="AR93" s="1"/>
      <c r="AS93" s="1"/>
      <c r="AT93" s="1"/>
      <c r="AU93" s="1"/>
      <c r="AV93" s="1"/>
      <c r="AW93" s="1"/>
      <c r="AX93" s="1"/>
      <c r="AY93" s="1"/>
      <c r="AZ93" s="1"/>
      <c r="BA93" s="1"/>
    </row>
    <row r="94" spans="1:53" x14ac:dyDescent="0.3">
      <c r="A94" s="1"/>
      <c r="B94" s="11"/>
      <c r="C94" s="1" t="s">
        <v>575</v>
      </c>
      <c r="D94" s="1" t="s">
        <v>635</v>
      </c>
      <c r="E94" s="1"/>
      <c r="F94" s="1"/>
      <c r="G94" s="1"/>
      <c r="H94" s="43"/>
      <c r="I94" s="45"/>
      <c r="J94" s="46"/>
      <c r="K94" s="46"/>
      <c r="L94" s="46"/>
      <c r="M94" s="46"/>
      <c r="N94" s="46"/>
      <c r="O94" s="46"/>
      <c r="P94" s="46"/>
      <c r="Q94" s="46"/>
      <c r="R94" s="46"/>
      <c r="S94" s="46"/>
      <c r="T94" s="46"/>
      <c r="U94" s="46"/>
      <c r="V94" s="46"/>
      <c r="W94" s="62"/>
      <c r="X94" s="67"/>
      <c r="Y94" s="68" t="str" cm="1">
        <f t="array" ref="Y94">CalculerNouvelleDate(I94,X94)</f>
        <v/>
      </c>
      <c r="Z94" s="68" t="str" cm="1">
        <f t="array" ref="Z94">CalculerNouvelleDate(J94,Y94)</f>
        <v/>
      </c>
      <c r="AA94" s="68" t="str" cm="1">
        <f t="array" ref="AA94">CalculerNouvelleDate(K94,Z94)</f>
        <v/>
      </c>
      <c r="AB94" s="68" t="str" cm="1">
        <f t="array" ref="AB94">CalculerNouvelleDate(L94,AA94)</f>
        <v/>
      </c>
      <c r="AC94" s="68" t="str" cm="1">
        <f t="array" ref="AC94">CalculerNouvelleDate(M94,AB94)</f>
        <v/>
      </c>
      <c r="AD94" s="68" t="str" cm="1">
        <f t="array" ref="AD94">CalculerNouvelleDate(N94,AC94)</f>
        <v/>
      </c>
      <c r="AE94" s="68" t="str" cm="1">
        <f t="array" ref="AE94">CalculerNouvelleDate(O94,AD94)</f>
        <v/>
      </c>
      <c r="AF94" s="68" t="str" cm="1">
        <f t="array" ref="AF94">CalculerNouvelleDate(P94,AE94)</f>
        <v/>
      </c>
      <c r="AG94" s="68" t="str" cm="1">
        <f t="array" ref="AG94">CalculerNouvelleDate(Q94,AF94)</f>
        <v/>
      </c>
      <c r="AH94" s="68" t="str" cm="1">
        <f t="array" ref="AH94">CalculerNouvelleDate(R94,AG94)</f>
        <v/>
      </c>
      <c r="AI94" s="68" t="str" cm="1">
        <f t="array" ref="AI94">CalculerNouvelleDate(S94,AH94)</f>
        <v/>
      </c>
      <c r="AJ94" s="68" t="str" cm="1">
        <f t="array" ref="AJ94">CalculerNouvelleDate(T94,AI94)</f>
        <v/>
      </c>
      <c r="AK94" s="68" t="str" cm="1">
        <f t="array" ref="AK94">CalculerNouvelleDate(U94,AJ94)</f>
        <v/>
      </c>
      <c r="AL94" s="68" t="str" cm="1">
        <f t="array" ref="AL94">CalculerNouvelleDate(V94,AK94)</f>
        <v/>
      </c>
      <c r="AM94" s="83" t="str" cm="1">
        <f t="array" ref="AM94">CorrespondanceDAte(X94:AL94,D95)</f>
        <v>0</v>
      </c>
      <c r="AN94" s="1"/>
      <c r="AO94" s="1"/>
      <c r="AP94" s="1"/>
      <c r="AQ94" s="1"/>
      <c r="AR94" s="1"/>
      <c r="AS94" s="1"/>
      <c r="AT94" s="1"/>
      <c r="AU94" s="1"/>
      <c r="AV94" s="1"/>
      <c r="AW94" s="1"/>
      <c r="AX94" s="1"/>
      <c r="AY94" s="1"/>
      <c r="AZ94" s="1"/>
      <c r="BA94" s="1"/>
    </row>
    <row r="95" spans="1:53" x14ac:dyDescent="0.3">
      <c r="A95" s="1"/>
      <c r="B95" s="11"/>
      <c r="C95" s="1"/>
      <c r="D95" s="1"/>
      <c r="E95" s="1"/>
      <c r="F95" s="1"/>
      <c r="G95" s="1"/>
      <c r="H95" s="43"/>
      <c r="I95" s="46"/>
      <c r="J95" s="46"/>
      <c r="K95" s="46"/>
      <c r="L95" s="46"/>
      <c r="M95" s="46"/>
      <c r="N95" s="46"/>
      <c r="O95" s="46"/>
      <c r="P95" s="46"/>
      <c r="Q95" s="46"/>
      <c r="R95" s="46"/>
      <c r="S95" s="46"/>
      <c r="T95" s="46"/>
      <c r="U95" s="46"/>
      <c r="V95" s="46"/>
      <c r="W95" s="62"/>
      <c r="X95" s="67"/>
      <c r="Y95" s="68" t="str" cm="1">
        <f t="array" ref="Y95">CalculerNouvelleDate(I95,X95)</f>
        <v/>
      </c>
      <c r="Z95" s="68" t="str" cm="1">
        <f t="array" ref="Z95">CalculerNouvelleDate(J95,Y95)</f>
        <v/>
      </c>
      <c r="AA95" s="68" t="str" cm="1">
        <f t="array" ref="AA95">CalculerNouvelleDate(K95,Z95)</f>
        <v/>
      </c>
      <c r="AB95" s="68" t="str" cm="1">
        <f t="array" ref="AB95">CalculerNouvelleDate(L95,AA95)</f>
        <v/>
      </c>
      <c r="AC95" s="68" t="str" cm="1">
        <f t="array" ref="AC95">CalculerNouvelleDate(M95,AB95)</f>
        <v/>
      </c>
      <c r="AD95" s="68" t="str" cm="1">
        <f t="array" ref="AD95">CalculerNouvelleDate(N95,AC95)</f>
        <v/>
      </c>
      <c r="AE95" s="68" t="str" cm="1">
        <f t="array" ref="AE95">CalculerNouvelleDate(O95,AD95)</f>
        <v/>
      </c>
      <c r="AF95" s="68" t="str" cm="1">
        <f t="array" ref="AF95">CalculerNouvelleDate(P95,AE95)</f>
        <v/>
      </c>
      <c r="AG95" s="68" t="str" cm="1">
        <f t="array" ref="AG95">CalculerNouvelleDate(Q95,AF95)</f>
        <v/>
      </c>
      <c r="AH95" s="68" t="str" cm="1">
        <f t="array" ref="AH95">CalculerNouvelleDate(R95,AG95)</f>
        <v/>
      </c>
      <c r="AI95" s="68" t="str" cm="1">
        <f t="array" ref="AI95">CalculerNouvelleDate(S95,AH95)</f>
        <v/>
      </c>
      <c r="AJ95" s="68" t="str" cm="1">
        <f t="array" ref="AJ95">CalculerNouvelleDate(T95,AI95)</f>
        <v/>
      </c>
      <c r="AK95" s="68" t="str" cm="1">
        <f t="array" ref="AK95">CalculerNouvelleDate(U95,AJ95)</f>
        <v/>
      </c>
      <c r="AL95" s="68" t="str" cm="1">
        <f t="array" ref="AL95">CalculerNouvelleDate(V95,AK95)</f>
        <v/>
      </c>
      <c r="AM95" s="83" t="str" cm="1">
        <f t="array" ref="AM95">CorrespondanceDAte(X95:AL95,D96)</f>
        <v>0</v>
      </c>
      <c r="AN95" s="1"/>
      <c r="AO95" s="1"/>
      <c r="AP95" s="1"/>
      <c r="AQ95" s="1"/>
      <c r="AR95" s="1"/>
      <c r="AS95" s="1"/>
      <c r="AT95" s="1"/>
      <c r="AU95" s="1"/>
      <c r="AV95" s="1"/>
      <c r="AW95" s="1"/>
      <c r="AX95" s="1"/>
      <c r="AY95" s="1"/>
      <c r="AZ95" s="1"/>
      <c r="BA95" s="1"/>
    </row>
    <row r="96" spans="1:53" x14ac:dyDescent="0.3">
      <c r="A96" s="20" t="s">
        <v>108</v>
      </c>
      <c r="B96" s="19"/>
      <c r="C96" s="19"/>
      <c r="D96" s="19"/>
      <c r="E96" s="19"/>
      <c r="F96" s="22"/>
      <c r="G96" s="22"/>
      <c r="H96" s="43"/>
      <c r="I96" s="1"/>
      <c r="J96" s="1"/>
      <c r="K96" s="1"/>
      <c r="L96" s="1"/>
      <c r="M96" s="1"/>
      <c r="N96" s="1"/>
      <c r="O96" s="1"/>
      <c r="P96" s="1"/>
      <c r="Q96" s="1"/>
      <c r="R96" s="1"/>
      <c r="S96" s="1"/>
      <c r="T96" s="1"/>
      <c r="U96" s="1"/>
      <c r="V96" s="1"/>
      <c r="W96" s="11"/>
      <c r="X96" s="67"/>
      <c r="Y96" s="68" t="str" cm="1">
        <f t="array" ref="Y96">CalculerNouvelleDate(I96,X96)</f>
        <v/>
      </c>
      <c r="Z96" s="68" t="str" cm="1">
        <f t="array" ref="Z96">CalculerNouvelleDate(J96,Y96)</f>
        <v/>
      </c>
      <c r="AA96" s="68" t="str" cm="1">
        <f t="array" ref="AA96">CalculerNouvelleDate(K96,Z96)</f>
        <v/>
      </c>
      <c r="AB96" s="68" t="str" cm="1">
        <f t="array" ref="AB96">CalculerNouvelleDate(L96,AA96)</f>
        <v/>
      </c>
      <c r="AC96" s="68" t="str" cm="1">
        <f t="array" ref="AC96">CalculerNouvelleDate(M96,AB96)</f>
        <v/>
      </c>
      <c r="AD96" s="68" t="str" cm="1">
        <f t="array" ref="AD96">CalculerNouvelleDate(N96,AC96)</f>
        <v/>
      </c>
      <c r="AE96" s="68" t="str" cm="1">
        <f t="array" ref="AE96">CalculerNouvelleDate(O96,AD96)</f>
        <v/>
      </c>
      <c r="AF96" s="68" t="str" cm="1">
        <f t="array" ref="AF96">CalculerNouvelleDate(P96,AE96)</f>
        <v/>
      </c>
      <c r="AG96" s="68" t="str" cm="1">
        <f t="array" ref="AG96">CalculerNouvelleDate(Q96,AF96)</f>
        <v/>
      </c>
      <c r="AH96" s="68" t="str" cm="1">
        <f t="array" ref="AH96">CalculerNouvelleDate(R96,AG96)</f>
        <v/>
      </c>
      <c r="AI96" s="68" t="str" cm="1">
        <f t="array" ref="AI96">CalculerNouvelleDate(S96,AH96)</f>
        <v/>
      </c>
      <c r="AJ96" s="68" t="str" cm="1">
        <f t="array" ref="AJ96">CalculerNouvelleDate(T96,AI96)</f>
        <v/>
      </c>
      <c r="AK96" s="68" t="str" cm="1">
        <f t="array" ref="AK96">CalculerNouvelleDate(U96,AJ96)</f>
        <v/>
      </c>
      <c r="AL96" s="68" t="str" cm="1">
        <f t="array" ref="AL96">CalculerNouvelleDate(V96,AK96)</f>
        <v/>
      </c>
      <c r="AM96" s="83" t="str" cm="1">
        <f t="array" ref="AM96">CorrespondanceDAte(X96:AL96,D97)</f>
        <v>0</v>
      </c>
      <c r="AN96" s="1"/>
      <c r="AO96" s="1"/>
      <c r="AP96" s="1"/>
      <c r="AQ96" s="1"/>
      <c r="AR96" s="1"/>
      <c r="AS96" s="1"/>
      <c r="AT96" s="1"/>
      <c r="AU96" s="1"/>
      <c r="AV96" s="1"/>
      <c r="AW96" s="1"/>
      <c r="AX96" s="1"/>
      <c r="AY96" s="1"/>
      <c r="AZ96" s="1"/>
      <c r="BA96" s="1"/>
    </row>
    <row r="97" spans="1:53" x14ac:dyDescent="0.3">
      <c r="A97" s="21"/>
      <c r="B97" s="11">
        <v>1</v>
      </c>
      <c r="C97" s="1" t="s">
        <v>35</v>
      </c>
      <c r="D97" s="1"/>
      <c r="E97" s="1"/>
      <c r="F97" s="1"/>
      <c r="G97" s="1"/>
      <c r="H97" s="43"/>
      <c r="I97" s="1"/>
      <c r="J97" s="1"/>
      <c r="K97" s="1"/>
      <c r="L97" s="1"/>
      <c r="M97" s="1"/>
      <c r="N97" s="1"/>
      <c r="O97" s="1"/>
      <c r="P97" s="1"/>
      <c r="Q97" s="1"/>
      <c r="R97" s="1"/>
      <c r="S97" s="1"/>
      <c r="T97" s="1"/>
      <c r="U97" s="1"/>
      <c r="V97" s="1"/>
      <c r="W97" s="11"/>
      <c r="X97" s="67"/>
      <c r="Y97" s="68" t="str" cm="1">
        <f t="array" ref="Y97">CalculerNouvelleDate(I97,X97)</f>
        <v/>
      </c>
      <c r="Z97" s="68" t="str" cm="1">
        <f t="array" ref="Z97">CalculerNouvelleDate(J97,Y97)</f>
        <v/>
      </c>
      <c r="AA97" s="68" t="str" cm="1">
        <f t="array" ref="AA97">CalculerNouvelleDate(K97,Z97)</f>
        <v/>
      </c>
      <c r="AB97" s="68" t="str" cm="1">
        <f t="array" ref="AB97">CalculerNouvelleDate(L97,AA97)</f>
        <v/>
      </c>
      <c r="AC97" s="68" t="str" cm="1">
        <f t="array" ref="AC97">CalculerNouvelleDate(M97,AB97)</f>
        <v/>
      </c>
      <c r="AD97" s="68" t="str" cm="1">
        <f t="array" ref="AD97">CalculerNouvelleDate(N97,AC97)</f>
        <v/>
      </c>
      <c r="AE97" s="68" t="str" cm="1">
        <f t="array" ref="AE97">CalculerNouvelleDate(O97,AD97)</f>
        <v/>
      </c>
      <c r="AF97" s="68" t="str" cm="1">
        <f t="array" ref="AF97">CalculerNouvelleDate(P97,AE97)</f>
        <v/>
      </c>
      <c r="AG97" s="68" t="str" cm="1">
        <f t="array" ref="AG97">CalculerNouvelleDate(Q97,AF97)</f>
        <v/>
      </c>
      <c r="AH97" s="68" t="str" cm="1">
        <f t="array" ref="AH97">CalculerNouvelleDate(R97,AG97)</f>
        <v/>
      </c>
      <c r="AI97" s="68" t="str" cm="1">
        <f t="array" ref="AI97">CalculerNouvelleDate(S97,AH97)</f>
        <v/>
      </c>
      <c r="AJ97" s="68" t="str" cm="1">
        <f t="array" ref="AJ97">CalculerNouvelleDate(T97,AI97)</f>
        <v/>
      </c>
      <c r="AK97" s="68" t="str" cm="1">
        <f t="array" ref="AK97">CalculerNouvelleDate(U97,AJ97)</f>
        <v/>
      </c>
      <c r="AL97" s="68" t="str" cm="1">
        <f t="array" ref="AL97">CalculerNouvelleDate(V97,AK97)</f>
        <v/>
      </c>
      <c r="AM97" s="83" t="str" cm="1">
        <f t="array" ref="AM97">CorrespondanceDAte(X97:AL97,D98)</f>
        <v>0</v>
      </c>
      <c r="AN97" s="1"/>
      <c r="AO97" s="1"/>
      <c r="AP97" s="1"/>
      <c r="AQ97" s="1"/>
      <c r="AR97" s="1"/>
      <c r="AS97" s="1"/>
      <c r="AT97" s="1"/>
      <c r="AU97" s="1"/>
      <c r="AV97" s="1"/>
      <c r="AW97" s="1"/>
      <c r="AX97" s="1"/>
      <c r="AY97" s="1"/>
      <c r="AZ97" s="1"/>
      <c r="BA97" s="1"/>
    </row>
    <row r="98" spans="1:53" x14ac:dyDescent="0.3">
      <c r="A98" s="21"/>
      <c r="B98" s="11"/>
      <c r="C98" s="69" t="s">
        <v>531</v>
      </c>
      <c r="D98" s="1" t="s">
        <v>642</v>
      </c>
      <c r="E98" s="1"/>
      <c r="F98" s="1"/>
      <c r="G98" s="1"/>
      <c r="H98" s="43"/>
      <c r="I98" s="46"/>
      <c r="J98" s="46"/>
      <c r="K98" s="46"/>
      <c r="L98" s="46"/>
      <c r="M98" s="46"/>
      <c r="N98" s="46"/>
      <c r="O98" s="46"/>
      <c r="P98" s="46"/>
      <c r="Q98" s="46"/>
      <c r="R98" s="46"/>
      <c r="S98" s="46"/>
      <c r="T98" s="46"/>
      <c r="U98" s="46"/>
      <c r="V98" s="46"/>
      <c r="W98" s="62"/>
      <c r="X98" s="67"/>
      <c r="Y98" s="68" t="str" cm="1">
        <f t="array" ref="Y98">CalculerNouvelleDate(I98,X98)</f>
        <v/>
      </c>
      <c r="Z98" s="68" t="str" cm="1">
        <f t="array" ref="Z98">CalculerNouvelleDate(J98,Y98)</f>
        <v/>
      </c>
      <c r="AA98" s="68" t="str" cm="1">
        <f t="array" ref="AA98">CalculerNouvelleDate(K98,Z98)</f>
        <v/>
      </c>
      <c r="AB98" s="68" t="str" cm="1">
        <f t="array" ref="AB98">CalculerNouvelleDate(L98,AA98)</f>
        <v/>
      </c>
      <c r="AC98" s="68" t="str" cm="1">
        <f t="array" ref="AC98">CalculerNouvelleDate(M98,AB98)</f>
        <v/>
      </c>
      <c r="AD98" s="68" t="str" cm="1">
        <f t="array" ref="AD98">CalculerNouvelleDate(N98,AC98)</f>
        <v/>
      </c>
      <c r="AE98" s="68" t="str" cm="1">
        <f t="array" ref="AE98">CalculerNouvelleDate(O98,AD98)</f>
        <v/>
      </c>
      <c r="AF98" s="68" t="str" cm="1">
        <f t="array" ref="AF98">CalculerNouvelleDate(P98,AE98)</f>
        <v/>
      </c>
      <c r="AG98" s="68" t="str" cm="1">
        <f t="array" ref="AG98">CalculerNouvelleDate(Q98,AF98)</f>
        <v/>
      </c>
      <c r="AH98" s="68" t="str" cm="1">
        <f t="array" ref="AH98">CalculerNouvelleDate(R98,AG98)</f>
        <v/>
      </c>
      <c r="AI98" s="68" t="str" cm="1">
        <f t="array" ref="AI98">CalculerNouvelleDate(S98,AH98)</f>
        <v/>
      </c>
      <c r="AJ98" s="68" t="str" cm="1">
        <f t="array" ref="AJ98">CalculerNouvelleDate(T98,AI98)</f>
        <v/>
      </c>
      <c r="AK98" s="68" t="str" cm="1">
        <f t="array" ref="AK98">CalculerNouvelleDate(U98,AJ98)</f>
        <v/>
      </c>
      <c r="AL98" s="68" t="str" cm="1">
        <f t="array" ref="AL98">CalculerNouvelleDate(V98,AK98)</f>
        <v/>
      </c>
      <c r="AM98" s="83" t="str" cm="1">
        <f t="array" ref="AM98">CorrespondanceDAte(X98:AL98,D99)</f>
        <v>0</v>
      </c>
      <c r="AN98" s="1"/>
      <c r="AO98" s="1"/>
      <c r="AP98" s="1"/>
      <c r="AQ98" s="1"/>
      <c r="AR98" s="1"/>
      <c r="AS98" s="1"/>
      <c r="AT98" s="1"/>
      <c r="AU98" s="1"/>
      <c r="AV98" s="1"/>
      <c r="AW98" s="1"/>
      <c r="AX98" s="1"/>
      <c r="AY98" s="1"/>
      <c r="AZ98" s="1"/>
      <c r="BA98" s="1"/>
    </row>
    <row r="99" spans="1:53" x14ac:dyDescent="0.3">
      <c r="A99" s="21"/>
      <c r="B99" s="11"/>
      <c r="C99" s="69" t="s">
        <v>534</v>
      </c>
      <c r="D99" s="1" t="s">
        <v>643</v>
      </c>
      <c r="E99" s="1"/>
      <c r="F99" s="1"/>
      <c r="G99" s="1"/>
      <c r="H99" s="43"/>
      <c r="I99" s="46"/>
      <c r="J99" s="46"/>
      <c r="K99" s="46"/>
      <c r="L99" s="46"/>
      <c r="M99" s="46"/>
      <c r="N99" s="46"/>
      <c r="O99" s="46"/>
      <c r="P99" s="46"/>
      <c r="Q99" s="46"/>
      <c r="R99" s="46"/>
      <c r="S99" s="46"/>
      <c r="T99" s="46"/>
      <c r="U99" s="46"/>
      <c r="V99" s="46"/>
      <c r="W99" s="62"/>
      <c r="X99" s="67"/>
      <c r="Y99" s="68" t="str" cm="1">
        <f t="array" ref="Y99">CalculerNouvelleDate(I99,X99)</f>
        <v/>
      </c>
      <c r="Z99" s="68" t="str" cm="1">
        <f t="array" ref="Z99">CalculerNouvelleDate(J99,Y99)</f>
        <v/>
      </c>
      <c r="AA99" s="68" t="str" cm="1">
        <f t="array" ref="AA99">CalculerNouvelleDate(K99,Z99)</f>
        <v/>
      </c>
      <c r="AB99" s="68" t="str" cm="1">
        <f t="array" ref="AB99">CalculerNouvelleDate(L99,AA99)</f>
        <v/>
      </c>
      <c r="AC99" s="68" t="str" cm="1">
        <f t="array" ref="AC99">CalculerNouvelleDate(M99,AB99)</f>
        <v/>
      </c>
      <c r="AD99" s="68" t="str" cm="1">
        <f t="array" ref="AD99">CalculerNouvelleDate(N99,AC99)</f>
        <v/>
      </c>
      <c r="AE99" s="68" t="str" cm="1">
        <f t="array" ref="AE99">CalculerNouvelleDate(O99,AD99)</f>
        <v/>
      </c>
      <c r="AF99" s="68" t="str" cm="1">
        <f t="array" ref="AF99">CalculerNouvelleDate(P99,AE99)</f>
        <v/>
      </c>
      <c r="AG99" s="68" t="str" cm="1">
        <f t="array" ref="AG99">CalculerNouvelleDate(Q99,AF99)</f>
        <v/>
      </c>
      <c r="AH99" s="68" t="str" cm="1">
        <f t="array" ref="AH99">CalculerNouvelleDate(R99,AG99)</f>
        <v/>
      </c>
      <c r="AI99" s="68" t="str" cm="1">
        <f t="array" ref="AI99">CalculerNouvelleDate(S99,AH99)</f>
        <v/>
      </c>
      <c r="AJ99" s="68" t="str" cm="1">
        <f t="array" ref="AJ99">CalculerNouvelleDate(T99,AI99)</f>
        <v/>
      </c>
      <c r="AK99" s="68" t="str" cm="1">
        <f t="array" ref="AK99">CalculerNouvelleDate(U99,AJ99)</f>
        <v/>
      </c>
      <c r="AL99" s="68" t="str" cm="1">
        <f t="array" ref="AL99">CalculerNouvelleDate(V99,AK99)</f>
        <v/>
      </c>
      <c r="AM99" s="83" t="str" cm="1">
        <f t="array" ref="AM99">CorrespondanceDAte(X99:AL99,D100)</f>
        <v>0</v>
      </c>
      <c r="AN99" s="1"/>
      <c r="AO99" s="1"/>
      <c r="AP99" s="1"/>
      <c r="AQ99" s="1"/>
      <c r="AR99" s="1"/>
      <c r="AS99" s="1"/>
      <c r="AT99" s="1"/>
      <c r="AU99" s="1"/>
      <c r="AV99" s="1"/>
      <c r="AW99" s="1"/>
      <c r="AX99" s="1"/>
      <c r="AY99" s="1"/>
      <c r="AZ99" s="1"/>
      <c r="BA99" s="1"/>
    </row>
    <row r="100" spans="1:53" x14ac:dyDescent="0.3">
      <c r="A100" s="21"/>
      <c r="B100" s="11"/>
      <c r="C100" s="69" t="s">
        <v>538</v>
      </c>
      <c r="D100" s="1" t="s">
        <v>644</v>
      </c>
      <c r="E100" s="1"/>
      <c r="F100" s="1"/>
      <c r="G100" s="1"/>
      <c r="H100" s="43"/>
      <c r="I100" s="46"/>
      <c r="J100" s="46"/>
      <c r="K100" s="46"/>
      <c r="L100" s="46"/>
      <c r="M100" s="46"/>
      <c r="N100" s="46"/>
      <c r="O100" s="46"/>
      <c r="P100" s="46"/>
      <c r="Q100" s="46"/>
      <c r="R100" s="46"/>
      <c r="S100" s="46"/>
      <c r="T100" s="46"/>
      <c r="U100" s="46"/>
      <c r="V100" s="46"/>
      <c r="W100" s="62"/>
      <c r="X100" s="67"/>
      <c r="Y100" s="68" t="str" cm="1">
        <f t="array" ref="Y100">CalculerNouvelleDate(I100,X100)</f>
        <v/>
      </c>
      <c r="Z100" s="68" t="str" cm="1">
        <f t="array" ref="Z100">CalculerNouvelleDate(J100,Y100)</f>
        <v/>
      </c>
      <c r="AA100" s="68" t="str" cm="1">
        <f t="array" ref="AA100">CalculerNouvelleDate(K100,Z100)</f>
        <v/>
      </c>
      <c r="AB100" s="68" t="str" cm="1">
        <f t="array" ref="AB100">CalculerNouvelleDate(L100,AA100)</f>
        <v/>
      </c>
      <c r="AC100" s="68" t="str" cm="1">
        <f t="array" ref="AC100">CalculerNouvelleDate(M100,AB100)</f>
        <v/>
      </c>
      <c r="AD100" s="68" t="str" cm="1">
        <f t="array" ref="AD100">CalculerNouvelleDate(N100,AC100)</f>
        <v/>
      </c>
      <c r="AE100" s="68" t="str" cm="1">
        <f t="array" ref="AE100">CalculerNouvelleDate(O100,AD100)</f>
        <v/>
      </c>
      <c r="AF100" s="68" t="str" cm="1">
        <f t="array" ref="AF100">CalculerNouvelleDate(P100,AE100)</f>
        <v/>
      </c>
      <c r="AG100" s="68" t="str" cm="1">
        <f t="array" ref="AG100">CalculerNouvelleDate(Q100,AF100)</f>
        <v/>
      </c>
      <c r="AH100" s="68" t="str" cm="1">
        <f t="array" ref="AH100">CalculerNouvelleDate(R100,AG100)</f>
        <v/>
      </c>
      <c r="AI100" s="68" t="str" cm="1">
        <f t="array" ref="AI100">CalculerNouvelleDate(S100,AH100)</f>
        <v/>
      </c>
      <c r="AJ100" s="68" t="str" cm="1">
        <f t="array" ref="AJ100">CalculerNouvelleDate(T100,AI100)</f>
        <v/>
      </c>
      <c r="AK100" s="68" t="str" cm="1">
        <f t="array" ref="AK100">CalculerNouvelleDate(U100,AJ100)</f>
        <v/>
      </c>
      <c r="AL100" s="68" t="str" cm="1">
        <f t="array" ref="AL100">CalculerNouvelleDate(V100,AK100)</f>
        <v/>
      </c>
      <c r="AM100" s="83" t="str" cm="1">
        <f t="array" ref="AM100">CorrespondanceDAte(X100:AL100,D101)</f>
        <v>0</v>
      </c>
      <c r="AN100" s="1"/>
      <c r="AO100" s="1"/>
      <c r="AP100" s="1"/>
      <c r="AQ100" s="1"/>
      <c r="AR100" s="1"/>
      <c r="AS100" s="1"/>
      <c r="AT100" s="1"/>
      <c r="AU100" s="1"/>
      <c r="AV100" s="1"/>
      <c r="AW100" s="1"/>
      <c r="AX100" s="1"/>
      <c r="AY100" s="1"/>
      <c r="AZ100" s="1"/>
      <c r="BA100" s="1"/>
    </row>
    <row r="101" spans="1:53" x14ac:dyDescent="0.3">
      <c r="A101" s="21"/>
      <c r="B101" s="11"/>
      <c r="C101" s="69" t="s">
        <v>539</v>
      </c>
      <c r="D101" s="1" t="s">
        <v>645</v>
      </c>
      <c r="E101" s="1"/>
      <c r="F101" s="1"/>
      <c r="G101" s="1"/>
      <c r="H101" s="43"/>
      <c r="I101" s="46"/>
      <c r="J101" s="46"/>
      <c r="K101" s="46"/>
      <c r="L101" s="46"/>
      <c r="M101" s="46"/>
      <c r="N101" s="46"/>
      <c r="O101" s="46"/>
      <c r="P101" s="46"/>
      <c r="Q101" s="46"/>
      <c r="R101" s="46"/>
      <c r="S101" s="46"/>
      <c r="T101" s="46"/>
      <c r="U101" s="46"/>
      <c r="V101" s="46"/>
      <c r="W101" s="62"/>
      <c r="X101" s="67"/>
      <c r="Y101" s="68" t="str" cm="1">
        <f t="array" ref="Y101">CalculerNouvelleDate(I101,X101)</f>
        <v/>
      </c>
      <c r="Z101" s="68" t="str" cm="1">
        <f t="array" ref="Z101">CalculerNouvelleDate(J101,Y101)</f>
        <v/>
      </c>
      <c r="AA101" s="68" t="str" cm="1">
        <f t="array" ref="AA101">CalculerNouvelleDate(K101,Z101)</f>
        <v/>
      </c>
      <c r="AB101" s="68" t="str" cm="1">
        <f t="array" ref="AB101">CalculerNouvelleDate(L101,AA101)</f>
        <v/>
      </c>
      <c r="AC101" s="68" t="str" cm="1">
        <f t="array" ref="AC101">CalculerNouvelleDate(M101,AB101)</f>
        <v/>
      </c>
      <c r="AD101" s="68" t="str" cm="1">
        <f t="array" ref="AD101">CalculerNouvelleDate(N101,AC101)</f>
        <v/>
      </c>
      <c r="AE101" s="68" t="str" cm="1">
        <f t="array" ref="AE101">CalculerNouvelleDate(O101,AD101)</f>
        <v/>
      </c>
      <c r="AF101" s="68" t="str" cm="1">
        <f t="array" ref="AF101">CalculerNouvelleDate(P101,AE101)</f>
        <v/>
      </c>
      <c r="AG101" s="68" t="str" cm="1">
        <f t="array" ref="AG101">CalculerNouvelleDate(Q101,AF101)</f>
        <v/>
      </c>
      <c r="AH101" s="68" t="str" cm="1">
        <f t="array" ref="AH101">CalculerNouvelleDate(R101,AG101)</f>
        <v/>
      </c>
      <c r="AI101" s="68" t="str" cm="1">
        <f t="array" ref="AI101">CalculerNouvelleDate(S101,AH101)</f>
        <v/>
      </c>
      <c r="AJ101" s="68" t="str" cm="1">
        <f t="array" ref="AJ101">CalculerNouvelleDate(T101,AI101)</f>
        <v/>
      </c>
      <c r="AK101" s="68" t="str" cm="1">
        <f t="array" ref="AK101">CalculerNouvelleDate(U101,AJ101)</f>
        <v/>
      </c>
      <c r="AL101" s="68" t="str" cm="1">
        <f t="array" ref="AL101">CalculerNouvelleDate(V101,AK101)</f>
        <v/>
      </c>
      <c r="AM101" s="83" t="str" cm="1">
        <f t="array" ref="AM101">CorrespondanceDAte(X101:AL101,D102)</f>
        <v>0</v>
      </c>
      <c r="AN101" s="1"/>
      <c r="AO101" s="1"/>
      <c r="AP101" s="1"/>
      <c r="AQ101" s="1"/>
      <c r="AR101" s="1"/>
      <c r="AS101" s="1"/>
      <c r="AT101" s="1"/>
      <c r="AU101" s="1"/>
      <c r="AV101" s="1"/>
      <c r="AW101" s="1"/>
      <c r="AX101" s="1"/>
      <c r="AY101" s="1"/>
      <c r="AZ101" s="1"/>
      <c r="BA101" s="1"/>
    </row>
    <row r="102" spans="1:53" x14ac:dyDescent="0.3">
      <c r="A102" s="21"/>
      <c r="B102" s="11"/>
      <c r="C102" s="69" t="s">
        <v>540</v>
      </c>
      <c r="D102" s="1" t="s">
        <v>646</v>
      </c>
      <c r="E102" s="1"/>
      <c r="F102" s="1"/>
      <c r="G102" s="1"/>
      <c r="H102" s="43"/>
      <c r="I102" s="46"/>
      <c r="J102" s="46"/>
      <c r="K102" s="46"/>
      <c r="L102" s="46"/>
      <c r="M102" s="46"/>
      <c r="N102" s="46"/>
      <c r="O102" s="46"/>
      <c r="P102" s="46"/>
      <c r="Q102" s="46"/>
      <c r="R102" s="46"/>
      <c r="S102" s="46"/>
      <c r="T102" s="46"/>
      <c r="U102" s="46"/>
      <c r="V102" s="46"/>
      <c r="W102" s="62"/>
      <c r="X102" s="67"/>
      <c r="Y102" s="68" t="str" cm="1">
        <f t="array" ref="Y102">CalculerNouvelleDate(I102,X102)</f>
        <v/>
      </c>
      <c r="Z102" s="68" t="str" cm="1">
        <f t="array" ref="Z102">CalculerNouvelleDate(J102,Y102)</f>
        <v/>
      </c>
      <c r="AA102" s="68" t="str" cm="1">
        <f t="array" ref="AA102">CalculerNouvelleDate(K102,Z102)</f>
        <v/>
      </c>
      <c r="AB102" s="68" t="str" cm="1">
        <f t="array" ref="AB102">CalculerNouvelleDate(L102,AA102)</f>
        <v/>
      </c>
      <c r="AC102" s="68" t="str" cm="1">
        <f t="array" ref="AC102">CalculerNouvelleDate(M102,AB102)</f>
        <v/>
      </c>
      <c r="AD102" s="68" t="str" cm="1">
        <f t="array" ref="AD102">CalculerNouvelleDate(N102,AC102)</f>
        <v/>
      </c>
      <c r="AE102" s="68" t="str" cm="1">
        <f t="array" ref="AE102">CalculerNouvelleDate(O102,AD102)</f>
        <v/>
      </c>
      <c r="AF102" s="68" t="str" cm="1">
        <f t="array" ref="AF102">CalculerNouvelleDate(P102,AE102)</f>
        <v/>
      </c>
      <c r="AG102" s="68" t="str" cm="1">
        <f t="array" ref="AG102">CalculerNouvelleDate(Q102,AF102)</f>
        <v/>
      </c>
      <c r="AH102" s="68" t="str" cm="1">
        <f t="array" ref="AH102">CalculerNouvelleDate(R102,AG102)</f>
        <v/>
      </c>
      <c r="AI102" s="68" t="str" cm="1">
        <f t="array" ref="AI102">CalculerNouvelleDate(S102,AH102)</f>
        <v/>
      </c>
      <c r="AJ102" s="68" t="str" cm="1">
        <f t="array" ref="AJ102">CalculerNouvelleDate(T102,AI102)</f>
        <v/>
      </c>
      <c r="AK102" s="68" t="str" cm="1">
        <f t="array" ref="AK102">CalculerNouvelleDate(U102,AJ102)</f>
        <v/>
      </c>
      <c r="AL102" s="68" t="str" cm="1">
        <f t="array" ref="AL102">CalculerNouvelleDate(V102,AK102)</f>
        <v/>
      </c>
      <c r="AM102" s="83" t="str" cm="1">
        <f t="array" ref="AM102">CorrespondanceDAte(X102:AL102,D103)</f>
        <v>0</v>
      </c>
      <c r="AN102" s="1"/>
      <c r="AO102" s="1"/>
      <c r="AP102" s="1"/>
      <c r="AQ102" s="1"/>
      <c r="AR102" s="1"/>
      <c r="AS102" s="1"/>
      <c r="AT102" s="1"/>
      <c r="AU102" s="1"/>
      <c r="AV102" s="1"/>
      <c r="AW102" s="1"/>
      <c r="AX102" s="1"/>
      <c r="AY102" s="1"/>
      <c r="AZ102" s="1"/>
      <c r="BA102" s="1"/>
    </row>
    <row r="103" spans="1:53" x14ac:dyDescent="0.3">
      <c r="A103" s="21"/>
      <c r="B103" s="11"/>
      <c r="C103" s="69" t="s">
        <v>637</v>
      </c>
      <c r="D103" s="1" t="s">
        <v>647</v>
      </c>
      <c r="E103" s="1"/>
      <c r="F103" s="1"/>
      <c r="G103" s="1"/>
      <c r="H103" s="43"/>
      <c r="I103" s="46"/>
      <c r="J103" s="46"/>
      <c r="K103" s="46"/>
      <c r="L103" s="46"/>
      <c r="M103" s="46"/>
      <c r="N103" s="46"/>
      <c r="O103" s="46"/>
      <c r="P103" s="46"/>
      <c r="Q103" s="46"/>
      <c r="R103" s="46"/>
      <c r="S103" s="46"/>
      <c r="T103" s="46"/>
      <c r="U103" s="46"/>
      <c r="V103" s="46"/>
      <c r="W103" s="62"/>
      <c r="X103" s="67"/>
      <c r="Y103" s="68" t="str" cm="1">
        <f t="array" ref="Y103">CalculerNouvelleDate(I103,X103)</f>
        <v/>
      </c>
      <c r="Z103" s="68" t="str" cm="1">
        <f t="array" ref="Z103">CalculerNouvelleDate(J103,Y103)</f>
        <v/>
      </c>
      <c r="AA103" s="68" t="str" cm="1">
        <f t="array" ref="AA103">CalculerNouvelleDate(K103,Z103)</f>
        <v/>
      </c>
      <c r="AB103" s="68" t="str" cm="1">
        <f t="array" ref="AB103">CalculerNouvelleDate(L103,AA103)</f>
        <v/>
      </c>
      <c r="AC103" s="68" t="str" cm="1">
        <f t="array" ref="AC103">CalculerNouvelleDate(M103,AB103)</f>
        <v/>
      </c>
      <c r="AD103" s="68" t="str" cm="1">
        <f t="array" ref="AD103">CalculerNouvelleDate(N103,AC103)</f>
        <v/>
      </c>
      <c r="AE103" s="68" t="str" cm="1">
        <f t="array" ref="AE103">CalculerNouvelleDate(O103,AD103)</f>
        <v/>
      </c>
      <c r="AF103" s="68" t="str" cm="1">
        <f t="array" ref="AF103">CalculerNouvelleDate(P103,AE103)</f>
        <v/>
      </c>
      <c r="AG103" s="68" t="str" cm="1">
        <f t="array" ref="AG103">CalculerNouvelleDate(Q103,AF103)</f>
        <v/>
      </c>
      <c r="AH103" s="68" t="str" cm="1">
        <f t="array" ref="AH103">CalculerNouvelleDate(R103,AG103)</f>
        <v/>
      </c>
      <c r="AI103" s="68" t="str" cm="1">
        <f t="array" ref="AI103">CalculerNouvelleDate(S103,AH103)</f>
        <v/>
      </c>
      <c r="AJ103" s="68" t="str" cm="1">
        <f t="array" ref="AJ103">CalculerNouvelleDate(T103,AI103)</f>
        <v/>
      </c>
      <c r="AK103" s="68" t="str" cm="1">
        <f t="array" ref="AK103">CalculerNouvelleDate(U103,AJ103)</f>
        <v/>
      </c>
      <c r="AL103" s="68" t="str" cm="1">
        <f t="array" ref="AL103">CalculerNouvelleDate(V103,AK103)</f>
        <v/>
      </c>
      <c r="AM103" s="83" t="str" cm="1">
        <f t="array" ref="AM103">CorrespondanceDAte(X103:AL103,D104)</f>
        <v>0</v>
      </c>
      <c r="AN103" s="1"/>
      <c r="AO103" s="1"/>
      <c r="AP103" s="1"/>
      <c r="AQ103" s="1"/>
      <c r="AR103" s="1"/>
      <c r="AS103" s="1"/>
      <c r="AT103" s="1"/>
      <c r="AU103" s="1"/>
      <c r="AV103" s="1"/>
      <c r="AW103" s="1"/>
      <c r="AX103" s="1"/>
      <c r="AY103" s="1"/>
      <c r="AZ103" s="1"/>
      <c r="BA103" s="1"/>
    </row>
    <row r="104" spans="1:53" x14ac:dyDescent="0.3">
      <c r="A104" s="21"/>
      <c r="B104" s="11"/>
      <c r="C104" s="69" t="s">
        <v>638</v>
      </c>
      <c r="D104" s="1" t="s">
        <v>648</v>
      </c>
      <c r="E104" s="1"/>
      <c r="F104" s="1"/>
      <c r="G104" s="1"/>
      <c r="H104" s="43"/>
      <c r="I104" s="46"/>
      <c r="J104" s="46"/>
      <c r="K104" s="46"/>
      <c r="L104" s="46"/>
      <c r="M104" s="46"/>
      <c r="N104" s="46"/>
      <c r="O104" s="46"/>
      <c r="P104" s="46"/>
      <c r="Q104" s="46"/>
      <c r="R104" s="46"/>
      <c r="S104" s="46"/>
      <c r="T104" s="46"/>
      <c r="U104" s="46"/>
      <c r="V104" s="46"/>
      <c r="W104" s="62"/>
      <c r="X104" s="67"/>
      <c r="Y104" s="68" t="str" cm="1">
        <f t="array" ref="Y104">CalculerNouvelleDate(I104,X104)</f>
        <v/>
      </c>
      <c r="Z104" s="68" t="str" cm="1">
        <f t="array" ref="Z104">CalculerNouvelleDate(J104,Y104)</f>
        <v/>
      </c>
      <c r="AA104" s="68" t="str" cm="1">
        <f t="array" ref="AA104">CalculerNouvelleDate(K104,Z104)</f>
        <v/>
      </c>
      <c r="AB104" s="68" t="str" cm="1">
        <f t="array" ref="AB104">CalculerNouvelleDate(L104,AA104)</f>
        <v/>
      </c>
      <c r="AC104" s="68" t="str" cm="1">
        <f t="array" ref="AC104">CalculerNouvelleDate(M104,AB104)</f>
        <v/>
      </c>
      <c r="AD104" s="68" t="str" cm="1">
        <f t="array" ref="AD104">CalculerNouvelleDate(N104,AC104)</f>
        <v/>
      </c>
      <c r="AE104" s="68" t="str" cm="1">
        <f t="array" ref="AE104">CalculerNouvelleDate(O104,AD104)</f>
        <v/>
      </c>
      <c r="AF104" s="68" t="str" cm="1">
        <f t="array" ref="AF104">CalculerNouvelleDate(P104,AE104)</f>
        <v/>
      </c>
      <c r="AG104" s="68" t="str" cm="1">
        <f t="array" ref="AG104">CalculerNouvelleDate(Q104,AF104)</f>
        <v/>
      </c>
      <c r="AH104" s="68" t="str" cm="1">
        <f t="array" ref="AH104">CalculerNouvelleDate(R104,AG104)</f>
        <v/>
      </c>
      <c r="AI104" s="68" t="str" cm="1">
        <f t="array" ref="AI104">CalculerNouvelleDate(S104,AH104)</f>
        <v/>
      </c>
      <c r="AJ104" s="68" t="str" cm="1">
        <f t="array" ref="AJ104">CalculerNouvelleDate(T104,AI104)</f>
        <v/>
      </c>
      <c r="AK104" s="68" t="str" cm="1">
        <f t="array" ref="AK104">CalculerNouvelleDate(U104,AJ104)</f>
        <v/>
      </c>
      <c r="AL104" s="68" t="str" cm="1">
        <f t="array" ref="AL104">CalculerNouvelleDate(V104,AK104)</f>
        <v/>
      </c>
      <c r="AM104" s="83" t="str" cm="1">
        <f t="array" ref="AM104">CorrespondanceDAte(X104:AL104,D105)</f>
        <v>0</v>
      </c>
      <c r="AN104" s="1"/>
      <c r="AO104" s="1"/>
      <c r="AP104" s="1"/>
      <c r="AQ104" s="1"/>
      <c r="AR104" s="1"/>
      <c r="AS104" s="1"/>
      <c r="AT104" s="1"/>
      <c r="AU104" s="1"/>
      <c r="AV104" s="1"/>
      <c r="AW104" s="1"/>
      <c r="AX104" s="1"/>
      <c r="AY104" s="1"/>
      <c r="AZ104" s="1"/>
      <c r="BA104" s="1"/>
    </row>
    <row r="105" spans="1:53" x14ac:dyDescent="0.3">
      <c r="A105" s="21"/>
      <c r="B105" s="11"/>
      <c r="C105" s="69" t="s">
        <v>639</v>
      </c>
      <c r="D105" s="1" t="s">
        <v>649</v>
      </c>
      <c r="E105" s="1"/>
      <c r="F105" s="1"/>
      <c r="G105" s="1"/>
      <c r="H105" s="43"/>
      <c r="I105" s="46"/>
      <c r="J105" s="46"/>
      <c r="K105" s="46"/>
      <c r="L105" s="46"/>
      <c r="M105" s="46"/>
      <c r="N105" s="46"/>
      <c r="O105" s="46"/>
      <c r="P105" s="46"/>
      <c r="Q105" s="46"/>
      <c r="R105" s="46"/>
      <c r="S105" s="46"/>
      <c r="T105" s="46"/>
      <c r="U105" s="46"/>
      <c r="V105" s="46"/>
      <c r="W105" s="62"/>
      <c r="X105" s="67"/>
      <c r="Y105" s="68" t="str" cm="1">
        <f t="array" ref="Y105">CalculerNouvelleDate(I105,X105)</f>
        <v/>
      </c>
      <c r="Z105" s="68" t="str" cm="1">
        <f t="array" ref="Z105">CalculerNouvelleDate(J105,Y105)</f>
        <v/>
      </c>
      <c r="AA105" s="68" t="str" cm="1">
        <f t="array" ref="AA105">CalculerNouvelleDate(K105,Z105)</f>
        <v/>
      </c>
      <c r="AB105" s="68" t="str" cm="1">
        <f t="array" ref="AB105">CalculerNouvelleDate(L105,AA105)</f>
        <v/>
      </c>
      <c r="AC105" s="68" t="str" cm="1">
        <f t="array" ref="AC105">CalculerNouvelleDate(M105,AB105)</f>
        <v/>
      </c>
      <c r="AD105" s="68" t="str" cm="1">
        <f t="array" ref="AD105">CalculerNouvelleDate(N105,AC105)</f>
        <v/>
      </c>
      <c r="AE105" s="68" t="str" cm="1">
        <f t="array" ref="AE105">CalculerNouvelleDate(O105,AD105)</f>
        <v/>
      </c>
      <c r="AF105" s="68" t="str" cm="1">
        <f t="array" ref="AF105">CalculerNouvelleDate(P105,AE105)</f>
        <v/>
      </c>
      <c r="AG105" s="68" t="str" cm="1">
        <f t="array" ref="AG105">CalculerNouvelleDate(Q105,AF105)</f>
        <v/>
      </c>
      <c r="AH105" s="68" t="str" cm="1">
        <f t="array" ref="AH105">CalculerNouvelleDate(R105,AG105)</f>
        <v/>
      </c>
      <c r="AI105" s="68" t="str" cm="1">
        <f t="array" ref="AI105">CalculerNouvelleDate(S105,AH105)</f>
        <v/>
      </c>
      <c r="AJ105" s="68" t="str" cm="1">
        <f t="array" ref="AJ105">CalculerNouvelleDate(T105,AI105)</f>
        <v/>
      </c>
      <c r="AK105" s="68" t="str" cm="1">
        <f t="array" ref="AK105">CalculerNouvelleDate(U105,AJ105)</f>
        <v/>
      </c>
      <c r="AL105" s="68" t="str" cm="1">
        <f t="array" ref="AL105">CalculerNouvelleDate(V105,AK105)</f>
        <v/>
      </c>
      <c r="AM105" s="83" t="str" cm="1">
        <f t="array" ref="AM105">CorrespondanceDAte(X105:AL105,D106)</f>
        <v>0</v>
      </c>
      <c r="AN105" s="1"/>
      <c r="AO105" s="1"/>
      <c r="AP105" s="1"/>
      <c r="AQ105" s="1"/>
      <c r="AR105" s="1"/>
      <c r="AS105" s="1"/>
      <c r="AT105" s="1"/>
      <c r="AU105" s="1"/>
      <c r="AV105" s="1"/>
      <c r="AW105" s="1"/>
      <c r="AX105" s="1"/>
      <c r="AY105" s="1"/>
      <c r="AZ105" s="1"/>
      <c r="BA105" s="1"/>
    </row>
    <row r="106" spans="1:53" x14ac:dyDescent="0.3">
      <c r="A106" s="21"/>
      <c r="B106" s="11"/>
      <c r="C106" s="69" t="s">
        <v>640</v>
      </c>
      <c r="D106" s="1" t="s">
        <v>650</v>
      </c>
      <c r="E106" s="1"/>
      <c r="F106" s="1"/>
      <c r="G106" s="1"/>
      <c r="H106" s="43"/>
      <c r="I106" s="46"/>
      <c r="J106" s="46"/>
      <c r="K106" s="46"/>
      <c r="L106" s="46"/>
      <c r="M106" s="46"/>
      <c r="N106" s="46"/>
      <c r="O106" s="46"/>
      <c r="P106" s="46"/>
      <c r="Q106" s="46"/>
      <c r="R106" s="46"/>
      <c r="S106" s="46"/>
      <c r="T106" s="46"/>
      <c r="U106" s="46"/>
      <c r="V106" s="46"/>
      <c r="W106" s="62"/>
      <c r="X106" s="67"/>
      <c r="Y106" s="68" t="str" cm="1">
        <f t="array" ref="Y106">CalculerNouvelleDate(I106,X106)</f>
        <v/>
      </c>
      <c r="Z106" s="68" t="str" cm="1">
        <f t="array" ref="Z106">CalculerNouvelleDate(J106,Y106)</f>
        <v/>
      </c>
      <c r="AA106" s="68" t="str" cm="1">
        <f t="array" ref="AA106">CalculerNouvelleDate(K106,Z106)</f>
        <v/>
      </c>
      <c r="AB106" s="68" t="str" cm="1">
        <f t="array" ref="AB106">CalculerNouvelleDate(L106,AA106)</f>
        <v/>
      </c>
      <c r="AC106" s="68" t="str" cm="1">
        <f t="array" ref="AC106">CalculerNouvelleDate(M106,AB106)</f>
        <v/>
      </c>
      <c r="AD106" s="68" t="str" cm="1">
        <f t="array" ref="AD106">CalculerNouvelleDate(N106,AC106)</f>
        <v/>
      </c>
      <c r="AE106" s="68" t="str" cm="1">
        <f t="array" ref="AE106">CalculerNouvelleDate(O106,AD106)</f>
        <v/>
      </c>
      <c r="AF106" s="68" t="str" cm="1">
        <f t="array" ref="AF106">CalculerNouvelleDate(P106,AE106)</f>
        <v/>
      </c>
      <c r="AG106" s="68" t="str" cm="1">
        <f t="array" ref="AG106">CalculerNouvelleDate(Q106,AF106)</f>
        <v/>
      </c>
      <c r="AH106" s="68" t="str" cm="1">
        <f t="array" ref="AH106">CalculerNouvelleDate(R106,AG106)</f>
        <v/>
      </c>
      <c r="AI106" s="68" t="str" cm="1">
        <f t="array" ref="AI106">CalculerNouvelleDate(S106,AH106)</f>
        <v/>
      </c>
      <c r="AJ106" s="68" t="str" cm="1">
        <f t="array" ref="AJ106">CalculerNouvelleDate(T106,AI106)</f>
        <v/>
      </c>
      <c r="AK106" s="68" t="str" cm="1">
        <f t="array" ref="AK106">CalculerNouvelleDate(U106,AJ106)</f>
        <v/>
      </c>
      <c r="AL106" s="68" t="str" cm="1">
        <f t="array" ref="AL106">CalculerNouvelleDate(V106,AK106)</f>
        <v/>
      </c>
      <c r="AM106" s="83" t="str" cm="1">
        <f t="array" ref="AM106">CorrespondanceDAte(X106:AL106,D107)</f>
        <v>0</v>
      </c>
      <c r="AN106" s="1"/>
      <c r="AO106" s="1"/>
      <c r="AP106" s="1"/>
      <c r="AQ106" s="1"/>
      <c r="AR106" s="1"/>
      <c r="AS106" s="1"/>
      <c r="AT106" s="1"/>
      <c r="AU106" s="1"/>
      <c r="AV106" s="1"/>
      <c r="AW106" s="1"/>
      <c r="AX106" s="1"/>
      <c r="AY106" s="1"/>
      <c r="AZ106" s="1"/>
      <c r="BA106" s="1"/>
    </row>
    <row r="107" spans="1:53" x14ac:dyDescent="0.3">
      <c r="A107" s="21"/>
      <c r="B107" s="11"/>
      <c r="C107" s="69" t="s">
        <v>641</v>
      </c>
      <c r="D107" s="1" t="s">
        <v>651</v>
      </c>
      <c r="E107" s="1"/>
      <c r="F107" s="1"/>
      <c r="G107" s="1"/>
      <c r="H107" s="43"/>
      <c r="I107" s="46"/>
      <c r="J107" s="46"/>
      <c r="K107" s="46"/>
      <c r="L107" s="46"/>
      <c r="M107" s="46"/>
      <c r="N107" s="46"/>
      <c r="O107" s="46"/>
      <c r="P107" s="46"/>
      <c r="Q107" s="46"/>
      <c r="R107" s="46"/>
      <c r="S107" s="46"/>
      <c r="T107" s="46"/>
      <c r="U107" s="46"/>
      <c r="V107" s="46"/>
      <c r="W107" s="62"/>
      <c r="X107" s="67"/>
      <c r="Y107" s="68" t="str" cm="1">
        <f t="array" ref="Y107">CalculerNouvelleDate(I107,X107)</f>
        <v/>
      </c>
      <c r="Z107" s="68" t="str" cm="1">
        <f t="array" ref="Z107">CalculerNouvelleDate(J107,Y107)</f>
        <v/>
      </c>
      <c r="AA107" s="68" t="str" cm="1">
        <f t="array" ref="AA107">CalculerNouvelleDate(K107,Z107)</f>
        <v/>
      </c>
      <c r="AB107" s="68" t="str" cm="1">
        <f t="array" ref="AB107">CalculerNouvelleDate(L107,AA107)</f>
        <v/>
      </c>
      <c r="AC107" s="68" t="str" cm="1">
        <f t="array" ref="AC107">CalculerNouvelleDate(M107,AB107)</f>
        <v/>
      </c>
      <c r="AD107" s="68" t="str" cm="1">
        <f t="array" ref="AD107">CalculerNouvelleDate(N107,AC107)</f>
        <v/>
      </c>
      <c r="AE107" s="68" t="str" cm="1">
        <f t="array" ref="AE107">CalculerNouvelleDate(O107,AD107)</f>
        <v/>
      </c>
      <c r="AF107" s="68" t="str" cm="1">
        <f t="array" ref="AF107">CalculerNouvelleDate(P107,AE107)</f>
        <v/>
      </c>
      <c r="AG107" s="68" t="str" cm="1">
        <f t="array" ref="AG107">CalculerNouvelleDate(Q107,AF107)</f>
        <v/>
      </c>
      <c r="AH107" s="68" t="str" cm="1">
        <f t="array" ref="AH107">CalculerNouvelleDate(R107,AG107)</f>
        <v/>
      </c>
      <c r="AI107" s="68" t="str" cm="1">
        <f t="array" ref="AI107">CalculerNouvelleDate(S107,AH107)</f>
        <v/>
      </c>
      <c r="AJ107" s="68" t="str" cm="1">
        <f t="array" ref="AJ107">CalculerNouvelleDate(T107,AI107)</f>
        <v/>
      </c>
      <c r="AK107" s="68" t="str" cm="1">
        <f t="array" ref="AK107">CalculerNouvelleDate(U107,AJ107)</f>
        <v/>
      </c>
      <c r="AL107" s="68" t="str" cm="1">
        <f t="array" ref="AL107">CalculerNouvelleDate(V107,AK107)</f>
        <v/>
      </c>
      <c r="AM107" s="83" t="str" cm="1">
        <f t="array" ref="AM107">CorrespondanceDAte(X107:AL107,D108)</f>
        <v>0</v>
      </c>
      <c r="AN107" s="1"/>
      <c r="AO107" s="1"/>
      <c r="AP107" s="1"/>
      <c r="AQ107" s="1"/>
      <c r="AR107" s="1"/>
      <c r="AS107" s="1"/>
      <c r="AT107" s="1"/>
      <c r="AU107" s="1"/>
      <c r="AV107" s="1"/>
      <c r="AW107" s="1"/>
      <c r="AX107" s="1"/>
      <c r="AY107" s="1"/>
      <c r="AZ107" s="1"/>
      <c r="BA107" s="1"/>
    </row>
    <row r="108" spans="1:53" x14ac:dyDescent="0.3">
      <c r="A108" s="21"/>
      <c r="B108" s="11"/>
      <c r="C108" s="1" t="s">
        <v>636</v>
      </c>
      <c r="D108" s="1" t="s">
        <v>652</v>
      </c>
      <c r="E108" s="1"/>
      <c r="F108" s="1"/>
      <c r="G108" s="1"/>
      <c r="H108" s="43"/>
      <c r="I108" s="46"/>
      <c r="J108" s="46"/>
      <c r="K108" s="46"/>
      <c r="L108" s="46"/>
      <c r="M108" s="46"/>
      <c r="N108" s="46"/>
      <c r="O108" s="46"/>
      <c r="P108" s="46"/>
      <c r="Q108" s="46"/>
      <c r="R108" s="46"/>
      <c r="S108" s="46"/>
      <c r="T108" s="46"/>
      <c r="U108" s="46"/>
      <c r="V108" s="46"/>
      <c r="W108" s="62"/>
      <c r="X108" s="67"/>
      <c r="Y108" s="68" t="str" cm="1">
        <f t="array" ref="Y108">CalculerNouvelleDate(I108,X108)</f>
        <v/>
      </c>
      <c r="Z108" s="68" t="str" cm="1">
        <f t="array" ref="Z108">CalculerNouvelleDate(J108,Y108)</f>
        <v/>
      </c>
      <c r="AA108" s="68" t="str" cm="1">
        <f t="array" ref="AA108">CalculerNouvelleDate(K108,Z108)</f>
        <v/>
      </c>
      <c r="AB108" s="68" t="str" cm="1">
        <f t="array" ref="AB108">CalculerNouvelleDate(L108,AA108)</f>
        <v/>
      </c>
      <c r="AC108" s="68" t="str" cm="1">
        <f t="array" ref="AC108">CalculerNouvelleDate(M108,AB108)</f>
        <v/>
      </c>
      <c r="AD108" s="68" t="str" cm="1">
        <f t="array" ref="AD108">CalculerNouvelleDate(N108,AC108)</f>
        <v/>
      </c>
      <c r="AE108" s="68" t="str" cm="1">
        <f t="array" ref="AE108">CalculerNouvelleDate(O108,AD108)</f>
        <v/>
      </c>
      <c r="AF108" s="68" t="str" cm="1">
        <f t="array" ref="AF108">CalculerNouvelleDate(P108,AE108)</f>
        <v/>
      </c>
      <c r="AG108" s="68" t="str" cm="1">
        <f t="array" ref="AG108">CalculerNouvelleDate(Q108,AF108)</f>
        <v/>
      </c>
      <c r="AH108" s="68" t="str" cm="1">
        <f t="array" ref="AH108">CalculerNouvelleDate(R108,AG108)</f>
        <v/>
      </c>
      <c r="AI108" s="68" t="str" cm="1">
        <f t="array" ref="AI108">CalculerNouvelleDate(S108,AH108)</f>
        <v/>
      </c>
      <c r="AJ108" s="68" t="str" cm="1">
        <f t="array" ref="AJ108">CalculerNouvelleDate(T108,AI108)</f>
        <v/>
      </c>
      <c r="AK108" s="68" t="str" cm="1">
        <f t="array" ref="AK108">CalculerNouvelleDate(U108,AJ108)</f>
        <v/>
      </c>
      <c r="AL108" s="68" t="str" cm="1">
        <f t="array" ref="AL108">CalculerNouvelleDate(V108,AK108)</f>
        <v/>
      </c>
      <c r="AM108" s="83" t="str" cm="1">
        <f t="array" ref="AM108">CorrespondanceDAte(X108:AL108,D109)</f>
        <v>0</v>
      </c>
      <c r="AN108" s="1"/>
      <c r="AO108" s="1"/>
      <c r="AP108" s="1"/>
      <c r="AQ108" s="1"/>
      <c r="AR108" s="1"/>
      <c r="AS108" s="1"/>
      <c r="AT108" s="1"/>
      <c r="AU108" s="1"/>
      <c r="AV108" s="1"/>
      <c r="AW108" s="1"/>
      <c r="AX108" s="1"/>
      <c r="AY108" s="1"/>
      <c r="AZ108" s="1"/>
      <c r="BA108" s="1"/>
    </row>
    <row r="109" spans="1:53" x14ac:dyDescent="0.3">
      <c r="A109" s="1"/>
      <c r="B109" s="11">
        <v>2</v>
      </c>
      <c r="C109" s="1" t="s">
        <v>36</v>
      </c>
      <c r="D109" s="1"/>
      <c r="E109" s="1"/>
      <c r="F109" s="1"/>
      <c r="G109" s="1"/>
      <c r="H109" s="43"/>
      <c r="I109" s="1"/>
      <c r="J109" s="1"/>
      <c r="K109" s="1"/>
      <c r="L109" s="1"/>
      <c r="M109" s="1"/>
      <c r="N109" s="1"/>
      <c r="O109" s="1"/>
      <c r="P109" s="1"/>
      <c r="Q109" s="1"/>
      <c r="R109" s="1"/>
      <c r="S109" s="1"/>
      <c r="T109" s="1"/>
      <c r="U109" s="1"/>
      <c r="V109" s="1"/>
      <c r="W109" s="11"/>
      <c r="X109" s="67"/>
      <c r="Y109" s="68" t="str" cm="1">
        <f t="array" ref="Y109">CalculerNouvelleDate(I109,X109)</f>
        <v/>
      </c>
      <c r="Z109" s="68" t="str" cm="1">
        <f t="array" ref="Z109">CalculerNouvelleDate(J109,Y109)</f>
        <v/>
      </c>
      <c r="AA109" s="68" t="str" cm="1">
        <f t="array" ref="AA109">CalculerNouvelleDate(K109,Z109)</f>
        <v/>
      </c>
      <c r="AB109" s="68" t="str" cm="1">
        <f t="array" ref="AB109">CalculerNouvelleDate(L109,AA109)</f>
        <v/>
      </c>
      <c r="AC109" s="68" t="str" cm="1">
        <f t="array" ref="AC109">CalculerNouvelleDate(M109,AB109)</f>
        <v/>
      </c>
      <c r="AD109" s="68" t="str" cm="1">
        <f t="array" ref="AD109">CalculerNouvelleDate(N109,AC109)</f>
        <v/>
      </c>
      <c r="AE109" s="68" t="str" cm="1">
        <f t="array" ref="AE109">CalculerNouvelleDate(O109,AD109)</f>
        <v/>
      </c>
      <c r="AF109" s="68" t="str" cm="1">
        <f t="array" ref="AF109">CalculerNouvelleDate(P109,AE109)</f>
        <v/>
      </c>
      <c r="AG109" s="68" t="str" cm="1">
        <f t="array" ref="AG109">CalculerNouvelleDate(Q109,AF109)</f>
        <v/>
      </c>
      <c r="AH109" s="68" t="str" cm="1">
        <f t="array" ref="AH109">CalculerNouvelleDate(R109,AG109)</f>
        <v/>
      </c>
      <c r="AI109" s="68" t="str" cm="1">
        <f t="array" ref="AI109">CalculerNouvelleDate(S109,AH109)</f>
        <v/>
      </c>
      <c r="AJ109" s="68" t="str" cm="1">
        <f t="array" ref="AJ109">CalculerNouvelleDate(T109,AI109)</f>
        <v/>
      </c>
      <c r="AK109" s="68" t="str" cm="1">
        <f t="array" ref="AK109">CalculerNouvelleDate(U109,AJ109)</f>
        <v/>
      </c>
      <c r="AL109" s="68" t="str" cm="1">
        <f t="array" ref="AL109">CalculerNouvelleDate(V109,AK109)</f>
        <v/>
      </c>
      <c r="AM109" s="83" t="str" cm="1">
        <f t="array" ref="AM109">CorrespondanceDAte(X109:AL109,D110)</f>
        <v>0</v>
      </c>
      <c r="AN109" s="1"/>
      <c r="AO109" s="1"/>
      <c r="AP109" s="1"/>
      <c r="AQ109" s="1"/>
      <c r="AR109" s="1"/>
      <c r="AS109" s="1"/>
      <c r="AT109" s="1"/>
      <c r="AU109" s="1"/>
      <c r="AV109" s="1"/>
      <c r="AW109" s="1"/>
      <c r="AX109" s="1"/>
      <c r="AY109" s="1"/>
      <c r="AZ109" s="1"/>
      <c r="BA109" s="1"/>
    </row>
    <row r="110" spans="1:53" x14ac:dyDescent="0.3">
      <c r="A110" s="1"/>
      <c r="B110" s="11"/>
      <c r="C110" s="69" t="s">
        <v>533</v>
      </c>
      <c r="D110" s="1" t="s">
        <v>661</v>
      </c>
      <c r="E110" s="1"/>
      <c r="F110" s="1"/>
      <c r="G110" s="1"/>
      <c r="H110" s="43"/>
      <c r="I110" s="46"/>
      <c r="J110" s="46"/>
      <c r="K110" s="46"/>
      <c r="L110" s="46"/>
      <c r="M110" s="46"/>
      <c r="N110" s="46"/>
      <c r="O110" s="46"/>
      <c r="P110" s="46"/>
      <c r="Q110" s="46"/>
      <c r="R110" s="46"/>
      <c r="S110" s="46"/>
      <c r="T110" s="46"/>
      <c r="U110" s="46"/>
      <c r="V110" s="46"/>
      <c r="W110" s="62"/>
      <c r="X110" s="67"/>
      <c r="Y110" s="68" t="str" cm="1">
        <f t="array" ref="Y110">CalculerNouvelleDate(I110,X110)</f>
        <v/>
      </c>
      <c r="Z110" s="68" t="str" cm="1">
        <f t="array" ref="Z110">CalculerNouvelleDate(J110,Y110)</f>
        <v/>
      </c>
      <c r="AA110" s="68" t="str" cm="1">
        <f t="array" ref="AA110">CalculerNouvelleDate(K110,Z110)</f>
        <v/>
      </c>
      <c r="AB110" s="68" t="str" cm="1">
        <f t="array" ref="AB110">CalculerNouvelleDate(L110,AA110)</f>
        <v/>
      </c>
      <c r="AC110" s="68" t="str" cm="1">
        <f t="array" ref="AC110">CalculerNouvelleDate(M110,AB110)</f>
        <v/>
      </c>
      <c r="AD110" s="68" t="str" cm="1">
        <f t="array" ref="AD110">CalculerNouvelleDate(N110,AC110)</f>
        <v/>
      </c>
      <c r="AE110" s="68" t="str" cm="1">
        <f t="array" ref="AE110">CalculerNouvelleDate(O110,AD110)</f>
        <v/>
      </c>
      <c r="AF110" s="68" t="str" cm="1">
        <f t="array" ref="AF110">CalculerNouvelleDate(P110,AE110)</f>
        <v/>
      </c>
      <c r="AG110" s="68" t="str" cm="1">
        <f t="array" ref="AG110">CalculerNouvelleDate(Q110,AF110)</f>
        <v/>
      </c>
      <c r="AH110" s="68" t="str" cm="1">
        <f t="array" ref="AH110">CalculerNouvelleDate(R110,AG110)</f>
        <v/>
      </c>
      <c r="AI110" s="68" t="str" cm="1">
        <f t="array" ref="AI110">CalculerNouvelleDate(S110,AH110)</f>
        <v/>
      </c>
      <c r="AJ110" s="68" t="str" cm="1">
        <f t="array" ref="AJ110">CalculerNouvelleDate(T110,AI110)</f>
        <v/>
      </c>
      <c r="AK110" s="68" t="str" cm="1">
        <f t="array" ref="AK110">CalculerNouvelleDate(U110,AJ110)</f>
        <v/>
      </c>
      <c r="AL110" s="68" t="str" cm="1">
        <f t="array" ref="AL110">CalculerNouvelleDate(V110,AK110)</f>
        <v/>
      </c>
      <c r="AM110" s="83" t="str" cm="1">
        <f t="array" ref="AM110">CorrespondanceDAte(X110:AL110,D111)</f>
        <v>0</v>
      </c>
      <c r="AN110" s="1"/>
      <c r="AO110" s="1"/>
      <c r="AP110" s="1"/>
      <c r="AQ110" s="1"/>
      <c r="AR110" s="1"/>
      <c r="AS110" s="1"/>
      <c r="AT110" s="1"/>
      <c r="AU110" s="1"/>
      <c r="AV110" s="1"/>
      <c r="AW110" s="1"/>
      <c r="AX110" s="1"/>
      <c r="AY110" s="1"/>
      <c r="AZ110" s="1"/>
      <c r="BA110" s="1"/>
    </row>
    <row r="111" spans="1:53" x14ac:dyDescent="0.3">
      <c r="A111" s="1"/>
      <c r="B111" s="11"/>
      <c r="C111" s="69" t="s">
        <v>535</v>
      </c>
      <c r="D111" s="1" t="s">
        <v>662</v>
      </c>
      <c r="E111" s="1"/>
      <c r="F111" s="1"/>
      <c r="G111" s="1"/>
      <c r="H111" s="43"/>
      <c r="I111" s="46"/>
      <c r="J111" s="46"/>
      <c r="K111" s="46"/>
      <c r="L111" s="46"/>
      <c r="M111" s="46"/>
      <c r="N111" s="46"/>
      <c r="O111" s="46"/>
      <c r="P111" s="46"/>
      <c r="Q111" s="46"/>
      <c r="R111" s="46"/>
      <c r="S111" s="46"/>
      <c r="T111" s="46"/>
      <c r="U111" s="46"/>
      <c r="V111" s="46"/>
      <c r="W111" s="62"/>
      <c r="X111" s="67"/>
      <c r="Y111" s="68" t="str" cm="1">
        <f t="array" ref="Y111">CalculerNouvelleDate(I111,X111)</f>
        <v/>
      </c>
      <c r="Z111" s="68" t="str" cm="1">
        <f t="array" ref="Z111">CalculerNouvelleDate(J111,Y111)</f>
        <v/>
      </c>
      <c r="AA111" s="68" t="str" cm="1">
        <f t="array" ref="AA111">CalculerNouvelleDate(K111,Z111)</f>
        <v/>
      </c>
      <c r="AB111" s="68" t="str" cm="1">
        <f t="array" ref="AB111">CalculerNouvelleDate(L111,AA111)</f>
        <v/>
      </c>
      <c r="AC111" s="68" t="str" cm="1">
        <f t="array" ref="AC111">CalculerNouvelleDate(M111,AB111)</f>
        <v/>
      </c>
      <c r="AD111" s="68" t="str" cm="1">
        <f t="array" ref="AD111">CalculerNouvelleDate(N111,AC111)</f>
        <v/>
      </c>
      <c r="AE111" s="68" t="str" cm="1">
        <f t="array" ref="AE111">CalculerNouvelleDate(O111,AD111)</f>
        <v/>
      </c>
      <c r="AF111" s="68" t="str" cm="1">
        <f t="array" ref="AF111">CalculerNouvelleDate(P111,AE111)</f>
        <v/>
      </c>
      <c r="AG111" s="68" t="str" cm="1">
        <f t="array" ref="AG111">CalculerNouvelleDate(Q111,AF111)</f>
        <v/>
      </c>
      <c r="AH111" s="68" t="str" cm="1">
        <f t="array" ref="AH111">CalculerNouvelleDate(R111,AG111)</f>
        <v/>
      </c>
      <c r="AI111" s="68" t="str" cm="1">
        <f t="array" ref="AI111">CalculerNouvelleDate(S111,AH111)</f>
        <v/>
      </c>
      <c r="AJ111" s="68" t="str" cm="1">
        <f t="array" ref="AJ111">CalculerNouvelleDate(T111,AI111)</f>
        <v/>
      </c>
      <c r="AK111" s="68" t="str" cm="1">
        <f t="array" ref="AK111">CalculerNouvelleDate(U111,AJ111)</f>
        <v/>
      </c>
      <c r="AL111" s="68" t="str" cm="1">
        <f t="array" ref="AL111">CalculerNouvelleDate(V111,AK111)</f>
        <v/>
      </c>
      <c r="AM111" s="83" t="str" cm="1">
        <f t="array" ref="AM111">CorrespondanceDAte(X111:AL111,D112)</f>
        <v>0</v>
      </c>
      <c r="AN111" s="1"/>
      <c r="AO111" s="1"/>
      <c r="AP111" s="1"/>
      <c r="AQ111" s="1"/>
      <c r="AR111" s="1"/>
      <c r="AS111" s="1"/>
      <c r="AT111" s="1"/>
      <c r="AU111" s="1"/>
      <c r="AV111" s="1"/>
      <c r="AW111" s="1"/>
      <c r="AX111" s="1"/>
      <c r="AY111" s="1"/>
      <c r="AZ111" s="1"/>
      <c r="BA111" s="1"/>
    </row>
    <row r="112" spans="1:53" x14ac:dyDescent="0.3">
      <c r="A112" s="1"/>
      <c r="B112" s="11"/>
      <c r="C112" s="69" t="s">
        <v>545</v>
      </c>
      <c r="D112" s="1" t="s">
        <v>663</v>
      </c>
      <c r="E112" s="1"/>
      <c r="F112" s="1"/>
      <c r="G112" s="1"/>
      <c r="H112" s="43"/>
      <c r="I112" s="46"/>
      <c r="J112" s="46"/>
      <c r="K112" s="46"/>
      <c r="L112" s="46"/>
      <c r="M112" s="46"/>
      <c r="N112" s="46"/>
      <c r="O112" s="46"/>
      <c r="P112" s="46"/>
      <c r="Q112" s="46"/>
      <c r="R112" s="46"/>
      <c r="S112" s="46"/>
      <c r="T112" s="46"/>
      <c r="U112" s="46"/>
      <c r="V112" s="46"/>
      <c r="W112" s="62"/>
      <c r="X112" s="67"/>
      <c r="Y112" s="68" t="str" cm="1">
        <f t="array" ref="Y112">CalculerNouvelleDate(I112,X112)</f>
        <v/>
      </c>
      <c r="Z112" s="68" t="str" cm="1">
        <f t="array" ref="Z112">CalculerNouvelleDate(J112,Y112)</f>
        <v/>
      </c>
      <c r="AA112" s="68" t="str" cm="1">
        <f t="array" ref="AA112">CalculerNouvelleDate(K112,Z112)</f>
        <v/>
      </c>
      <c r="AB112" s="68" t="str" cm="1">
        <f t="array" ref="AB112">CalculerNouvelleDate(L112,AA112)</f>
        <v/>
      </c>
      <c r="AC112" s="68" t="str" cm="1">
        <f t="array" ref="AC112">CalculerNouvelleDate(M112,AB112)</f>
        <v/>
      </c>
      <c r="AD112" s="68" t="str" cm="1">
        <f t="array" ref="AD112">CalculerNouvelleDate(N112,AC112)</f>
        <v/>
      </c>
      <c r="AE112" s="68" t="str" cm="1">
        <f t="array" ref="AE112">CalculerNouvelleDate(O112,AD112)</f>
        <v/>
      </c>
      <c r="AF112" s="68" t="str" cm="1">
        <f t="array" ref="AF112">CalculerNouvelleDate(P112,AE112)</f>
        <v/>
      </c>
      <c r="AG112" s="68" t="str" cm="1">
        <f t="array" ref="AG112">CalculerNouvelleDate(Q112,AF112)</f>
        <v/>
      </c>
      <c r="AH112" s="68" t="str" cm="1">
        <f t="array" ref="AH112">CalculerNouvelleDate(R112,AG112)</f>
        <v/>
      </c>
      <c r="AI112" s="68" t="str" cm="1">
        <f t="array" ref="AI112">CalculerNouvelleDate(S112,AH112)</f>
        <v/>
      </c>
      <c r="AJ112" s="68" t="str" cm="1">
        <f t="array" ref="AJ112">CalculerNouvelleDate(T112,AI112)</f>
        <v/>
      </c>
      <c r="AK112" s="68" t="str" cm="1">
        <f t="array" ref="AK112">CalculerNouvelleDate(U112,AJ112)</f>
        <v/>
      </c>
      <c r="AL112" s="68" t="str" cm="1">
        <f t="array" ref="AL112">CalculerNouvelleDate(V112,AK112)</f>
        <v/>
      </c>
      <c r="AM112" s="83" t="str" cm="1">
        <f t="array" ref="AM112">CorrespondanceDAte(X112:AL112,D113)</f>
        <v>0</v>
      </c>
      <c r="AN112" s="1"/>
      <c r="AO112" s="1"/>
      <c r="AP112" s="1"/>
      <c r="AQ112" s="1"/>
      <c r="AR112" s="1"/>
      <c r="AS112" s="1"/>
      <c r="AT112" s="1"/>
      <c r="AU112" s="1"/>
      <c r="AV112" s="1"/>
      <c r="AW112" s="1"/>
      <c r="AX112" s="1"/>
      <c r="AY112" s="1"/>
      <c r="AZ112" s="1"/>
      <c r="BA112" s="1"/>
    </row>
    <row r="113" spans="1:53" x14ac:dyDescent="0.3">
      <c r="A113" s="1"/>
      <c r="B113" s="11"/>
      <c r="C113" s="69" t="s">
        <v>653</v>
      </c>
      <c r="D113" s="1" t="s">
        <v>664</v>
      </c>
      <c r="E113" s="1"/>
      <c r="F113" s="1"/>
      <c r="G113" s="1"/>
      <c r="H113" s="43"/>
      <c r="I113" s="46"/>
      <c r="J113" s="46"/>
      <c r="K113" s="46"/>
      <c r="L113" s="46"/>
      <c r="M113" s="46"/>
      <c r="N113" s="46"/>
      <c r="O113" s="46"/>
      <c r="P113" s="46"/>
      <c r="Q113" s="46"/>
      <c r="R113" s="46"/>
      <c r="S113" s="46"/>
      <c r="T113" s="46"/>
      <c r="U113" s="46"/>
      <c r="V113" s="46"/>
      <c r="W113" s="62"/>
      <c r="X113" s="67"/>
      <c r="Y113" s="68" t="str" cm="1">
        <f t="array" ref="Y113">CalculerNouvelleDate(I113,X113)</f>
        <v/>
      </c>
      <c r="Z113" s="68" t="str" cm="1">
        <f t="array" ref="Z113">CalculerNouvelleDate(J113,Y113)</f>
        <v/>
      </c>
      <c r="AA113" s="68" t="str" cm="1">
        <f t="array" ref="AA113">CalculerNouvelleDate(K113,Z113)</f>
        <v/>
      </c>
      <c r="AB113" s="68" t="str" cm="1">
        <f t="array" ref="AB113">CalculerNouvelleDate(L113,AA113)</f>
        <v/>
      </c>
      <c r="AC113" s="68" t="str" cm="1">
        <f t="array" ref="AC113">CalculerNouvelleDate(M113,AB113)</f>
        <v/>
      </c>
      <c r="AD113" s="68" t="str" cm="1">
        <f t="array" ref="AD113">CalculerNouvelleDate(N113,AC113)</f>
        <v/>
      </c>
      <c r="AE113" s="68" t="str" cm="1">
        <f t="array" ref="AE113">CalculerNouvelleDate(O113,AD113)</f>
        <v/>
      </c>
      <c r="AF113" s="68" t="str" cm="1">
        <f t="array" ref="AF113">CalculerNouvelleDate(P113,AE113)</f>
        <v/>
      </c>
      <c r="AG113" s="68" t="str" cm="1">
        <f t="array" ref="AG113">CalculerNouvelleDate(Q113,AF113)</f>
        <v/>
      </c>
      <c r="AH113" s="68" t="str" cm="1">
        <f t="array" ref="AH113">CalculerNouvelleDate(R113,AG113)</f>
        <v/>
      </c>
      <c r="AI113" s="68" t="str" cm="1">
        <f t="array" ref="AI113">CalculerNouvelleDate(S113,AH113)</f>
        <v/>
      </c>
      <c r="AJ113" s="68" t="str" cm="1">
        <f t="array" ref="AJ113">CalculerNouvelleDate(T113,AI113)</f>
        <v/>
      </c>
      <c r="AK113" s="68" t="str" cm="1">
        <f t="array" ref="AK113">CalculerNouvelleDate(U113,AJ113)</f>
        <v/>
      </c>
      <c r="AL113" s="68" t="str" cm="1">
        <f t="array" ref="AL113">CalculerNouvelleDate(V113,AK113)</f>
        <v/>
      </c>
      <c r="AM113" s="83" t="str" cm="1">
        <f t="array" ref="AM113">CorrespondanceDAte(X113:AL113,D114)</f>
        <v>0</v>
      </c>
      <c r="AN113" s="1"/>
      <c r="AO113" s="1"/>
      <c r="AP113" s="1"/>
      <c r="AQ113" s="1"/>
      <c r="AR113" s="1"/>
      <c r="AS113" s="1"/>
      <c r="AT113" s="1"/>
      <c r="AU113" s="1"/>
      <c r="AV113" s="1"/>
      <c r="AW113" s="1"/>
      <c r="AX113" s="1"/>
      <c r="AY113" s="1"/>
      <c r="AZ113" s="1"/>
      <c r="BA113" s="1"/>
    </row>
    <row r="114" spans="1:53" x14ac:dyDescent="0.3">
      <c r="A114" s="1"/>
      <c r="B114" s="11"/>
      <c r="C114" s="69" t="s">
        <v>654</v>
      </c>
      <c r="D114" s="1" t="s">
        <v>665</v>
      </c>
      <c r="E114" s="1"/>
      <c r="F114" s="1"/>
      <c r="G114" s="1"/>
      <c r="H114" s="43"/>
      <c r="I114" s="46"/>
      <c r="J114" s="46"/>
      <c r="K114" s="46"/>
      <c r="L114" s="46"/>
      <c r="M114" s="46"/>
      <c r="N114" s="46"/>
      <c r="O114" s="46"/>
      <c r="P114" s="46"/>
      <c r="Q114" s="46"/>
      <c r="R114" s="46"/>
      <c r="S114" s="46"/>
      <c r="T114" s="46"/>
      <c r="U114" s="46"/>
      <c r="V114" s="46"/>
      <c r="W114" s="62"/>
      <c r="X114" s="67"/>
      <c r="Y114" s="68" t="str" cm="1">
        <f t="array" ref="Y114">CalculerNouvelleDate(I114,X114)</f>
        <v/>
      </c>
      <c r="Z114" s="68" t="str" cm="1">
        <f t="array" ref="Z114">CalculerNouvelleDate(J114,Y114)</f>
        <v/>
      </c>
      <c r="AA114" s="68" t="str" cm="1">
        <f t="array" ref="AA114">CalculerNouvelleDate(K114,Z114)</f>
        <v/>
      </c>
      <c r="AB114" s="68" t="str" cm="1">
        <f t="array" ref="AB114">CalculerNouvelleDate(L114,AA114)</f>
        <v/>
      </c>
      <c r="AC114" s="68" t="str" cm="1">
        <f t="array" ref="AC114">CalculerNouvelleDate(M114,AB114)</f>
        <v/>
      </c>
      <c r="AD114" s="68" t="str" cm="1">
        <f t="array" ref="AD114">CalculerNouvelleDate(N114,AC114)</f>
        <v/>
      </c>
      <c r="AE114" s="68" t="str" cm="1">
        <f t="array" ref="AE114">CalculerNouvelleDate(O114,AD114)</f>
        <v/>
      </c>
      <c r="AF114" s="68" t="str" cm="1">
        <f t="array" ref="AF114">CalculerNouvelleDate(P114,AE114)</f>
        <v/>
      </c>
      <c r="AG114" s="68" t="str" cm="1">
        <f t="array" ref="AG114">CalculerNouvelleDate(Q114,AF114)</f>
        <v/>
      </c>
      <c r="AH114" s="68" t="str" cm="1">
        <f t="array" ref="AH114">CalculerNouvelleDate(R114,AG114)</f>
        <v/>
      </c>
      <c r="AI114" s="68" t="str" cm="1">
        <f t="array" ref="AI114">CalculerNouvelleDate(S114,AH114)</f>
        <v/>
      </c>
      <c r="AJ114" s="68" t="str" cm="1">
        <f t="array" ref="AJ114">CalculerNouvelleDate(T114,AI114)</f>
        <v/>
      </c>
      <c r="AK114" s="68" t="str" cm="1">
        <f t="array" ref="AK114">CalculerNouvelleDate(U114,AJ114)</f>
        <v/>
      </c>
      <c r="AL114" s="68" t="str" cm="1">
        <f t="array" ref="AL114">CalculerNouvelleDate(V114,AK114)</f>
        <v/>
      </c>
      <c r="AM114" s="83" t="str" cm="1">
        <f t="array" ref="AM114">CorrespondanceDAte(X114:AL114,D115)</f>
        <v>0</v>
      </c>
      <c r="AN114" s="1"/>
      <c r="AO114" s="1"/>
      <c r="AP114" s="1"/>
      <c r="AQ114" s="1"/>
      <c r="AR114" s="1"/>
      <c r="AS114" s="1"/>
      <c r="AT114" s="1"/>
      <c r="AU114" s="1"/>
      <c r="AV114" s="1"/>
      <c r="AW114" s="1"/>
      <c r="AX114" s="1"/>
      <c r="AY114" s="1"/>
      <c r="AZ114" s="1"/>
      <c r="BA114" s="1"/>
    </row>
    <row r="115" spans="1:53" x14ac:dyDescent="0.3">
      <c r="A115" s="1"/>
      <c r="B115" s="11"/>
      <c r="C115" s="69" t="s">
        <v>655</v>
      </c>
      <c r="D115" s="1" t="s">
        <v>666</v>
      </c>
      <c r="E115" s="1"/>
      <c r="F115" s="1"/>
      <c r="G115" s="1"/>
      <c r="H115" s="43"/>
      <c r="I115" s="46"/>
      <c r="J115" s="46"/>
      <c r="K115" s="46"/>
      <c r="L115" s="46"/>
      <c r="M115" s="46"/>
      <c r="N115" s="46"/>
      <c r="O115" s="46"/>
      <c r="P115" s="46"/>
      <c r="Q115" s="46"/>
      <c r="R115" s="46"/>
      <c r="S115" s="46"/>
      <c r="T115" s="46"/>
      <c r="U115" s="46"/>
      <c r="V115" s="46"/>
      <c r="W115" s="62"/>
      <c r="X115" s="67"/>
      <c r="Y115" s="68" t="str" cm="1">
        <f t="array" ref="Y115">CalculerNouvelleDate(I115,X115)</f>
        <v/>
      </c>
      <c r="Z115" s="68" t="str" cm="1">
        <f t="array" ref="Z115">CalculerNouvelleDate(J115,Y115)</f>
        <v/>
      </c>
      <c r="AA115" s="68" t="str" cm="1">
        <f t="array" ref="AA115">CalculerNouvelleDate(K115,Z115)</f>
        <v/>
      </c>
      <c r="AB115" s="68" t="str" cm="1">
        <f t="array" ref="AB115">CalculerNouvelleDate(L115,AA115)</f>
        <v/>
      </c>
      <c r="AC115" s="68" t="str" cm="1">
        <f t="array" ref="AC115">CalculerNouvelleDate(M115,AB115)</f>
        <v/>
      </c>
      <c r="AD115" s="68" t="str" cm="1">
        <f t="array" ref="AD115">CalculerNouvelleDate(N115,AC115)</f>
        <v/>
      </c>
      <c r="AE115" s="68" t="str" cm="1">
        <f t="array" ref="AE115">CalculerNouvelleDate(O115,AD115)</f>
        <v/>
      </c>
      <c r="AF115" s="68" t="str" cm="1">
        <f t="array" ref="AF115">CalculerNouvelleDate(P115,AE115)</f>
        <v/>
      </c>
      <c r="AG115" s="68" t="str" cm="1">
        <f t="array" ref="AG115">CalculerNouvelleDate(Q115,AF115)</f>
        <v/>
      </c>
      <c r="AH115" s="68" t="str" cm="1">
        <f t="array" ref="AH115">CalculerNouvelleDate(R115,AG115)</f>
        <v/>
      </c>
      <c r="AI115" s="68" t="str" cm="1">
        <f t="array" ref="AI115">CalculerNouvelleDate(S115,AH115)</f>
        <v/>
      </c>
      <c r="AJ115" s="68" t="str" cm="1">
        <f t="array" ref="AJ115">CalculerNouvelleDate(T115,AI115)</f>
        <v/>
      </c>
      <c r="AK115" s="68" t="str" cm="1">
        <f t="array" ref="AK115">CalculerNouvelleDate(U115,AJ115)</f>
        <v/>
      </c>
      <c r="AL115" s="68" t="str" cm="1">
        <f t="array" ref="AL115">CalculerNouvelleDate(V115,AK115)</f>
        <v/>
      </c>
      <c r="AM115" s="83" t="str" cm="1">
        <f t="array" ref="AM115">CorrespondanceDAte(X115:AL115,D116)</f>
        <v>0</v>
      </c>
      <c r="AN115" s="1"/>
      <c r="AO115" s="1"/>
      <c r="AP115" s="1"/>
      <c r="AQ115" s="1"/>
      <c r="AR115" s="1"/>
      <c r="AS115" s="1"/>
      <c r="AT115" s="1"/>
      <c r="AU115" s="1"/>
      <c r="AV115" s="1"/>
      <c r="AW115" s="1"/>
      <c r="AX115" s="1"/>
      <c r="AY115" s="1"/>
      <c r="AZ115" s="1"/>
      <c r="BA115" s="1"/>
    </row>
    <row r="116" spans="1:53" x14ac:dyDescent="0.3">
      <c r="A116" s="1"/>
      <c r="B116" s="11"/>
      <c r="C116" s="69" t="s">
        <v>656</v>
      </c>
      <c r="D116" s="1" t="s">
        <v>667</v>
      </c>
      <c r="E116" s="1"/>
      <c r="F116" s="1"/>
      <c r="G116" s="1"/>
      <c r="H116" s="43"/>
      <c r="I116" s="46"/>
      <c r="J116" s="46"/>
      <c r="K116" s="46"/>
      <c r="L116" s="46"/>
      <c r="M116" s="46"/>
      <c r="N116" s="46"/>
      <c r="O116" s="46"/>
      <c r="P116" s="46"/>
      <c r="Q116" s="46"/>
      <c r="R116" s="46"/>
      <c r="S116" s="46"/>
      <c r="T116" s="46"/>
      <c r="U116" s="46"/>
      <c r="V116" s="46"/>
      <c r="W116" s="62"/>
      <c r="X116" s="67"/>
      <c r="Y116" s="68" t="str" cm="1">
        <f t="array" ref="Y116">CalculerNouvelleDate(I116,X116)</f>
        <v/>
      </c>
      <c r="Z116" s="68" t="str" cm="1">
        <f t="array" ref="Z116">CalculerNouvelleDate(J116,Y116)</f>
        <v/>
      </c>
      <c r="AA116" s="68" t="str" cm="1">
        <f t="array" ref="AA116">CalculerNouvelleDate(K116,Z116)</f>
        <v/>
      </c>
      <c r="AB116" s="68" t="str" cm="1">
        <f t="array" ref="AB116">CalculerNouvelleDate(L116,AA116)</f>
        <v/>
      </c>
      <c r="AC116" s="68" t="str" cm="1">
        <f t="array" ref="AC116">CalculerNouvelleDate(M116,AB116)</f>
        <v/>
      </c>
      <c r="AD116" s="68" t="str" cm="1">
        <f t="array" ref="AD116">CalculerNouvelleDate(N116,AC116)</f>
        <v/>
      </c>
      <c r="AE116" s="68" t="str" cm="1">
        <f t="array" ref="AE116">CalculerNouvelleDate(O116,AD116)</f>
        <v/>
      </c>
      <c r="AF116" s="68" t="str" cm="1">
        <f t="array" ref="AF116">CalculerNouvelleDate(P116,AE116)</f>
        <v/>
      </c>
      <c r="AG116" s="68" t="str" cm="1">
        <f t="array" ref="AG116">CalculerNouvelleDate(Q116,AF116)</f>
        <v/>
      </c>
      <c r="AH116" s="68" t="str" cm="1">
        <f t="array" ref="AH116">CalculerNouvelleDate(R116,AG116)</f>
        <v/>
      </c>
      <c r="AI116" s="68" t="str" cm="1">
        <f t="array" ref="AI116">CalculerNouvelleDate(S116,AH116)</f>
        <v/>
      </c>
      <c r="AJ116" s="68" t="str" cm="1">
        <f t="array" ref="AJ116">CalculerNouvelleDate(T116,AI116)</f>
        <v/>
      </c>
      <c r="AK116" s="68" t="str" cm="1">
        <f t="array" ref="AK116">CalculerNouvelleDate(U116,AJ116)</f>
        <v/>
      </c>
      <c r="AL116" s="68" t="str" cm="1">
        <f t="array" ref="AL116">CalculerNouvelleDate(V116,AK116)</f>
        <v/>
      </c>
      <c r="AM116" s="83" t="str" cm="1">
        <f t="array" ref="AM116">CorrespondanceDAte(X116:AL116,D117)</f>
        <v>0</v>
      </c>
      <c r="AN116" s="1"/>
      <c r="AO116" s="1"/>
      <c r="AP116" s="1"/>
      <c r="AQ116" s="1"/>
      <c r="AR116" s="1"/>
      <c r="AS116" s="1"/>
      <c r="AT116" s="1"/>
      <c r="AU116" s="1"/>
      <c r="AV116" s="1"/>
      <c r="AW116" s="1"/>
      <c r="AX116" s="1"/>
      <c r="AY116" s="1"/>
      <c r="AZ116" s="1"/>
      <c r="BA116" s="1"/>
    </row>
    <row r="117" spans="1:53" x14ac:dyDescent="0.3">
      <c r="A117" s="1"/>
      <c r="B117" s="11"/>
      <c r="C117" s="69" t="s">
        <v>657</v>
      </c>
      <c r="D117" s="1" t="s">
        <v>668</v>
      </c>
      <c r="E117" s="1"/>
      <c r="F117" s="1"/>
      <c r="G117" s="1"/>
      <c r="H117" s="43"/>
      <c r="I117" s="46"/>
      <c r="J117" s="46"/>
      <c r="K117" s="46"/>
      <c r="L117" s="46"/>
      <c r="M117" s="46"/>
      <c r="N117" s="46"/>
      <c r="O117" s="46"/>
      <c r="P117" s="46"/>
      <c r="Q117" s="46"/>
      <c r="R117" s="46"/>
      <c r="S117" s="46"/>
      <c r="T117" s="46"/>
      <c r="U117" s="46"/>
      <c r="V117" s="46"/>
      <c r="W117" s="62"/>
      <c r="X117" s="67"/>
      <c r="Y117" s="68" t="str" cm="1">
        <f t="array" ref="Y117">CalculerNouvelleDate(I117,X117)</f>
        <v/>
      </c>
      <c r="Z117" s="68" t="str" cm="1">
        <f t="array" ref="Z117">CalculerNouvelleDate(J117,Y117)</f>
        <v/>
      </c>
      <c r="AA117" s="68" t="str" cm="1">
        <f t="array" ref="AA117">CalculerNouvelleDate(K117,Z117)</f>
        <v/>
      </c>
      <c r="AB117" s="68" t="str" cm="1">
        <f t="array" ref="AB117">CalculerNouvelleDate(L117,AA117)</f>
        <v/>
      </c>
      <c r="AC117" s="68" t="str" cm="1">
        <f t="array" ref="AC117">CalculerNouvelleDate(M117,AB117)</f>
        <v/>
      </c>
      <c r="AD117" s="68" t="str" cm="1">
        <f t="array" ref="AD117">CalculerNouvelleDate(N117,AC117)</f>
        <v/>
      </c>
      <c r="AE117" s="68" t="str" cm="1">
        <f t="array" ref="AE117">CalculerNouvelleDate(O117,AD117)</f>
        <v/>
      </c>
      <c r="AF117" s="68" t="str" cm="1">
        <f t="array" ref="AF117">CalculerNouvelleDate(P117,AE117)</f>
        <v/>
      </c>
      <c r="AG117" s="68" t="str" cm="1">
        <f t="array" ref="AG117">CalculerNouvelleDate(Q117,AF117)</f>
        <v/>
      </c>
      <c r="AH117" s="68" t="str" cm="1">
        <f t="array" ref="AH117">CalculerNouvelleDate(R117,AG117)</f>
        <v/>
      </c>
      <c r="AI117" s="68" t="str" cm="1">
        <f t="array" ref="AI117">CalculerNouvelleDate(S117,AH117)</f>
        <v/>
      </c>
      <c r="AJ117" s="68" t="str" cm="1">
        <f t="array" ref="AJ117">CalculerNouvelleDate(T117,AI117)</f>
        <v/>
      </c>
      <c r="AK117" s="68" t="str" cm="1">
        <f t="array" ref="AK117">CalculerNouvelleDate(U117,AJ117)</f>
        <v/>
      </c>
      <c r="AL117" s="68" t="str" cm="1">
        <f t="array" ref="AL117">CalculerNouvelleDate(V117,AK117)</f>
        <v/>
      </c>
      <c r="AM117" s="83" t="str" cm="1">
        <f t="array" ref="AM117">CorrespondanceDAte(X117:AL117,D118)</f>
        <v>0</v>
      </c>
      <c r="AN117" s="1"/>
      <c r="AO117" s="1"/>
      <c r="AP117" s="1"/>
      <c r="AQ117" s="1"/>
      <c r="AR117" s="1"/>
      <c r="AS117" s="1"/>
      <c r="AT117" s="1"/>
      <c r="AU117" s="1"/>
      <c r="AV117" s="1"/>
      <c r="AW117" s="1"/>
      <c r="AX117" s="1"/>
      <c r="AY117" s="1"/>
      <c r="AZ117" s="1"/>
      <c r="BA117" s="1"/>
    </row>
    <row r="118" spans="1:53" x14ac:dyDescent="0.3">
      <c r="A118" s="1"/>
      <c r="B118" s="11"/>
      <c r="C118" s="69" t="s">
        <v>658</v>
      </c>
      <c r="D118" s="1" t="s">
        <v>669</v>
      </c>
      <c r="E118" s="1"/>
      <c r="F118" s="1"/>
      <c r="G118" s="1"/>
      <c r="H118" s="43"/>
      <c r="I118" s="46"/>
      <c r="J118" s="46"/>
      <c r="K118" s="46"/>
      <c r="L118" s="46"/>
      <c r="M118" s="46"/>
      <c r="N118" s="46"/>
      <c r="O118" s="46"/>
      <c r="P118" s="46"/>
      <c r="Q118" s="46"/>
      <c r="R118" s="46"/>
      <c r="S118" s="46"/>
      <c r="T118" s="46"/>
      <c r="U118" s="46"/>
      <c r="V118" s="46"/>
      <c r="W118" s="62"/>
      <c r="X118" s="67"/>
      <c r="Y118" s="68" t="str" cm="1">
        <f t="array" ref="Y118">CalculerNouvelleDate(I118,X118)</f>
        <v/>
      </c>
      <c r="Z118" s="68" t="str" cm="1">
        <f t="array" ref="Z118">CalculerNouvelleDate(J118,Y118)</f>
        <v/>
      </c>
      <c r="AA118" s="68" t="str" cm="1">
        <f t="array" ref="AA118">CalculerNouvelleDate(K118,Z118)</f>
        <v/>
      </c>
      <c r="AB118" s="68" t="str" cm="1">
        <f t="array" ref="AB118">CalculerNouvelleDate(L118,AA118)</f>
        <v/>
      </c>
      <c r="AC118" s="68" t="str" cm="1">
        <f t="array" ref="AC118">CalculerNouvelleDate(M118,AB118)</f>
        <v/>
      </c>
      <c r="AD118" s="68" t="str" cm="1">
        <f t="array" ref="AD118">CalculerNouvelleDate(N118,AC118)</f>
        <v/>
      </c>
      <c r="AE118" s="68" t="str" cm="1">
        <f t="array" ref="AE118">CalculerNouvelleDate(O118,AD118)</f>
        <v/>
      </c>
      <c r="AF118" s="68" t="str" cm="1">
        <f t="array" ref="AF118">CalculerNouvelleDate(P118,AE118)</f>
        <v/>
      </c>
      <c r="AG118" s="68" t="str" cm="1">
        <f t="array" ref="AG118">CalculerNouvelleDate(Q118,AF118)</f>
        <v/>
      </c>
      <c r="AH118" s="68" t="str" cm="1">
        <f t="array" ref="AH118">CalculerNouvelleDate(R118,AG118)</f>
        <v/>
      </c>
      <c r="AI118" s="68" t="str" cm="1">
        <f t="array" ref="AI118">CalculerNouvelleDate(S118,AH118)</f>
        <v/>
      </c>
      <c r="AJ118" s="68" t="str" cm="1">
        <f t="array" ref="AJ118">CalculerNouvelleDate(T118,AI118)</f>
        <v/>
      </c>
      <c r="AK118" s="68" t="str" cm="1">
        <f t="array" ref="AK118">CalculerNouvelleDate(U118,AJ118)</f>
        <v/>
      </c>
      <c r="AL118" s="68" t="str" cm="1">
        <f t="array" ref="AL118">CalculerNouvelleDate(V118,AK118)</f>
        <v/>
      </c>
      <c r="AM118" s="83" t="str" cm="1">
        <f t="array" ref="AM118">CorrespondanceDAte(X118:AL118,D119)</f>
        <v>0</v>
      </c>
      <c r="AN118" s="1"/>
      <c r="AO118" s="1"/>
      <c r="AP118" s="1"/>
      <c r="AQ118" s="1"/>
      <c r="AR118" s="1"/>
      <c r="AS118" s="1"/>
      <c r="AT118" s="1"/>
      <c r="AU118" s="1"/>
      <c r="AV118" s="1"/>
      <c r="AW118" s="1"/>
      <c r="AX118" s="1"/>
      <c r="AY118" s="1"/>
      <c r="AZ118" s="1"/>
      <c r="BA118" s="1"/>
    </row>
    <row r="119" spans="1:53" x14ac:dyDescent="0.3">
      <c r="A119" s="1"/>
      <c r="B119" s="11"/>
      <c r="C119" s="69" t="s">
        <v>659</v>
      </c>
      <c r="D119" s="1" t="s">
        <v>670</v>
      </c>
      <c r="E119" s="1"/>
      <c r="F119" s="1"/>
      <c r="G119" s="1"/>
      <c r="H119" s="43"/>
      <c r="I119" s="46"/>
      <c r="J119" s="46"/>
      <c r="K119" s="46"/>
      <c r="L119" s="46"/>
      <c r="M119" s="46"/>
      <c r="N119" s="46"/>
      <c r="O119" s="46"/>
      <c r="P119" s="46"/>
      <c r="Q119" s="46"/>
      <c r="R119" s="46"/>
      <c r="S119" s="46"/>
      <c r="T119" s="46"/>
      <c r="U119" s="46"/>
      <c r="V119" s="46"/>
      <c r="W119" s="62"/>
      <c r="X119" s="67"/>
      <c r="Y119" s="68" t="str" cm="1">
        <f t="array" ref="Y119">CalculerNouvelleDate(I119,X119)</f>
        <v/>
      </c>
      <c r="Z119" s="68" t="str" cm="1">
        <f t="array" ref="Z119">CalculerNouvelleDate(J119,Y119)</f>
        <v/>
      </c>
      <c r="AA119" s="68" t="str" cm="1">
        <f t="array" ref="AA119">CalculerNouvelleDate(K119,Z119)</f>
        <v/>
      </c>
      <c r="AB119" s="68" t="str" cm="1">
        <f t="array" ref="AB119">CalculerNouvelleDate(L119,AA119)</f>
        <v/>
      </c>
      <c r="AC119" s="68" t="str" cm="1">
        <f t="array" ref="AC119">CalculerNouvelleDate(M119,AB119)</f>
        <v/>
      </c>
      <c r="AD119" s="68" t="str" cm="1">
        <f t="array" ref="AD119">CalculerNouvelleDate(N119,AC119)</f>
        <v/>
      </c>
      <c r="AE119" s="68" t="str" cm="1">
        <f t="array" ref="AE119">CalculerNouvelleDate(O119,AD119)</f>
        <v/>
      </c>
      <c r="AF119" s="68" t="str" cm="1">
        <f t="array" ref="AF119">CalculerNouvelleDate(P119,AE119)</f>
        <v/>
      </c>
      <c r="AG119" s="68" t="str" cm="1">
        <f t="array" ref="AG119">CalculerNouvelleDate(Q119,AF119)</f>
        <v/>
      </c>
      <c r="AH119" s="68" t="str" cm="1">
        <f t="array" ref="AH119">CalculerNouvelleDate(R119,AG119)</f>
        <v/>
      </c>
      <c r="AI119" s="68" t="str" cm="1">
        <f t="array" ref="AI119">CalculerNouvelleDate(S119,AH119)</f>
        <v/>
      </c>
      <c r="AJ119" s="68" t="str" cm="1">
        <f t="array" ref="AJ119">CalculerNouvelleDate(T119,AI119)</f>
        <v/>
      </c>
      <c r="AK119" s="68" t="str" cm="1">
        <f t="array" ref="AK119">CalculerNouvelleDate(U119,AJ119)</f>
        <v/>
      </c>
      <c r="AL119" s="68" t="str" cm="1">
        <f t="array" ref="AL119">CalculerNouvelleDate(V119,AK119)</f>
        <v/>
      </c>
      <c r="AM119" s="83" t="str" cm="1">
        <f t="array" ref="AM119">CorrespondanceDAte(X119:AL119,D120)</f>
        <v>0</v>
      </c>
      <c r="AN119" s="1"/>
      <c r="AO119" s="1"/>
      <c r="AP119" s="1"/>
      <c r="AQ119" s="1"/>
      <c r="AR119" s="1"/>
      <c r="AS119" s="1"/>
      <c r="AT119" s="1"/>
      <c r="AU119" s="1"/>
      <c r="AV119" s="1"/>
      <c r="AW119" s="1"/>
      <c r="AX119" s="1"/>
      <c r="AY119" s="1"/>
      <c r="AZ119" s="1"/>
      <c r="BA119" s="1"/>
    </row>
    <row r="120" spans="1:53" x14ac:dyDescent="0.3">
      <c r="A120" s="1"/>
      <c r="B120" s="11"/>
      <c r="C120" s="69" t="s">
        <v>660</v>
      </c>
      <c r="D120" s="1" t="s">
        <v>671</v>
      </c>
      <c r="E120" s="1"/>
      <c r="F120" s="1"/>
      <c r="G120" s="1"/>
      <c r="H120" s="43"/>
      <c r="I120" s="46"/>
      <c r="J120" s="46"/>
      <c r="K120" s="46"/>
      <c r="L120" s="46"/>
      <c r="M120" s="46"/>
      <c r="N120" s="46"/>
      <c r="O120" s="46"/>
      <c r="P120" s="46"/>
      <c r="Q120" s="46"/>
      <c r="R120" s="46"/>
      <c r="S120" s="46"/>
      <c r="T120" s="46"/>
      <c r="U120" s="46"/>
      <c r="V120" s="46"/>
      <c r="W120" s="62"/>
      <c r="X120" s="67"/>
      <c r="Y120" s="68" t="str" cm="1">
        <f t="array" ref="Y120">CalculerNouvelleDate(I120,X120)</f>
        <v/>
      </c>
      <c r="Z120" s="68" t="str" cm="1">
        <f t="array" ref="Z120">CalculerNouvelleDate(J120,Y120)</f>
        <v/>
      </c>
      <c r="AA120" s="68" t="str" cm="1">
        <f t="array" ref="AA120">CalculerNouvelleDate(K120,Z120)</f>
        <v/>
      </c>
      <c r="AB120" s="68" t="str" cm="1">
        <f t="array" ref="AB120">CalculerNouvelleDate(L120,AA120)</f>
        <v/>
      </c>
      <c r="AC120" s="68" t="str" cm="1">
        <f t="array" ref="AC120">CalculerNouvelleDate(M120,AB120)</f>
        <v/>
      </c>
      <c r="AD120" s="68" t="str" cm="1">
        <f t="array" ref="AD120">CalculerNouvelleDate(N120,AC120)</f>
        <v/>
      </c>
      <c r="AE120" s="68" t="str" cm="1">
        <f t="array" ref="AE120">CalculerNouvelleDate(O120,AD120)</f>
        <v/>
      </c>
      <c r="AF120" s="68" t="str" cm="1">
        <f t="array" ref="AF120">CalculerNouvelleDate(P120,AE120)</f>
        <v/>
      </c>
      <c r="AG120" s="68" t="str" cm="1">
        <f t="array" ref="AG120">CalculerNouvelleDate(Q120,AF120)</f>
        <v/>
      </c>
      <c r="AH120" s="68" t="str" cm="1">
        <f t="array" ref="AH120">CalculerNouvelleDate(R120,AG120)</f>
        <v/>
      </c>
      <c r="AI120" s="68" t="str" cm="1">
        <f t="array" ref="AI120">CalculerNouvelleDate(S120,AH120)</f>
        <v/>
      </c>
      <c r="AJ120" s="68" t="str" cm="1">
        <f t="array" ref="AJ120">CalculerNouvelleDate(T120,AI120)</f>
        <v/>
      </c>
      <c r="AK120" s="68" t="str" cm="1">
        <f t="array" ref="AK120">CalculerNouvelleDate(U120,AJ120)</f>
        <v/>
      </c>
      <c r="AL120" s="68" t="str" cm="1">
        <f t="array" ref="AL120">CalculerNouvelleDate(V120,AK120)</f>
        <v/>
      </c>
      <c r="AM120" s="83" t="str" cm="1">
        <f t="array" ref="AM120">CorrespondanceDAte(X120:AL120,D121)</f>
        <v>0</v>
      </c>
      <c r="AN120" s="1"/>
      <c r="AO120" s="1"/>
      <c r="AP120" s="1"/>
      <c r="AQ120" s="1"/>
      <c r="AR120" s="1"/>
      <c r="AS120" s="1"/>
      <c r="AT120" s="1"/>
      <c r="AU120" s="1"/>
      <c r="AV120" s="1"/>
      <c r="AW120" s="1"/>
      <c r="AX120" s="1"/>
      <c r="AY120" s="1"/>
      <c r="AZ120" s="1"/>
      <c r="BA120" s="1"/>
    </row>
    <row r="121" spans="1:53" x14ac:dyDescent="0.3">
      <c r="A121" s="1"/>
      <c r="B121" s="1"/>
      <c r="C121" s="69"/>
      <c r="D121" s="1"/>
      <c r="E121" s="1"/>
      <c r="F121" s="1"/>
      <c r="G121" s="1"/>
      <c r="H121" s="43"/>
      <c r="I121" s="46"/>
      <c r="J121" s="46"/>
      <c r="K121" s="46"/>
      <c r="L121" s="46"/>
      <c r="M121" s="46"/>
      <c r="N121" s="46"/>
      <c r="O121" s="46"/>
      <c r="P121" s="46"/>
      <c r="Q121" s="46"/>
      <c r="R121" s="46"/>
      <c r="S121" s="46"/>
      <c r="T121" s="46"/>
      <c r="U121" s="46"/>
      <c r="V121" s="46"/>
      <c r="W121" s="62"/>
      <c r="X121" s="67"/>
      <c r="Y121" s="68" t="str" cm="1">
        <f t="array" ref="Y121">CalculerNouvelleDate(I121,X121)</f>
        <v/>
      </c>
      <c r="Z121" s="68" t="str" cm="1">
        <f t="array" ref="Z121">CalculerNouvelleDate(J121,Y121)</f>
        <v/>
      </c>
      <c r="AA121" s="68" t="str" cm="1">
        <f t="array" ref="AA121">CalculerNouvelleDate(K121,Z121)</f>
        <v/>
      </c>
      <c r="AB121" s="68" t="str" cm="1">
        <f t="array" ref="AB121">CalculerNouvelleDate(L121,AA121)</f>
        <v/>
      </c>
      <c r="AC121" s="68" t="str" cm="1">
        <f t="array" ref="AC121">CalculerNouvelleDate(M121,AB121)</f>
        <v/>
      </c>
      <c r="AD121" s="68" t="str" cm="1">
        <f t="array" ref="AD121">CalculerNouvelleDate(N121,AC121)</f>
        <v/>
      </c>
      <c r="AE121" s="68" t="str" cm="1">
        <f t="array" ref="AE121">CalculerNouvelleDate(O121,AD121)</f>
        <v/>
      </c>
      <c r="AF121" s="68" t="str" cm="1">
        <f t="array" ref="AF121">CalculerNouvelleDate(P121,AE121)</f>
        <v/>
      </c>
      <c r="AG121" s="68" t="str" cm="1">
        <f t="array" ref="AG121">CalculerNouvelleDate(Q121,AF121)</f>
        <v/>
      </c>
      <c r="AH121" s="68" t="str" cm="1">
        <f t="array" ref="AH121">CalculerNouvelleDate(R121,AG121)</f>
        <v/>
      </c>
      <c r="AI121" s="68" t="str" cm="1">
        <f t="array" ref="AI121">CalculerNouvelleDate(S121,AH121)</f>
        <v/>
      </c>
      <c r="AJ121" s="68" t="str" cm="1">
        <f t="array" ref="AJ121">CalculerNouvelleDate(T121,AI121)</f>
        <v/>
      </c>
      <c r="AK121" s="68" t="str" cm="1">
        <f t="array" ref="AK121">CalculerNouvelleDate(U121,AJ121)</f>
        <v/>
      </c>
      <c r="AL121" s="68" t="str" cm="1">
        <f t="array" ref="AL121">CalculerNouvelleDate(V121,AK121)</f>
        <v/>
      </c>
      <c r="AM121" s="83" t="str" cm="1">
        <f t="array" ref="AM121">CorrespondanceDAte(X121:AL121,D122)</f>
        <v>0</v>
      </c>
      <c r="AN121" s="1"/>
      <c r="AO121" s="1"/>
      <c r="AP121" s="1"/>
      <c r="AQ121" s="1"/>
      <c r="AR121" s="1"/>
      <c r="AS121" s="1"/>
      <c r="AT121" s="1"/>
      <c r="AU121" s="1"/>
      <c r="AV121" s="1"/>
      <c r="AW121" s="1"/>
      <c r="AX121" s="1"/>
      <c r="AY121" s="1"/>
      <c r="AZ121" s="1"/>
      <c r="BA121" s="1"/>
    </row>
    <row r="122" spans="1:53" x14ac:dyDescent="0.3">
      <c r="A122" s="20" t="s">
        <v>37</v>
      </c>
      <c r="B122" s="19"/>
      <c r="C122" s="19"/>
      <c r="D122" s="19"/>
      <c r="E122" s="19"/>
      <c r="F122" s="22"/>
      <c r="G122" s="22"/>
      <c r="H122" s="43"/>
      <c r="I122" s="1"/>
      <c r="J122" s="1"/>
      <c r="K122" s="1"/>
      <c r="L122" s="1"/>
      <c r="M122" s="1"/>
      <c r="N122" s="1"/>
      <c r="O122" s="1"/>
      <c r="P122" s="1"/>
      <c r="Q122" s="1"/>
      <c r="R122" s="1"/>
      <c r="S122" s="1"/>
      <c r="T122" s="1"/>
      <c r="U122" s="1"/>
      <c r="V122" s="1"/>
      <c r="W122" s="11"/>
      <c r="X122" s="67"/>
      <c r="Y122" s="68" t="str" cm="1">
        <f t="array" ref="Y122">CalculerNouvelleDate(I122,X122)</f>
        <v/>
      </c>
      <c r="Z122" s="68" t="str" cm="1">
        <f t="array" ref="Z122">CalculerNouvelleDate(J122,Y122)</f>
        <v/>
      </c>
      <c r="AA122" s="68" t="str" cm="1">
        <f t="array" ref="AA122">CalculerNouvelleDate(K122,Z122)</f>
        <v/>
      </c>
      <c r="AB122" s="68" t="str" cm="1">
        <f t="array" ref="AB122">CalculerNouvelleDate(L122,AA122)</f>
        <v/>
      </c>
      <c r="AC122" s="68" t="str" cm="1">
        <f t="array" ref="AC122">CalculerNouvelleDate(M122,AB122)</f>
        <v/>
      </c>
      <c r="AD122" s="68" t="str" cm="1">
        <f t="array" ref="AD122">CalculerNouvelleDate(N122,AC122)</f>
        <v/>
      </c>
      <c r="AE122" s="68" t="str" cm="1">
        <f t="array" ref="AE122">CalculerNouvelleDate(O122,AD122)</f>
        <v/>
      </c>
      <c r="AF122" s="68" t="str" cm="1">
        <f t="array" ref="AF122">CalculerNouvelleDate(P122,AE122)</f>
        <v/>
      </c>
      <c r="AG122" s="68" t="str" cm="1">
        <f t="array" ref="AG122">CalculerNouvelleDate(Q122,AF122)</f>
        <v/>
      </c>
      <c r="AH122" s="68" t="str" cm="1">
        <f t="array" ref="AH122">CalculerNouvelleDate(R122,AG122)</f>
        <v/>
      </c>
      <c r="AI122" s="68" t="str" cm="1">
        <f t="array" ref="AI122">CalculerNouvelleDate(S122,AH122)</f>
        <v/>
      </c>
      <c r="AJ122" s="68" t="str" cm="1">
        <f t="array" ref="AJ122">CalculerNouvelleDate(T122,AI122)</f>
        <v/>
      </c>
      <c r="AK122" s="68" t="str" cm="1">
        <f t="array" ref="AK122">CalculerNouvelleDate(U122,AJ122)</f>
        <v/>
      </c>
      <c r="AL122" s="68" t="str" cm="1">
        <f t="array" ref="AL122">CalculerNouvelleDate(V122,AK122)</f>
        <v/>
      </c>
      <c r="AM122" s="83" t="str" cm="1">
        <f t="array" ref="AM122">CorrespondanceDAte(X122:AL122,D123)</f>
        <v>0</v>
      </c>
      <c r="AN122" s="1"/>
      <c r="AO122" s="1"/>
      <c r="AP122" s="1"/>
      <c r="AQ122" s="1"/>
      <c r="AR122" s="1"/>
      <c r="AS122" s="1"/>
      <c r="AT122" s="1"/>
      <c r="AU122" s="1"/>
      <c r="AV122" s="1"/>
      <c r="AW122" s="1"/>
      <c r="AX122" s="1"/>
      <c r="AY122" s="1"/>
      <c r="AZ122" s="1"/>
      <c r="BA122" s="1"/>
    </row>
    <row r="123" spans="1:53" x14ac:dyDescent="0.3">
      <c r="A123" s="21"/>
      <c r="B123" s="11">
        <v>1</v>
      </c>
      <c r="C123" s="1" t="s">
        <v>38</v>
      </c>
      <c r="D123" s="1"/>
      <c r="E123" s="1"/>
      <c r="F123" s="1"/>
      <c r="G123" s="1"/>
      <c r="H123" s="43"/>
      <c r="I123" s="1"/>
      <c r="J123" s="1"/>
      <c r="K123" s="1"/>
      <c r="L123" s="1"/>
      <c r="M123" s="1"/>
      <c r="N123" s="1"/>
      <c r="O123" s="1"/>
      <c r="P123" s="1"/>
      <c r="Q123" s="1"/>
      <c r="R123" s="1"/>
      <c r="S123" s="1"/>
      <c r="T123" s="1"/>
      <c r="U123" s="1"/>
      <c r="V123" s="1"/>
      <c r="W123" s="11"/>
      <c r="X123" s="67"/>
      <c r="Y123" s="68" t="str" cm="1">
        <f t="array" ref="Y123">CalculerNouvelleDate(I123,X123)</f>
        <v/>
      </c>
      <c r="Z123" s="68" t="str" cm="1">
        <f t="array" ref="Z123">CalculerNouvelleDate(J123,Y123)</f>
        <v/>
      </c>
      <c r="AA123" s="68" t="str" cm="1">
        <f t="array" ref="AA123">CalculerNouvelleDate(K123,Z123)</f>
        <v/>
      </c>
      <c r="AB123" s="68" t="str" cm="1">
        <f t="array" ref="AB123">CalculerNouvelleDate(L123,AA123)</f>
        <v/>
      </c>
      <c r="AC123" s="68" t="str" cm="1">
        <f t="array" ref="AC123">CalculerNouvelleDate(M123,AB123)</f>
        <v/>
      </c>
      <c r="AD123" s="68" t="str" cm="1">
        <f t="array" ref="AD123">CalculerNouvelleDate(N123,AC123)</f>
        <v/>
      </c>
      <c r="AE123" s="68" t="str" cm="1">
        <f t="array" ref="AE123">CalculerNouvelleDate(O123,AD123)</f>
        <v/>
      </c>
      <c r="AF123" s="68" t="str" cm="1">
        <f t="array" ref="AF123">CalculerNouvelleDate(P123,AE123)</f>
        <v/>
      </c>
      <c r="AG123" s="68" t="str" cm="1">
        <f t="array" ref="AG123">CalculerNouvelleDate(Q123,AF123)</f>
        <v/>
      </c>
      <c r="AH123" s="68" t="str" cm="1">
        <f t="array" ref="AH123">CalculerNouvelleDate(R123,AG123)</f>
        <v/>
      </c>
      <c r="AI123" s="68" t="str" cm="1">
        <f t="array" ref="AI123">CalculerNouvelleDate(S123,AH123)</f>
        <v/>
      </c>
      <c r="AJ123" s="68" t="str" cm="1">
        <f t="array" ref="AJ123">CalculerNouvelleDate(T123,AI123)</f>
        <v/>
      </c>
      <c r="AK123" s="68" t="str" cm="1">
        <f t="array" ref="AK123">CalculerNouvelleDate(U123,AJ123)</f>
        <v/>
      </c>
      <c r="AL123" s="68" t="str" cm="1">
        <f t="array" ref="AL123">CalculerNouvelleDate(V123,AK123)</f>
        <v/>
      </c>
      <c r="AM123" s="83" t="str" cm="1">
        <f t="array" ref="AM123">CorrespondanceDAte(X123:AL123,D124)</f>
        <v>0</v>
      </c>
      <c r="AN123" s="1"/>
      <c r="AO123" s="1"/>
      <c r="AP123" s="1"/>
      <c r="AQ123" s="1"/>
      <c r="AR123" s="1"/>
      <c r="AS123" s="1"/>
      <c r="AT123" s="1"/>
      <c r="AU123" s="1"/>
      <c r="AV123" s="1"/>
      <c r="AW123" s="1"/>
      <c r="AX123" s="1"/>
      <c r="AY123" s="1"/>
      <c r="AZ123" s="1"/>
      <c r="BA123" s="1"/>
    </row>
    <row r="124" spans="1:53" x14ac:dyDescent="0.3">
      <c r="A124" s="21"/>
      <c r="B124" s="11"/>
      <c r="C124" s="69" t="s">
        <v>531</v>
      </c>
      <c r="D124" s="1" t="s">
        <v>672</v>
      </c>
      <c r="E124" s="1"/>
      <c r="F124" s="1"/>
      <c r="G124" s="1"/>
      <c r="H124" s="43"/>
      <c r="I124" s="46"/>
      <c r="J124" s="46"/>
      <c r="K124" s="46"/>
      <c r="L124" s="46"/>
      <c r="M124" s="46"/>
      <c r="N124" s="46"/>
      <c r="O124" s="46"/>
      <c r="P124" s="46"/>
      <c r="Q124" s="46"/>
      <c r="R124" s="46"/>
      <c r="S124" s="46"/>
      <c r="T124" s="46"/>
      <c r="U124" s="46"/>
      <c r="V124" s="46"/>
      <c r="W124" s="62"/>
      <c r="X124" s="67"/>
      <c r="Y124" s="68" t="str" cm="1">
        <f t="array" ref="Y124">CalculerNouvelleDate(I124,X124)</f>
        <v/>
      </c>
      <c r="Z124" s="68" t="str" cm="1">
        <f t="array" ref="Z124">CalculerNouvelleDate(J124,Y124)</f>
        <v/>
      </c>
      <c r="AA124" s="68" t="str" cm="1">
        <f t="array" ref="AA124">CalculerNouvelleDate(K124,Z124)</f>
        <v/>
      </c>
      <c r="AB124" s="68" t="str" cm="1">
        <f t="array" ref="AB124">CalculerNouvelleDate(L124,AA124)</f>
        <v/>
      </c>
      <c r="AC124" s="68" t="str" cm="1">
        <f t="array" ref="AC124">CalculerNouvelleDate(M124,AB124)</f>
        <v/>
      </c>
      <c r="AD124" s="68" t="str" cm="1">
        <f t="array" ref="AD124">CalculerNouvelleDate(N124,AC124)</f>
        <v/>
      </c>
      <c r="AE124" s="68" t="str" cm="1">
        <f t="array" ref="AE124">CalculerNouvelleDate(O124,AD124)</f>
        <v/>
      </c>
      <c r="AF124" s="68" t="str" cm="1">
        <f t="array" ref="AF124">CalculerNouvelleDate(P124,AE124)</f>
        <v/>
      </c>
      <c r="AG124" s="68" t="str" cm="1">
        <f t="array" ref="AG124">CalculerNouvelleDate(Q124,AF124)</f>
        <v/>
      </c>
      <c r="AH124" s="68" t="str" cm="1">
        <f t="array" ref="AH124">CalculerNouvelleDate(R124,AG124)</f>
        <v/>
      </c>
      <c r="AI124" s="68" t="str" cm="1">
        <f t="array" ref="AI124">CalculerNouvelleDate(S124,AH124)</f>
        <v/>
      </c>
      <c r="AJ124" s="68" t="str" cm="1">
        <f t="array" ref="AJ124">CalculerNouvelleDate(T124,AI124)</f>
        <v/>
      </c>
      <c r="AK124" s="68" t="str" cm="1">
        <f t="array" ref="AK124">CalculerNouvelleDate(U124,AJ124)</f>
        <v/>
      </c>
      <c r="AL124" s="68" t="str" cm="1">
        <f t="array" ref="AL124">CalculerNouvelleDate(V124,AK124)</f>
        <v/>
      </c>
      <c r="AM124" s="83" t="str" cm="1">
        <f t="array" ref="AM124">CorrespondanceDAte(X124:AL124,D125)</f>
        <v>0</v>
      </c>
      <c r="AN124" s="1"/>
      <c r="AO124" s="1"/>
      <c r="AP124" s="1"/>
      <c r="AQ124" s="1"/>
      <c r="AR124" s="1"/>
      <c r="AS124" s="1"/>
      <c r="AT124" s="1"/>
      <c r="AU124" s="1"/>
      <c r="AV124" s="1"/>
      <c r="AW124" s="1"/>
      <c r="AX124" s="1"/>
      <c r="AY124" s="1"/>
      <c r="AZ124" s="1"/>
      <c r="BA124" s="1"/>
    </row>
    <row r="125" spans="1:53" x14ac:dyDescent="0.3">
      <c r="A125" s="21"/>
      <c r="B125" s="11"/>
      <c r="C125" s="69" t="s">
        <v>534</v>
      </c>
      <c r="D125" s="1" t="s">
        <v>673</v>
      </c>
      <c r="E125" s="1"/>
      <c r="F125" s="1"/>
      <c r="G125" s="1"/>
      <c r="H125" s="43"/>
      <c r="I125" s="46"/>
      <c r="J125" s="46"/>
      <c r="K125" s="46"/>
      <c r="L125" s="46"/>
      <c r="M125" s="46"/>
      <c r="N125" s="46"/>
      <c r="O125" s="46"/>
      <c r="P125" s="46"/>
      <c r="Q125" s="46"/>
      <c r="R125" s="46"/>
      <c r="S125" s="46"/>
      <c r="T125" s="46"/>
      <c r="U125" s="46"/>
      <c r="V125" s="46"/>
      <c r="W125" s="62"/>
      <c r="X125" s="67"/>
      <c r="Y125" s="68" t="str" cm="1">
        <f t="array" ref="Y125">CalculerNouvelleDate(I125,X125)</f>
        <v/>
      </c>
      <c r="Z125" s="68" t="str" cm="1">
        <f t="array" ref="Z125">CalculerNouvelleDate(J125,Y125)</f>
        <v/>
      </c>
      <c r="AA125" s="68" t="str" cm="1">
        <f t="array" ref="AA125">CalculerNouvelleDate(K125,Z125)</f>
        <v/>
      </c>
      <c r="AB125" s="68" t="str" cm="1">
        <f t="array" ref="AB125">CalculerNouvelleDate(L125,AA125)</f>
        <v/>
      </c>
      <c r="AC125" s="68" t="str" cm="1">
        <f t="array" ref="AC125">CalculerNouvelleDate(M125,AB125)</f>
        <v/>
      </c>
      <c r="AD125" s="68" t="str" cm="1">
        <f t="array" ref="AD125">CalculerNouvelleDate(N125,AC125)</f>
        <v/>
      </c>
      <c r="AE125" s="68" t="str" cm="1">
        <f t="array" ref="AE125">CalculerNouvelleDate(O125,AD125)</f>
        <v/>
      </c>
      <c r="AF125" s="68" t="str" cm="1">
        <f t="array" ref="AF125">CalculerNouvelleDate(P125,AE125)</f>
        <v/>
      </c>
      <c r="AG125" s="68" t="str" cm="1">
        <f t="array" ref="AG125">CalculerNouvelleDate(Q125,AF125)</f>
        <v/>
      </c>
      <c r="AH125" s="68" t="str" cm="1">
        <f t="array" ref="AH125">CalculerNouvelleDate(R125,AG125)</f>
        <v/>
      </c>
      <c r="AI125" s="68" t="str" cm="1">
        <f t="array" ref="AI125">CalculerNouvelleDate(S125,AH125)</f>
        <v/>
      </c>
      <c r="AJ125" s="68" t="str" cm="1">
        <f t="array" ref="AJ125">CalculerNouvelleDate(T125,AI125)</f>
        <v/>
      </c>
      <c r="AK125" s="68" t="str" cm="1">
        <f t="array" ref="AK125">CalculerNouvelleDate(U125,AJ125)</f>
        <v/>
      </c>
      <c r="AL125" s="68" t="str" cm="1">
        <f t="array" ref="AL125">CalculerNouvelleDate(V125,AK125)</f>
        <v/>
      </c>
      <c r="AM125" s="83" t="str" cm="1">
        <f t="array" ref="AM125">CorrespondanceDAte(X125:AL125,D126)</f>
        <v>0</v>
      </c>
      <c r="AN125" s="1"/>
      <c r="AO125" s="1"/>
      <c r="AP125" s="1"/>
      <c r="AQ125" s="1"/>
      <c r="AR125" s="1"/>
      <c r="AS125" s="1"/>
      <c r="AT125" s="1"/>
      <c r="AU125" s="1"/>
      <c r="AV125" s="1"/>
      <c r="AW125" s="1"/>
      <c r="AX125" s="1"/>
      <c r="AY125" s="1"/>
      <c r="AZ125" s="1"/>
      <c r="BA125" s="1"/>
    </row>
    <row r="126" spans="1:53" x14ac:dyDescent="0.3">
      <c r="A126" s="21"/>
      <c r="B126" s="11"/>
      <c r="C126" s="69" t="s">
        <v>538</v>
      </c>
      <c r="D126" s="1" t="s">
        <v>674</v>
      </c>
      <c r="E126" s="1"/>
      <c r="F126" s="1"/>
      <c r="G126" s="1"/>
      <c r="H126" s="43"/>
      <c r="I126" s="46"/>
      <c r="J126" s="46"/>
      <c r="K126" s="46"/>
      <c r="L126" s="46"/>
      <c r="M126" s="46"/>
      <c r="N126" s="46"/>
      <c r="O126" s="46"/>
      <c r="P126" s="46"/>
      <c r="Q126" s="46"/>
      <c r="R126" s="46"/>
      <c r="S126" s="46"/>
      <c r="T126" s="46"/>
      <c r="U126" s="46"/>
      <c r="V126" s="46"/>
      <c r="W126" s="62"/>
      <c r="X126" s="67"/>
      <c r="Y126" s="68" t="str" cm="1">
        <f t="array" ref="Y126">CalculerNouvelleDate(I126,X126)</f>
        <v/>
      </c>
      <c r="Z126" s="68" t="str" cm="1">
        <f t="array" ref="Z126">CalculerNouvelleDate(J126,Y126)</f>
        <v/>
      </c>
      <c r="AA126" s="68" t="str" cm="1">
        <f t="array" ref="AA126">CalculerNouvelleDate(K126,Z126)</f>
        <v/>
      </c>
      <c r="AB126" s="68" t="str" cm="1">
        <f t="array" ref="AB126">CalculerNouvelleDate(L126,AA126)</f>
        <v/>
      </c>
      <c r="AC126" s="68" t="str" cm="1">
        <f t="array" ref="AC126">CalculerNouvelleDate(M126,AB126)</f>
        <v/>
      </c>
      <c r="AD126" s="68" t="str" cm="1">
        <f t="array" ref="AD126">CalculerNouvelleDate(N126,AC126)</f>
        <v/>
      </c>
      <c r="AE126" s="68" t="str" cm="1">
        <f t="array" ref="AE126">CalculerNouvelleDate(O126,AD126)</f>
        <v/>
      </c>
      <c r="AF126" s="68" t="str" cm="1">
        <f t="array" ref="AF126">CalculerNouvelleDate(P126,AE126)</f>
        <v/>
      </c>
      <c r="AG126" s="68" t="str" cm="1">
        <f t="array" ref="AG126">CalculerNouvelleDate(Q126,AF126)</f>
        <v/>
      </c>
      <c r="AH126" s="68" t="str" cm="1">
        <f t="array" ref="AH126">CalculerNouvelleDate(R126,AG126)</f>
        <v/>
      </c>
      <c r="AI126" s="68" t="str" cm="1">
        <f t="array" ref="AI126">CalculerNouvelleDate(S126,AH126)</f>
        <v/>
      </c>
      <c r="AJ126" s="68" t="str" cm="1">
        <f t="array" ref="AJ126">CalculerNouvelleDate(T126,AI126)</f>
        <v/>
      </c>
      <c r="AK126" s="68" t="str" cm="1">
        <f t="array" ref="AK126">CalculerNouvelleDate(U126,AJ126)</f>
        <v/>
      </c>
      <c r="AL126" s="68" t="str" cm="1">
        <f t="array" ref="AL126">CalculerNouvelleDate(V126,AK126)</f>
        <v/>
      </c>
      <c r="AM126" s="83" t="str" cm="1">
        <f t="array" ref="AM126">CorrespondanceDAte(X126:AL126,D127)</f>
        <v>0</v>
      </c>
      <c r="AN126" s="1"/>
      <c r="AO126" s="1"/>
      <c r="AP126" s="1"/>
      <c r="AQ126" s="1"/>
      <c r="AR126" s="1"/>
      <c r="AS126" s="1"/>
      <c r="AT126" s="1"/>
      <c r="AU126" s="1"/>
      <c r="AV126" s="1"/>
      <c r="AW126" s="1"/>
      <c r="AX126" s="1"/>
      <c r="AY126" s="1"/>
      <c r="AZ126" s="1"/>
      <c r="BA126" s="1"/>
    </row>
    <row r="127" spans="1:53" x14ac:dyDescent="0.3">
      <c r="A127" s="1"/>
      <c r="B127" s="11">
        <v>2</v>
      </c>
      <c r="C127" s="1" t="s">
        <v>39</v>
      </c>
      <c r="D127" s="1"/>
      <c r="E127" s="1"/>
      <c r="F127" s="1"/>
      <c r="G127" s="1"/>
      <c r="H127" s="43"/>
      <c r="I127" s="1"/>
      <c r="J127" s="1"/>
      <c r="K127" s="1"/>
      <c r="L127" s="1"/>
      <c r="M127" s="1"/>
      <c r="N127" s="1"/>
      <c r="O127" s="1"/>
      <c r="P127" s="1"/>
      <c r="Q127" s="1"/>
      <c r="R127" s="1"/>
      <c r="S127" s="1"/>
      <c r="T127" s="1"/>
      <c r="U127" s="1"/>
      <c r="V127" s="1"/>
      <c r="W127" s="11"/>
      <c r="X127" s="67"/>
      <c r="Y127" s="68" t="str" cm="1">
        <f t="array" ref="Y127">CalculerNouvelleDate(I127,X127)</f>
        <v/>
      </c>
      <c r="Z127" s="68" t="str" cm="1">
        <f t="array" ref="Z127">CalculerNouvelleDate(J127,Y127)</f>
        <v/>
      </c>
      <c r="AA127" s="68" t="str" cm="1">
        <f t="array" ref="AA127">CalculerNouvelleDate(K127,Z127)</f>
        <v/>
      </c>
      <c r="AB127" s="68" t="str" cm="1">
        <f t="array" ref="AB127">CalculerNouvelleDate(L127,AA127)</f>
        <v/>
      </c>
      <c r="AC127" s="68" t="str" cm="1">
        <f t="array" ref="AC127">CalculerNouvelleDate(M127,AB127)</f>
        <v/>
      </c>
      <c r="AD127" s="68" t="str" cm="1">
        <f t="array" ref="AD127">CalculerNouvelleDate(N127,AC127)</f>
        <v/>
      </c>
      <c r="AE127" s="68" t="str" cm="1">
        <f t="array" ref="AE127">CalculerNouvelleDate(O127,AD127)</f>
        <v/>
      </c>
      <c r="AF127" s="68" t="str" cm="1">
        <f t="array" ref="AF127">CalculerNouvelleDate(P127,AE127)</f>
        <v/>
      </c>
      <c r="AG127" s="68" t="str" cm="1">
        <f t="array" ref="AG127">CalculerNouvelleDate(Q127,AF127)</f>
        <v/>
      </c>
      <c r="AH127" s="68" t="str" cm="1">
        <f t="array" ref="AH127">CalculerNouvelleDate(R127,AG127)</f>
        <v/>
      </c>
      <c r="AI127" s="68" t="str" cm="1">
        <f t="array" ref="AI127">CalculerNouvelleDate(S127,AH127)</f>
        <v/>
      </c>
      <c r="AJ127" s="68" t="str" cm="1">
        <f t="array" ref="AJ127">CalculerNouvelleDate(T127,AI127)</f>
        <v/>
      </c>
      <c r="AK127" s="68" t="str" cm="1">
        <f t="array" ref="AK127">CalculerNouvelleDate(U127,AJ127)</f>
        <v/>
      </c>
      <c r="AL127" s="68" t="str" cm="1">
        <f t="array" ref="AL127">CalculerNouvelleDate(V127,AK127)</f>
        <v/>
      </c>
      <c r="AM127" s="83" t="str" cm="1">
        <f t="array" ref="AM127">CorrespondanceDAte(X127:AL127,D128)</f>
        <v>0</v>
      </c>
      <c r="AN127" s="1"/>
      <c r="AO127" s="1"/>
      <c r="AP127" s="1"/>
      <c r="AQ127" s="1"/>
      <c r="AR127" s="1"/>
      <c r="AS127" s="1"/>
      <c r="AT127" s="1"/>
      <c r="AU127" s="1"/>
      <c r="AV127" s="1"/>
      <c r="AW127" s="1"/>
      <c r="AX127" s="1"/>
      <c r="AY127" s="1"/>
      <c r="AZ127" s="1"/>
      <c r="BA127" s="1"/>
    </row>
    <row r="128" spans="1:53" x14ac:dyDescent="0.3">
      <c r="A128" s="1"/>
      <c r="B128" s="11"/>
      <c r="C128" s="69" t="s">
        <v>533</v>
      </c>
      <c r="D128" s="1" t="s">
        <v>675</v>
      </c>
      <c r="E128" s="1"/>
      <c r="F128" s="1"/>
      <c r="G128" s="1"/>
      <c r="H128" s="43"/>
      <c r="I128" s="46"/>
      <c r="J128" s="46"/>
      <c r="K128" s="46"/>
      <c r="L128" s="46"/>
      <c r="M128" s="46"/>
      <c r="N128" s="46"/>
      <c r="O128" s="46"/>
      <c r="P128" s="46"/>
      <c r="Q128" s="46"/>
      <c r="R128" s="46"/>
      <c r="S128" s="46"/>
      <c r="T128" s="46"/>
      <c r="U128" s="46"/>
      <c r="V128" s="46"/>
      <c r="W128" s="62"/>
      <c r="X128" s="67"/>
      <c r="Y128" s="68" t="str" cm="1">
        <f t="array" ref="Y128">CalculerNouvelleDate(I128,X128)</f>
        <v/>
      </c>
      <c r="Z128" s="68" t="str" cm="1">
        <f t="array" ref="Z128">CalculerNouvelleDate(J128,Y128)</f>
        <v/>
      </c>
      <c r="AA128" s="68" t="str" cm="1">
        <f t="array" ref="AA128">CalculerNouvelleDate(K128,Z128)</f>
        <v/>
      </c>
      <c r="AB128" s="68" t="str" cm="1">
        <f t="array" ref="AB128">CalculerNouvelleDate(L128,AA128)</f>
        <v/>
      </c>
      <c r="AC128" s="68" t="str" cm="1">
        <f t="array" ref="AC128">CalculerNouvelleDate(M128,AB128)</f>
        <v/>
      </c>
      <c r="AD128" s="68" t="str" cm="1">
        <f t="array" ref="AD128">CalculerNouvelleDate(N128,AC128)</f>
        <v/>
      </c>
      <c r="AE128" s="68" t="str" cm="1">
        <f t="array" ref="AE128">CalculerNouvelleDate(O128,AD128)</f>
        <v/>
      </c>
      <c r="AF128" s="68" t="str" cm="1">
        <f t="array" ref="AF128">CalculerNouvelleDate(P128,AE128)</f>
        <v/>
      </c>
      <c r="AG128" s="68" t="str" cm="1">
        <f t="array" ref="AG128">CalculerNouvelleDate(Q128,AF128)</f>
        <v/>
      </c>
      <c r="AH128" s="68" t="str" cm="1">
        <f t="array" ref="AH128">CalculerNouvelleDate(R128,AG128)</f>
        <v/>
      </c>
      <c r="AI128" s="68" t="str" cm="1">
        <f t="array" ref="AI128">CalculerNouvelleDate(S128,AH128)</f>
        <v/>
      </c>
      <c r="AJ128" s="68" t="str" cm="1">
        <f t="array" ref="AJ128">CalculerNouvelleDate(T128,AI128)</f>
        <v/>
      </c>
      <c r="AK128" s="68" t="str" cm="1">
        <f t="array" ref="AK128">CalculerNouvelleDate(U128,AJ128)</f>
        <v/>
      </c>
      <c r="AL128" s="68" t="str" cm="1">
        <f t="array" ref="AL128">CalculerNouvelleDate(V128,AK128)</f>
        <v/>
      </c>
      <c r="AM128" s="83" t="str" cm="1">
        <f t="array" ref="AM128">CorrespondanceDAte(X128:AL128,D129)</f>
        <v>0</v>
      </c>
      <c r="AN128" s="1"/>
      <c r="AO128" s="1"/>
      <c r="AP128" s="1"/>
      <c r="AQ128" s="1"/>
      <c r="AR128" s="1"/>
      <c r="AS128" s="1"/>
      <c r="AT128" s="1"/>
      <c r="AU128" s="1"/>
      <c r="AV128" s="1"/>
      <c r="AW128" s="1"/>
      <c r="AX128" s="1"/>
      <c r="AY128" s="1"/>
      <c r="AZ128" s="1"/>
      <c r="BA128" s="1"/>
    </row>
    <row r="129" spans="1:53" x14ac:dyDescent="0.3">
      <c r="A129" s="1"/>
      <c r="B129" s="11"/>
      <c r="C129" s="69" t="s">
        <v>535</v>
      </c>
      <c r="D129" s="1" t="s">
        <v>676</v>
      </c>
      <c r="E129" s="1"/>
      <c r="F129" s="1"/>
      <c r="G129" s="1"/>
      <c r="H129" s="43"/>
      <c r="I129" s="46"/>
      <c r="J129" s="46"/>
      <c r="K129" s="46"/>
      <c r="L129" s="46"/>
      <c r="M129" s="46"/>
      <c r="N129" s="46"/>
      <c r="O129" s="46"/>
      <c r="P129" s="46"/>
      <c r="Q129" s="46"/>
      <c r="R129" s="46"/>
      <c r="S129" s="46"/>
      <c r="T129" s="46"/>
      <c r="U129" s="46"/>
      <c r="V129" s="46"/>
      <c r="W129" s="62"/>
      <c r="X129" s="67"/>
      <c r="Y129" s="68" t="str" cm="1">
        <f t="array" ref="Y129">CalculerNouvelleDate(I129,X129)</f>
        <v/>
      </c>
      <c r="Z129" s="68" t="str" cm="1">
        <f t="array" ref="Z129">CalculerNouvelleDate(J129,Y129)</f>
        <v/>
      </c>
      <c r="AA129" s="68" t="str" cm="1">
        <f t="array" ref="AA129">CalculerNouvelleDate(K129,Z129)</f>
        <v/>
      </c>
      <c r="AB129" s="68" t="str" cm="1">
        <f t="array" ref="AB129">CalculerNouvelleDate(L129,AA129)</f>
        <v/>
      </c>
      <c r="AC129" s="68" t="str" cm="1">
        <f t="array" ref="AC129">CalculerNouvelleDate(M129,AB129)</f>
        <v/>
      </c>
      <c r="AD129" s="68" t="str" cm="1">
        <f t="array" ref="AD129">CalculerNouvelleDate(N129,AC129)</f>
        <v/>
      </c>
      <c r="AE129" s="68" t="str" cm="1">
        <f t="array" ref="AE129">CalculerNouvelleDate(O129,AD129)</f>
        <v/>
      </c>
      <c r="AF129" s="68" t="str" cm="1">
        <f t="array" ref="AF129">CalculerNouvelleDate(P129,AE129)</f>
        <v/>
      </c>
      <c r="AG129" s="68" t="str" cm="1">
        <f t="array" ref="AG129">CalculerNouvelleDate(Q129,AF129)</f>
        <v/>
      </c>
      <c r="AH129" s="68" t="str" cm="1">
        <f t="array" ref="AH129">CalculerNouvelleDate(R129,AG129)</f>
        <v/>
      </c>
      <c r="AI129" s="68" t="str" cm="1">
        <f t="array" ref="AI129">CalculerNouvelleDate(S129,AH129)</f>
        <v/>
      </c>
      <c r="AJ129" s="68" t="str" cm="1">
        <f t="array" ref="AJ129">CalculerNouvelleDate(T129,AI129)</f>
        <v/>
      </c>
      <c r="AK129" s="68" t="str" cm="1">
        <f t="array" ref="AK129">CalculerNouvelleDate(U129,AJ129)</f>
        <v/>
      </c>
      <c r="AL129" s="68" t="str" cm="1">
        <f t="array" ref="AL129">CalculerNouvelleDate(V129,AK129)</f>
        <v/>
      </c>
      <c r="AM129" s="83" t="str" cm="1">
        <f t="array" ref="AM129">CorrespondanceDAte(X129:AL129,D130)</f>
        <v>0</v>
      </c>
      <c r="AN129" s="1"/>
      <c r="AO129" s="1"/>
      <c r="AP129" s="1"/>
      <c r="AQ129" s="1"/>
      <c r="AR129" s="1"/>
      <c r="AS129" s="1"/>
      <c r="AT129" s="1"/>
      <c r="AU129" s="1"/>
      <c r="AV129" s="1"/>
      <c r="AW129" s="1"/>
      <c r="AX129" s="1"/>
      <c r="AY129" s="1"/>
      <c r="AZ129" s="1"/>
      <c r="BA129" s="1"/>
    </row>
    <row r="130" spans="1:53" x14ac:dyDescent="0.3">
      <c r="A130" s="1"/>
      <c r="B130" s="11"/>
      <c r="C130" s="69" t="s">
        <v>545</v>
      </c>
      <c r="D130" s="1" t="s">
        <v>677</v>
      </c>
      <c r="E130" s="1"/>
      <c r="F130" s="1"/>
      <c r="G130" s="1"/>
      <c r="H130" s="43"/>
      <c r="I130" s="46"/>
      <c r="J130" s="46"/>
      <c r="K130" s="46"/>
      <c r="L130" s="46"/>
      <c r="M130" s="46"/>
      <c r="N130" s="46"/>
      <c r="O130" s="46"/>
      <c r="P130" s="46"/>
      <c r="Q130" s="46"/>
      <c r="R130" s="46"/>
      <c r="S130" s="46"/>
      <c r="T130" s="46"/>
      <c r="U130" s="46"/>
      <c r="V130" s="46"/>
      <c r="W130" s="62"/>
      <c r="X130" s="67"/>
      <c r="Y130" s="68" t="str" cm="1">
        <f t="array" ref="Y130">CalculerNouvelleDate(I130,X130)</f>
        <v/>
      </c>
      <c r="Z130" s="68" t="str" cm="1">
        <f t="array" ref="Z130">CalculerNouvelleDate(J130,Y130)</f>
        <v/>
      </c>
      <c r="AA130" s="68" t="str" cm="1">
        <f t="array" ref="AA130">CalculerNouvelleDate(K130,Z130)</f>
        <v/>
      </c>
      <c r="AB130" s="68" t="str" cm="1">
        <f t="array" ref="AB130">CalculerNouvelleDate(L130,AA130)</f>
        <v/>
      </c>
      <c r="AC130" s="68" t="str" cm="1">
        <f t="array" ref="AC130">CalculerNouvelleDate(M130,AB130)</f>
        <v/>
      </c>
      <c r="AD130" s="68" t="str" cm="1">
        <f t="array" ref="AD130">CalculerNouvelleDate(N130,AC130)</f>
        <v/>
      </c>
      <c r="AE130" s="68" t="str" cm="1">
        <f t="array" ref="AE130">CalculerNouvelleDate(O130,AD130)</f>
        <v/>
      </c>
      <c r="AF130" s="68" t="str" cm="1">
        <f t="array" ref="AF130">CalculerNouvelleDate(P130,AE130)</f>
        <v/>
      </c>
      <c r="AG130" s="68" t="str" cm="1">
        <f t="array" ref="AG130">CalculerNouvelleDate(Q130,AF130)</f>
        <v/>
      </c>
      <c r="AH130" s="68" t="str" cm="1">
        <f t="array" ref="AH130">CalculerNouvelleDate(R130,AG130)</f>
        <v/>
      </c>
      <c r="AI130" s="68" t="str" cm="1">
        <f t="array" ref="AI130">CalculerNouvelleDate(S130,AH130)</f>
        <v/>
      </c>
      <c r="AJ130" s="68" t="str" cm="1">
        <f t="array" ref="AJ130">CalculerNouvelleDate(T130,AI130)</f>
        <v/>
      </c>
      <c r="AK130" s="68" t="str" cm="1">
        <f t="array" ref="AK130">CalculerNouvelleDate(U130,AJ130)</f>
        <v/>
      </c>
      <c r="AL130" s="68" t="str" cm="1">
        <f t="array" ref="AL130">CalculerNouvelleDate(V130,AK130)</f>
        <v/>
      </c>
      <c r="AM130" s="83" t="str" cm="1">
        <f t="array" ref="AM130">CorrespondanceDAte(X130:AL130,D131)</f>
        <v>0</v>
      </c>
      <c r="AN130" s="1"/>
      <c r="AO130" s="1"/>
      <c r="AP130" s="1"/>
      <c r="AQ130" s="1"/>
      <c r="AR130" s="1"/>
      <c r="AS130" s="1"/>
      <c r="AT130" s="1"/>
      <c r="AU130" s="1"/>
      <c r="AV130" s="1"/>
      <c r="AW130" s="1"/>
      <c r="AX130" s="1"/>
      <c r="AY130" s="1"/>
      <c r="AZ130" s="1"/>
      <c r="BA130" s="1"/>
    </row>
    <row r="131" spans="1:53" x14ac:dyDescent="0.3">
      <c r="A131" s="1"/>
      <c r="B131" s="11">
        <v>3</v>
      </c>
      <c r="C131" s="1" t="s">
        <v>40</v>
      </c>
      <c r="D131" s="1"/>
      <c r="E131" s="1"/>
      <c r="F131" s="1"/>
      <c r="G131" s="1"/>
      <c r="H131" s="43"/>
      <c r="I131" s="1"/>
      <c r="J131" s="1"/>
      <c r="K131" s="1"/>
      <c r="L131" s="1"/>
      <c r="M131" s="1"/>
      <c r="N131" s="1"/>
      <c r="O131" s="1"/>
      <c r="P131" s="1"/>
      <c r="Q131" s="1"/>
      <c r="R131" s="1"/>
      <c r="S131" s="1"/>
      <c r="T131" s="1"/>
      <c r="U131" s="1"/>
      <c r="V131" s="1"/>
      <c r="W131" s="11"/>
      <c r="X131" s="67"/>
      <c r="Y131" s="68" t="str" cm="1">
        <f t="array" ref="Y131">CalculerNouvelleDate(I131,X131)</f>
        <v/>
      </c>
      <c r="Z131" s="68" t="str" cm="1">
        <f t="array" ref="Z131">CalculerNouvelleDate(J131,Y131)</f>
        <v/>
      </c>
      <c r="AA131" s="68" t="str" cm="1">
        <f t="array" ref="AA131">CalculerNouvelleDate(K131,Z131)</f>
        <v/>
      </c>
      <c r="AB131" s="68" t="str" cm="1">
        <f t="array" ref="AB131">CalculerNouvelleDate(L131,AA131)</f>
        <v/>
      </c>
      <c r="AC131" s="68" t="str" cm="1">
        <f t="array" ref="AC131">CalculerNouvelleDate(M131,AB131)</f>
        <v/>
      </c>
      <c r="AD131" s="68" t="str" cm="1">
        <f t="array" ref="AD131">CalculerNouvelleDate(N131,AC131)</f>
        <v/>
      </c>
      <c r="AE131" s="68" t="str" cm="1">
        <f t="array" ref="AE131">CalculerNouvelleDate(O131,AD131)</f>
        <v/>
      </c>
      <c r="AF131" s="68" t="str" cm="1">
        <f t="array" ref="AF131">CalculerNouvelleDate(P131,AE131)</f>
        <v/>
      </c>
      <c r="AG131" s="68" t="str" cm="1">
        <f t="array" ref="AG131">CalculerNouvelleDate(Q131,AF131)</f>
        <v/>
      </c>
      <c r="AH131" s="68" t="str" cm="1">
        <f t="array" ref="AH131">CalculerNouvelleDate(R131,AG131)</f>
        <v/>
      </c>
      <c r="AI131" s="68" t="str" cm="1">
        <f t="array" ref="AI131">CalculerNouvelleDate(S131,AH131)</f>
        <v/>
      </c>
      <c r="AJ131" s="68" t="str" cm="1">
        <f t="array" ref="AJ131">CalculerNouvelleDate(T131,AI131)</f>
        <v/>
      </c>
      <c r="AK131" s="68" t="str" cm="1">
        <f t="array" ref="AK131">CalculerNouvelleDate(U131,AJ131)</f>
        <v/>
      </c>
      <c r="AL131" s="68" t="str" cm="1">
        <f t="array" ref="AL131">CalculerNouvelleDate(V131,AK131)</f>
        <v/>
      </c>
      <c r="AM131" s="83" t="str" cm="1">
        <f t="array" ref="AM131">CorrespondanceDAte(X131:AL131,D132)</f>
        <v>0</v>
      </c>
      <c r="AN131" s="1"/>
      <c r="AO131" s="1"/>
      <c r="AP131" s="1"/>
      <c r="AQ131" s="1"/>
      <c r="AR131" s="1"/>
      <c r="AS131" s="1"/>
      <c r="AT131" s="1"/>
      <c r="AU131" s="1"/>
      <c r="AV131" s="1"/>
      <c r="AW131" s="1"/>
      <c r="AX131" s="1"/>
      <c r="AY131" s="1"/>
      <c r="AZ131" s="1"/>
      <c r="BA131" s="1"/>
    </row>
    <row r="132" spans="1:53" x14ac:dyDescent="0.3">
      <c r="A132" s="1"/>
      <c r="B132" s="11"/>
      <c r="C132" s="69" t="s">
        <v>549</v>
      </c>
      <c r="D132" s="1" t="s">
        <v>678</v>
      </c>
      <c r="E132" s="1"/>
      <c r="F132" s="1"/>
      <c r="G132" s="1"/>
      <c r="H132" s="43"/>
      <c r="I132" s="46"/>
      <c r="J132" s="46"/>
      <c r="K132" s="46"/>
      <c r="L132" s="46"/>
      <c r="M132" s="46"/>
      <c r="N132" s="46"/>
      <c r="O132" s="46"/>
      <c r="P132" s="46"/>
      <c r="Q132" s="46"/>
      <c r="R132" s="46"/>
      <c r="S132" s="46"/>
      <c r="T132" s="46"/>
      <c r="U132" s="46"/>
      <c r="V132" s="46"/>
      <c r="W132" s="62"/>
      <c r="X132" s="67"/>
      <c r="Y132" s="68" t="str" cm="1">
        <f t="array" ref="Y132">CalculerNouvelleDate(I132,X132)</f>
        <v/>
      </c>
      <c r="Z132" s="68" t="str" cm="1">
        <f t="array" ref="Z132">CalculerNouvelleDate(J132,Y132)</f>
        <v/>
      </c>
      <c r="AA132" s="68" t="str" cm="1">
        <f t="array" ref="AA132">CalculerNouvelleDate(K132,Z132)</f>
        <v/>
      </c>
      <c r="AB132" s="68" t="str" cm="1">
        <f t="array" ref="AB132">CalculerNouvelleDate(L132,AA132)</f>
        <v/>
      </c>
      <c r="AC132" s="68" t="str" cm="1">
        <f t="array" ref="AC132">CalculerNouvelleDate(M132,AB132)</f>
        <v/>
      </c>
      <c r="AD132" s="68" t="str" cm="1">
        <f t="array" ref="AD132">CalculerNouvelleDate(N132,AC132)</f>
        <v/>
      </c>
      <c r="AE132" s="68" t="str" cm="1">
        <f t="array" ref="AE132">CalculerNouvelleDate(O132,AD132)</f>
        <v/>
      </c>
      <c r="AF132" s="68" t="str" cm="1">
        <f t="array" ref="AF132">CalculerNouvelleDate(P132,AE132)</f>
        <v/>
      </c>
      <c r="AG132" s="68" t="str" cm="1">
        <f t="array" ref="AG132">CalculerNouvelleDate(Q132,AF132)</f>
        <v/>
      </c>
      <c r="AH132" s="68" t="str" cm="1">
        <f t="array" ref="AH132">CalculerNouvelleDate(R132,AG132)</f>
        <v/>
      </c>
      <c r="AI132" s="68" t="str" cm="1">
        <f t="array" ref="AI132">CalculerNouvelleDate(S132,AH132)</f>
        <v/>
      </c>
      <c r="AJ132" s="68" t="str" cm="1">
        <f t="array" ref="AJ132">CalculerNouvelleDate(T132,AI132)</f>
        <v/>
      </c>
      <c r="AK132" s="68" t="str" cm="1">
        <f t="array" ref="AK132">CalculerNouvelleDate(U132,AJ132)</f>
        <v/>
      </c>
      <c r="AL132" s="68" t="str" cm="1">
        <f t="array" ref="AL132">CalculerNouvelleDate(V132,AK132)</f>
        <v/>
      </c>
      <c r="AM132" s="83" t="str" cm="1">
        <f t="array" ref="AM132">CorrespondanceDAte(X132:AL132,D133)</f>
        <v>0</v>
      </c>
      <c r="AN132" s="1"/>
      <c r="AO132" s="1"/>
      <c r="AP132" s="1"/>
      <c r="AQ132" s="1"/>
      <c r="AR132" s="1"/>
      <c r="AS132" s="1"/>
      <c r="AT132" s="1"/>
      <c r="AU132" s="1"/>
      <c r="AV132" s="1"/>
      <c r="AW132" s="1"/>
      <c r="AX132" s="1"/>
      <c r="AY132" s="1"/>
      <c r="AZ132" s="1"/>
      <c r="BA132" s="1"/>
    </row>
    <row r="133" spans="1:53" x14ac:dyDescent="0.3">
      <c r="A133" s="1"/>
      <c r="B133" s="11"/>
      <c r="C133" s="69" t="s">
        <v>536</v>
      </c>
      <c r="D133" s="1" t="s">
        <v>679</v>
      </c>
      <c r="E133" s="1"/>
      <c r="F133" s="1"/>
      <c r="G133" s="1"/>
      <c r="H133" s="43"/>
      <c r="I133" s="46"/>
      <c r="J133" s="46"/>
      <c r="K133" s="46"/>
      <c r="L133" s="46"/>
      <c r="M133" s="46"/>
      <c r="N133" s="46"/>
      <c r="O133" s="46"/>
      <c r="P133" s="46"/>
      <c r="Q133" s="46"/>
      <c r="R133" s="46"/>
      <c r="S133" s="46"/>
      <c r="T133" s="46"/>
      <c r="U133" s="46"/>
      <c r="V133" s="46"/>
      <c r="W133" s="62"/>
      <c r="X133" s="67"/>
      <c r="Y133" s="68" t="str" cm="1">
        <f t="array" ref="Y133">CalculerNouvelleDate(I133,X133)</f>
        <v/>
      </c>
      <c r="Z133" s="68" t="str" cm="1">
        <f t="array" ref="Z133">CalculerNouvelleDate(J133,Y133)</f>
        <v/>
      </c>
      <c r="AA133" s="68" t="str" cm="1">
        <f t="array" ref="AA133">CalculerNouvelleDate(K133,Z133)</f>
        <v/>
      </c>
      <c r="AB133" s="68" t="str" cm="1">
        <f t="array" ref="AB133">CalculerNouvelleDate(L133,AA133)</f>
        <v/>
      </c>
      <c r="AC133" s="68" t="str" cm="1">
        <f t="array" ref="AC133">CalculerNouvelleDate(M133,AB133)</f>
        <v/>
      </c>
      <c r="AD133" s="68" t="str" cm="1">
        <f t="array" ref="AD133">CalculerNouvelleDate(N133,AC133)</f>
        <v/>
      </c>
      <c r="AE133" s="68" t="str" cm="1">
        <f t="array" ref="AE133">CalculerNouvelleDate(O133,AD133)</f>
        <v/>
      </c>
      <c r="AF133" s="68" t="str" cm="1">
        <f t="array" ref="AF133">CalculerNouvelleDate(P133,AE133)</f>
        <v/>
      </c>
      <c r="AG133" s="68" t="str" cm="1">
        <f t="array" ref="AG133">CalculerNouvelleDate(Q133,AF133)</f>
        <v/>
      </c>
      <c r="AH133" s="68" t="str" cm="1">
        <f t="array" ref="AH133">CalculerNouvelleDate(R133,AG133)</f>
        <v/>
      </c>
      <c r="AI133" s="68" t="str" cm="1">
        <f t="array" ref="AI133">CalculerNouvelleDate(S133,AH133)</f>
        <v/>
      </c>
      <c r="AJ133" s="68" t="str" cm="1">
        <f t="array" ref="AJ133">CalculerNouvelleDate(T133,AI133)</f>
        <v/>
      </c>
      <c r="AK133" s="68" t="str" cm="1">
        <f t="array" ref="AK133">CalculerNouvelleDate(U133,AJ133)</f>
        <v/>
      </c>
      <c r="AL133" s="68" t="str" cm="1">
        <f t="array" ref="AL133">CalculerNouvelleDate(V133,AK133)</f>
        <v/>
      </c>
      <c r="AM133" s="83" t="str" cm="1">
        <f t="array" ref="AM133">CorrespondanceDAte(X133:AL133,D134)</f>
        <v>0</v>
      </c>
      <c r="AN133" s="1"/>
      <c r="AO133" s="1"/>
      <c r="AP133" s="1"/>
      <c r="AQ133" s="1"/>
      <c r="AR133" s="1"/>
      <c r="AS133" s="1"/>
      <c r="AT133" s="1"/>
      <c r="AU133" s="1"/>
      <c r="AV133" s="1"/>
      <c r="AW133" s="1"/>
      <c r="AX133" s="1"/>
      <c r="AY133" s="1"/>
      <c r="AZ133" s="1"/>
      <c r="BA133" s="1"/>
    </row>
    <row r="134" spans="1:53" x14ac:dyDescent="0.3">
      <c r="A134" s="1"/>
      <c r="B134" s="11"/>
      <c r="C134" s="69" t="s">
        <v>550</v>
      </c>
      <c r="D134" s="1" t="s">
        <v>680</v>
      </c>
      <c r="E134" s="1"/>
      <c r="F134" s="1"/>
      <c r="G134" s="1"/>
      <c r="H134" s="43"/>
      <c r="I134" s="46"/>
      <c r="J134" s="46"/>
      <c r="K134" s="46"/>
      <c r="L134" s="46"/>
      <c r="M134" s="46"/>
      <c r="N134" s="46"/>
      <c r="O134" s="46"/>
      <c r="P134" s="46"/>
      <c r="Q134" s="46"/>
      <c r="R134" s="46"/>
      <c r="S134" s="46"/>
      <c r="T134" s="46"/>
      <c r="U134" s="46"/>
      <c r="V134" s="46"/>
      <c r="W134" s="62"/>
      <c r="X134" s="67"/>
      <c r="Y134" s="68" t="str" cm="1">
        <f t="array" ref="Y134">CalculerNouvelleDate(I134,X134)</f>
        <v/>
      </c>
      <c r="Z134" s="68" t="str" cm="1">
        <f t="array" ref="Z134">CalculerNouvelleDate(J134,Y134)</f>
        <v/>
      </c>
      <c r="AA134" s="68" t="str" cm="1">
        <f t="array" ref="AA134">CalculerNouvelleDate(K134,Z134)</f>
        <v/>
      </c>
      <c r="AB134" s="68" t="str" cm="1">
        <f t="array" ref="AB134">CalculerNouvelleDate(L134,AA134)</f>
        <v/>
      </c>
      <c r="AC134" s="68" t="str" cm="1">
        <f t="array" ref="AC134">CalculerNouvelleDate(M134,AB134)</f>
        <v/>
      </c>
      <c r="AD134" s="68" t="str" cm="1">
        <f t="array" ref="AD134">CalculerNouvelleDate(N134,AC134)</f>
        <v/>
      </c>
      <c r="AE134" s="68" t="str" cm="1">
        <f t="array" ref="AE134">CalculerNouvelleDate(O134,AD134)</f>
        <v/>
      </c>
      <c r="AF134" s="68" t="str" cm="1">
        <f t="array" ref="AF134">CalculerNouvelleDate(P134,AE134)</f>
        <v/>
      </c>
      <c r="AG134" s="68" t="str" cm="1">
        <f t="array" ref="AG134">CalculerNouvelleDate(Q134,AF134)</f>
        <v/>
      </c>
      <c r="AH134" s="68" t="str" cm="1">
        <f t="array" ref="AH134">CalculerNouvelleDate(R134,AG134)</f>
        <v/>
      </c>
      <c r="AI134" s="68" t="str" cm="1">
        <f t="array" ref="AI134">CalculerNouvelleDate(S134,AH134)</f>
        <v/>
      </c>
      <c r="AJ134" s="68" t="str" cm="1">
        <f t="array" ref="AJ134">CalculerNouvelleDate(T134,AI134)</f>
        <v/>
      </c>
      <c r="AK134" s="68" t="str" cm="1">
        <f t="array" ref="AK134">CalculerNouvelleDate(U134,AJ134)</f>
        <v/>
      </c>
      <c r="AL134" s="68" t="str" cm="1">
        <f t="array" ref="AL134">CalculerNouvelleDate(V134,AK134)</f>
        <v/>
      </c>
      <c r="AM134" s="83" t="str" cm="1">
        <f t="array" ref="AM134">CorrespondanceDAte(X134:AL134,D135)</f>
        <v>0</v>
      </c>
      <c r="AN134" s="1"/>
      <c r="AO134" s="1"/>
      <c r="AP134" s="1"/>
      <c r="AQ134" s="1"/>
      <c r="AR134" s="1"/>
      <c r="AS134" s="1"/>
      <c r="AT134" s="1"/>
      <c r="AU134" s="1"/>
      <c r="AV134" s="1"/>
      <c r="AW134" s="1"/>
      <c r="AX134" s="1"/>
      <c r="AY134" s="1"/>
      <c r="AZ134" s="1"/>
      <c r="BA134" s="1"/>
    </row>
    <row r="135" spans="1:53" x14ac:dyDescent="0.3">
      <c r="A135" s="1"/>
      <c r="B135" s="11">
        <v>4</v>
      </c>
      <c r="C135" s="1" t="s">
        <v>41</v>
      </c>
      <c r="D135" s="1"/>
      <c r="E135" s="1"/>
      <c r="F135" s="1"/>
      <c r="G135" s="1"/>
      <c r="H135" s="43"/>
      <c r="I135" s="1"/>
      <c r="J135" s="1"/>
      <c r="K135" s="1"/>
      <c r="L135" s="1"/>
      <c r="M135" s="1"/>
      <c r="N135" s="1"/>
      <c r="O135" s="1"/>
      <c r="P135" s="1"/>
      <c r="Q135" s="1"/>
      <c r="R135" s="1"/>
      <c r="S135" s="1"/>
      <c r="T135" s="1"/>
      <c r="U135" s="1"/>
      <c r="V135" s="1"/>
      <c r="W135" s="11"/>
      <c r="X135" s="67"/>
      <c r="Y135" s="68" t="str" cm="1">
        <f t="array" ref="Y135">CalculerNouvelleDate(I135,X135)</f>
        <v/>
      </c>
      <c r="Z135" s="68" t="str" cm="1">
        <f t="array" ref="Z135">CalculerNouvelleDate(J135,Y135)</f>
        <v/>
      </c>
      <c r="AA135" s="68" t="str" cm="1">
        <f t="array" ref="AA135">CalculerNouvelleDate(K135,Z135)</f>
        <v/>
      </c>
      <c r="AB135" s="68" t="str" cm="1">
        <f t="array" ref="AB135">CalculerNouvelleDate(L135,AA135)</f>
        <v/>
      </c>
      <c r="AC135" s="68" t="str" cm="1">
        <f t="array" ref="AC135">CalculerNouvelleDate(M135,AB135)</f>
        <v/>
      </c>
      <c r="AD135" s="68" t="str" cm="1">
        <f t="array" ref="AD135">CalculerNouvelleDate(N135,AC135)</f>
        <v/>
      </c>
      <c r="AE135" s="68" t="str" cm="1">
        <f t="array" ref="AE135">CalculerNouvelleDate(O135,AD135)</f>
        <v/>
      </c>
      <c r="AF135" s="68" t="str" cm="1">
        <f t="array" ref="AF135">CalculerNouvelleDate(P135,AE135)</f>
        <v/>
      </c>
      <c r="AG135" s="68" t="str" cm="1">
        <f t="array" ref="AG135">CalculerNouvelleDate(Q135,AF135)</f>
        <v/>
      </c>
      <c r="AH135" s="68" t="str" cm="1">
        <f t="array" ref="AH135">CalculerNouvelleDate(R135,AG135)</f>
        <v/>
      </c>
      <c r="AI135" s="68" t="str" cm="1">
        <f t="array" ref="AI135">CalculerNouvelleDate(S135,AH135)</f>
        <v/>
      </c>
      <c r="AJ135" s="68" t="str" cm="1">
        <f t="array" ref="AJ135">CalculerNouvelleDate(T135,AI135)</f>
        <v/>
      </c>
      <c r="AK135" s="68" t="str" cm="1">
        <f t="array" ref="AK135">CalculerNouvelleDate(U135,AJ135)</f>
        <v/>
      </c>
      <c r="AL135" s="68" t="str" cm="1">
        <f t="array" ref="AL135">CalculerNouvelleDate(V135,AK135)</f>
        <v/>
      </c>
      <c r="AM135" s="83" t="str" cm="1">
        <f t="array" ref="AM135">CorrespondanceDAte(X135:AL135,D136)</f>
        <v>0</v>
      </c>
      <c r="AN135" s="1"/>
      <c r="AO135" s="1"/>
      <c r="AP135" s="1"/>
      <c r="AQ135" s="1"/>
      <c r="AR135" s="1"/>
      <c r="AS135" s="1"/>
      <c r="AT135" s="1"/>
      <c r="AU135" s="1"/>
      <c r="AV135" s="1"/>
      <c r="AW135" s="1"/>
      <c r="AX135" s="1"/>
      <c r="AY135" s="1"/>
      <c r="AZ135" s="1"/>
      <c r="BA135" s="1"/>
    </row>
    <row r="136" spans="1:53" x14ac:dyDescent="0.3">
      <c r="A136" s="1"/>
      <c r="B136" s="11"/>
      <c r="C136" s="69" t="s">
        <v>556</v>
      </c>
      <c r="D136" s="1" t="s">
        <v>681</v>
      </c>
      <c r="E136" s="1"/>
      <c r="F136" s="1"/>
      <c r="G136" s="1"/>
      <c r="H136" s="43"/>
      <c r="I136" s="46"/>
      <c r="J136" s="46"/>
      <c r="K136" s="46"/>
      <c r="L136" s="46"/>
      <c r="M136" s="46"/>
      <c r="N136" s="46"/>
      <c r="O136" s="46"/>
      <c r="P136" s="46"/>
      <c r="Q136" s="46"/>
      <c r="R136" s="46"/>
      <c r="S136" s="46"/>
      <c r="T136" s="46"/>
      <c r="U136" s="46"/>
      <c r="V136" s="46"/>
      <c r="W136" s="62"/>
      <c r="X136" s="67"/>
      <c r="Y136" s="68" t="str" cm="1">
        <f t="array" ref="Y136">CalculerNouvelleDate(I136,X136)</f>
        <v/>
      </c>
      <c r="Z136" s="68" t="str" cm="1">
        <f t="array" ref="Z136">CalculerNouvelleDate(J136,Y136)</f>
        <v/>
      </c>
      <c r="AA136" s="68" t="str" cm="1">
        <f t="array" ref="AA136">CalculerNouvelleDate(K136,Z136)</f>
        <v/>
      </c>
      <c r="AB136" s="68" t="str" cm="1">
        <f t="array" ref="AB136">CalculerNouvelleDate(L136,AA136)</f>
        <v/>
      </c>
      <c r="AC136" s="68" t="str" cm="1">
        <f t="array" ref="AC136">CalculerNouvelleDate(M136,AB136)</f>
        <v/>
      </c>
      <c r="AD136" s="68" t="str" cm="1">
        <f t="array" ref="AD136">CalculerNouvelleDate(N136,AC136)</f>
        <v/>
      </c>
      <c r="AE136" s="68" t="str" cm="1">
        <f t="array" ref="AE136">CalculerNouvelleDate(O136,AD136)</f>
        <v/>
      </c>
      <c r="AF136" s="68" t="str" cm="1">
        <f t="array" ref="AF136">CalculerNouvelleDate(P136,AE136)</f>
        <v/>
      </c>
      <c r="AG136" s="68" t="str" cm="1">
        <f t="array" ref="AG136">CalculerNouvelleDate(Q136,AF136)</f>
        <v/>
      </c>
      <c r="AH136" s="68" t="str" cm="1">
        <f t="array" ref="AH136">CalculerNouvelleDate(R136,AG136)</f>
        <v/>
      </c>
      <c r="AI136" s="68" t="str" cm="1">
        <f t="array" ref="AI136">CalculerNouvelleDate(S136,AH136)</f>
        <v/>
      </c>
      <c r="AJ136" s="68" t="str" cm="1">
        <f t="array" ref="AJ136">CalculerNouvelleDate(T136,AI136)</f>
        <v/>
      </c>
      <c r="AK136" s="68" t="str" cm="1">
        <f t="array" ref="AK136">CalculerNouvelleDate(U136,AJ136)</f>
        <v/>
      </c>
      <c r="AL136" s="68" t="str" cm="1">
        <f t="array" ref="AL136">CalculerNouvelleDate(V136,AK136)</f>
        <v/>
      </c>
      <c r="AM136" s="83" t="str" cm="1">
        <f t="array" ref="AM136">CorrespondanceDAte(X136:AL136,D137)</f>
        <v>0</v>
      </c>
      <c r="AN136" s="1"/>
      <c r="AO136" s="1"/>
      <c r="AP136" s="1"/>
      <c r="AQ136" s="1"/>
      <c r="AR136" s="1"/>
      <c r="AS136" s="1"/>
      <c r="AT136" s="1"/>
      <c r="AU136" s="1"/>
      <c r="AV136" s="1"/>
      <c r="AW136" s="1"/>
      <c r="AX136" s="1"/>
      <c r="AY136" s="1"/>
      <c r="AZ136" s="1"/>
      <c r="BA136" s="1"/>
    </row>
    <row r="137" spans="1:53" x14ac:dyDescent="0.3">
      <c r="A137" s="1"/>
      <c r="B137" s="11"/>
      <c r="C137" s="69" t="s">
        <v>537</v>
      </c>
      <c r="D137" s="1" t="s">
        <v>682</v>
      </c>
      <c r="E137" s="1"/>
      <c r="F137" s="1"/>
      <c r="G137" s="1"/>
      <c r="H137" s="43"/>
      <c r="I137" s="46"/>
      <c r="J137" s="46"/>
      <c r="K137" s="46"/>
      <c r="L137" s="46"/>
      <c r="M137" s="46"/>
      <c r="N137" s="46"/>
      <c r="O137" s="46"/>
      <c r="P137" s="46"/>
      <c r="Q137" s="46"/>
      <c r="R137" s="46"/>
      <c r="S137" s="46"/>
      <c r="T137" s="46"/>
      <c r="U137" s="46"/>
      <c r="V137" s="46"/>
      <c r="W137" s="62"/>
      <c r="X137" s="67"/>
      <c r="Y137" s="68" t="str" cm="1">
        <f t="array" ref="Y137">CalculerNouvelleDate(I137,X137)</f>
        <v/>
      </c>
      <c r="Z137" s="68" t="str" cm="1">
        <f t="array" ref="Z137">CalculerNouvelleDate(J137,Y137)</f>
        <v/>
      </c>
      <c r="AA137" s="68" t="str" cm="1">
        <f t="array" ref="AA137">CalculerNouvelleDate(K137,Z137)</f>
        <v/>
      </c>
      <c r="AB137" s="68" t="str" cm="1">
        <f t="array" ref="AB137">CalculerNouvelleDate(L137,AA137)</f>
        <v/>
      </c>
      <c r="AC137" s="68" t="str" cm="1">
        <f t="array" ref="AC137">CalculerNouvelleDate(M137,AB137)</f>
        <v/>
      </c>
      <c r="AD137" s="68" t="str" cm="1">
        <f t="array" ref="AD137">CalculerNouvelleDate(N137,AC137)</f>
        <v/>
      </c>
      <c r="AE137" s="68" t="str" cm="1">
        <f t="array" ref="AE137">CalculerNouvelleDate(O137,AD137)</f>
        <v/>
      </c>
      <c r="AF137" s="68" t="str" cm="1">
        <f t="array" ref="AF137">CalculerNouvelleDate(P137,AE137)</f>
        <v/>
      </c>
      <c r="AG137" s="68" t="str" cm="1">
        <f t="array" ref="AG137">CalculerNouvelleDate(Q137,AF137)</f>
        <v/>
      </c>
      <c r="AH137" s="68" t="str" cm="1">
        <f t="array" ref="AH137">CalculerNouvelleDate(R137,AG137)</f>
        <v/>
      </c>
      <c r="AI137" s="68" t="str" cm="1">
        <f t="array" ref="AI137">CalculerNouvelleDate(S137,AH137)</f>
        <v/>
      </c>
      <c r="AJ137" s="68" t="str" cm="1">
        <f t="array" ref="AJ137">CalculerNouvelleDate(T137,AI137)</f>
        <v/>
      </c>
      <c r="AK137" s="68" t="str" cm="1">
        <f t="array" ref="AK137">CalculerNouvelleDate(U137,AJ137)</f>
        <v/>
      </c>
      <c r="AL137" s="68" t="str" cm="1">
        <f t="array" ref="AL137">CalculerNouvelleDate(V137,AK137)</f>
        <v/>
      </c>
      <c r="AM137" s="83" t="str" cm="1">
        <f t="array" ref="AM137">CorrespondanceDAte(X137:AL137,D138)</f>
        <v>0</v>
      </c>
      <c r="AN137" s="1"/>
      <c r="AO137" s="1"/>
      <c r="AP137" s="1"/>
      <c r="AQ137" s="1"/>
      <c r="AR137" s="1"/>
      <c r="AS137" s="1"/>
      <c r="AT137" s="1"/>
      <c r="AU137" s="1"/>
      <c r="AV137" s="1"/>
      <c r="AW137" s="1"/>
      <c r="AX137" s="1"/>
      <c r="AY137" s="1"/>
      <c r="AZ137" s="1"/>
      <c r="BA137" s="1"/>
    </row>
    <row r="138" spans="1:53" x14ac:dyDescent="0.3">
      <c r="A138" s="1"/>
      <c r="B138" s="11"/>
      <c r="C138" s="69" t="s">
        <v>557</v>
      </c>
      <c r="D138" s="1" t="s">
        <v>683</v>
      </c>
      <c r="E138" s="1"/>
      <c r="F138" s="1"/>
      <c r="G138" s="1"/>
      <c r="H138" s="43"/>
      <c r="I138" s="46"/>
      <c r="J138" s="46"/>
      <c r="K138" s="46"/>
      <c r="L138" s="46"/>
      <c r="M138" s="46"/>
      <c r="N138" s="46"/>
      <c r="O138" s="46"/>
      <c r="P138" s="46"/>
      <c r="Q138" s="46"/>
      <c r="R138" s="46"/>
      <c r="S138" s="46"/>
      <c r="T138" s="46"/>
      <c r="U138" s="46"/>
      <c r="V138" s="46"/>
      <c r="W138" s="62"/>
      <c r="X138" s="67"/>
      <c r="Y138" s="68" t="str" cm="1">
        <f t="array" ref="Y138">CalculerNouvelleDate(I138,X138)</f>
        <v/>
      </c>
      <c r="Z138" s="68" t="str" cm="1">
        <f t="array" ref="Z138">CalculerNouvelleDate(J138,Y138)</f>
        <v/>
      </c>
      <c r="AA138" s="68" t="str" cm="1">
        <f t="array" ref="AA138">CalculerNouvelleDate(K138,Z138)</f>
        <v/>
      </c>
      <c r="AB138" s="68" t="str" cm="1">
        <f t="array" ref="AB138">CalculerNouvelleDate(L138,AA138)</f>
        <v/>
      </c>
      <c r="AC138" s="68" t="str" cm="1">
        <f t="array" ref="AC138">CalculerNouvelleDate(M138,AB138)</f>
        <v/>
      </c>
      <c r="AD138" s="68" t="str" cm="1">
        <f t="array" ref="AD138">CalculerNouvelleDate(N138,AC138)</f>
        <v/>
      </c>
      <c r="AE138" s="68" t="str" cm="1">
        <f t="array" ref="AE138">CalculerNouvelleDate(O138,AD138)</f>
        <v/>
      </c>
      <c r="AF138" s="68" t="str" cm="1">
        <f t="array" ref="AF138">CalculerNouvelleDate(P138,AE138)</f>
        <v/>
      </c>
      <c r="AG138" s="68" t="str" cm="1">
        <f t="array" ref="AG138">CalculerNouvelleDate(Q138,AF138)</f>
        <v/>
      </c>
      <c r="AH138" s="68" t="str" cm="1">
        <f t="array" ref="AH138">CalculerNouvelleDate(R138,AG138)</f>
        <v/>
      </c>
      <c r="AI138" s="68" t="str" cm="1">
        <f t="array" ref="AI138">CalculerNouvelleDate(S138,AH138)</f>
        <v/>
      </c>
      <c r="AJ138" s="68" t="str" cm="1">
        <f t="array" ref="AJ138">CalculerNouvelleDate(T138,AI138)</f>
        <v/>
      </c>
      <c r="AK138" s="68" t="str" cm="1">
        <f t="array" ref="AK138">CalculerNouvelleDate(U138,AJ138)</f>
        <v/>
      </c>
      <c r="AL138" s="68" t="str" cm="1">
        <f t="array" ref="AL138">CalculerNouvelleDate(V138,AK138)</f>
        <v/>
      </c>
      <c r="AM138" s="83" t="str" cm="1">
        <f t="array" ref="AM138">CorrespondanceDAte(X138:AL138,D139)</f>
        <v>0</v>
      </c>
      <c r="AN138" s="1"/>
      <c r="AO138" s="1"/>
      <c r="AP138" s="1"/>
      <c r="AQ138" s="1"/>
      <c r="AR138" s="1"/>
      <c r="AS138" s="1"/>
      <c r="AT138" s="1"/>
      <c r="AU138" s="1"/>
      <c r="AV138" s="1"/>
      <c r="AW138" s="1"/>
      <c r="AX138" s="1"/>
      <c r="AY138" s="1"/>
      <c r="AZ138" s="1"/>
      <c r="BA138" s="1"/>
    </row>
    <row r="139" spans="1:53" x14ac:dyDescent="0.3">
      <c r="A139" s="1"/>
      <c r="B139" s="11">
        <v>5</v>
      </c>
      <c r="C139" s="1" t="s">
        <v>42</v>
      </c>
      <c r="D139" s="1"/>
      <c r="E139" s="1"/>
      <c r="F139" s="1"/>
      <c r="G139" s="1"/>
      <c r="H139" s="43"/>
      <c r="I139" s="1"/>
      <c r="J139" s="1"/>
      <c r="K139" s="1"/>
      <c r="L139" s="1"/>
      <c r="M139" s="1"/>
      <c r="N139" s="1"/>
      <c r="O139" s="1"/>
      <c r="P139" s="1"/>
      <c r="Q139" s="1"/>
      <c r="R139" s="1"/>
      <c r="S139" s="1"/>
      <c r="T139" s="1"/>
      <c r="U139" s="1"/>
      <c r="V139" s="1"/>
      <c r="W139" s="11"/>
      <c r="X139" s="67"/>
      <c r="Y139" s="68" t="str" cm="1">
        <f t="array" ref="Y139">CalculerNouvelleDate(I139,X139)</f>
        <v/>
      </c>
      <c r="Z139" s="68" t="str" cm="1">
        <f t="array" ref="Z139">CalculerNouvelleDate(J139,Y139)</f>
        <v/>
      </c>
      <c r="AA139" s="68" t="str" cm="1">
        <f t="array" ref="AA139">CalculerNouvelleDate(K139,Z139)</f>
        <v/>
      </c>
      <c r="AB139" s="68" t="str" cm="1">
        <f t="array" ref="AB139">CalculerNouvelleDate(L139,AA139)</f>
        <v/>
      </c>
      <c r="AC139" s="68" t="str" cm="1">
        <f t="array" ref="AC139">CalculerNouvelleDate(M139,AB139)</f>
        <v/>
      </c>
      <c r="AD139" s="68" t="str" cm="1">
        <f t="array" ref="AD139">CalculerNouvelleDate(N139,AC139)</f>
        <v/>
      </c>
      <c r="AE139" s="68" t="str" cm="1">
        <f t="array" ref="AE139">CalculerNouvelleDate(O139,AD139)</f>
        <v/>
      </c>
      <c r="AF139" s="68" t="str" cm="1">
        <f t="array" ref="AF139">CalculerNouvelleDate(P139,AE139)</f>
        <v/>
      </c>
      <c r="AG139" s="68" t="str" cm="1">
        <f t="array" ref="AG139">CalculerNouvelleDate(Q139,AF139)</f>
        <v/>
      </c>
      <c r="AH139" s="68" t="str" cm="1">
        <f t="array" ref="AH139">CalculerNouvelleDate(R139,AG139)</f>
        <v/>
      </c>
      <c r="AI139" s="68" t="str" cm="1">
        <f t="array" ref="AI139">CalculerNouvelleDate(S139,AH139)</f>
        <v/>
      </c>
      <c r="AJ139" s="68" t="str" cm="1">
        <f t="array" ref="AJ139">CalculerNouvelleDate(T139,AI139)</f>
        <v/>
      </c>
      <c r="AK139" s="68" t="str" cm="1">
        <f t="array" ref="AK139">CalculerNouvelleDate(U139,AJ139)</f>
        <v/>
      </c>
      <c r="AL139" s="68" t="str" cm="1">
        <f t="array" ref="AL139">CalculerNouvelleDate(V139,AK139)</f>
        <v/>
      </c>
      <c r="AM139" s="83" t="str" cm="1">
        <f t="array" ref="AM139">CorrespondanceDAte(X139:AL139,D140)</f>
        <v>0</v>
      </c>
      <c r="AN139" s="1"/>
      <c r="AO139" s="1"/>
      <c r="AP139" s="1"/>
      <c r="AQ139" s="1"/>
      <c r="AR139" s="1"/>
      <c r="AS139" s="1"/>
      <c r="AT139" s="1"/>
      <c r="AU139" s="1"/>
      <c r="AV139" s="1"/>
      <c r="AW139" s="1"/>
      <c r="AX139" s="1"/>
      <c r="AY139" s="1"/>
      <c r="AZ139" s="1"/>
      <c r="BA139" s="1"/>
    </row>
    <row r="140" spans="1:53" x14ac:dyDescent="0.3">
      <c r="A140" s="1"/>
      <c r="B140" s="11"/>
      <c r="C140" s="1" t="s">
        <v>560</v>
      </c>
      <c r="D140" s="1" t="s">
        <v>684</v>
      </c>
      <c r="E140" s="1"/>
      <c r="F140" s="1"/>
      <c r="G140" s="1"/>
      <c r="H140" s="43"/>
      <c r="I140" s="46"/>
      <c r="J140" s="46"/>
      <c r="K140" s="46"/>
      <c r="L140" s="46"/>
      <c r="M140" s="46"/>
      <c r="N140" s="46"/>
      <c r="O140" s="46"/>
      <c r="P140" s="46"/>
      <c r="Q140" s="46"/>
      <c r="R140" s="46"/>
      <c r="S140" s="46"/>
      <c r="T140" s="46"/>
      <c r="U140" s="46"/>
      <c r="V140" s="46"/>
      <c r="W140" s="62"/>
      <c r="X140" s="67"/>
      <c r="Y140" s="68" t="str" cm="1">
        <f t="array" ref="Y140">CalculerNouvelleDate(I140,X140)</f>
        <v/>
      </c>
      <c r="Z140" s="68" t="str" cm="1">
        <f t="array" ref="Z140">CalculerNouvelleDate(J140,Y140)</f>
        <v/>
      </c>
      <c r="AA140" s="68" t="str" cm="1">
        <f t="array" ref="AA140">CalculerNouvelleDate(K140,Z140)</f>
        <v/>
      </c>
      <c r="AB140" s="68" t="str" cm="1">
        <f t="array" ref="AB140">CalculerNouvelleDate(L140,AA140)</f>
        <v/>
      </c>
      <c r="AC140" s="68" t="str" cm="1">
        <f t="array" ref="AC140">CalculerNouvelleDate(M140,AB140)</f>
        <v/>
      </c>
      <c r="AD140" s="68" t="str" cm="1">
        <f t="array" ref="AD140">CalculerNouvelleDate(N140,AC140)</f>
        <v/>
      </c>
      <c r="AE140" s="68" t="str" cm="1">
        <f t="array" ref="AE140">CalculerNouvelleDate(O140,AD140)</f>
        <v/>
      </c>
      <c r="AF140" s="68" t="str" cm="1">
        <f t="array" ref="AF140">CalculerNouvelleDate(P140,AE140)</f>
        <v/>
      </c>
      <c r="AG140" s="68" t="str" cm="1">
        <f t="array" ref="AG140">CalculerNouvelleDate(Q140,AF140)</f>
        <v/>
      </c>
      <c r="AH140" s="68" t="str" cm="1">
        <f t="array" ref="AH140">CalculerNouvelleDate(R140,AG140)</f>
        <v/>
      </c>
      <c r="AI140" s="68" t="str" cm="1">
        <f t="array" ref="AI140">CalculerNouvelleDate(S140,AH140)</f>
        <v/>
      </c>
      <c r="AJ140" s="68" t="str" cm="1">
        <f t="array" ref="AJ140">CalculerNouvelleDate(T140,AI140)</f>
        <v/>
      </c>
      <c r="AK140" s="68" t="str" cm="1">
        <f t="array" ref="AK140">CalculerNouvelleDate(U140,AJ140)</f>
        <v/>
      </c>
      <c r="AL140" s="68" t="str" cm="1">
        <f t="array" ref="AL140">CalculerNouvelleDate(V140,AK140)</f>
        <v/>
      </c>
      <c r="AM140" s="83" t="str" cm="1">
        <f t="array" ref="AM140">CorrespondanceDAte(X140:AL140,D141)</f>
        <v>0</v>
      </c>
      <c r="AN140" s="1"/>
      <c r="AO140" s="1"/>
      <c r="AP140" s="1"/>
      <c r="AQ140" s="1"/>
      <c r="AR140" s="1"/>
      <c r="AS140" s="1"/>
      <c r="AT140" s="1"/>
      <c r="AU140" s="1"/>
      <c r="AV140" s="1"/>
      <c r="AW140" s="1"/>
      <c r="AX140" s="1"/>
      <c r="AY140" s="1"/>
      <c r="AZ140" s="1"/>
      <c r="BA140" s="1"/>
    </row>
    <row r="141" spans="1:53" x14ac:dyDescent="0.3">
      <c r="A141" s="1"/>
      <c r="B141" s="11"/>
      <c r="C141" s="1" t="s">
        <v>561</v>
      </c>
      <c r="D141" s="1" t="s">
        <v>685</v>
      </c>
      <c r="E141" s="1"/>
      <c r="F141" s="1"/>
      <c r="G141" s="1"/>
      <c r="H141" s="43"/>
      <c r="I141" s="46"/>
      <c r="J141" s="46"/>
      <c r="K141" s="46"/>
      <c r="L141" s="46"/>
      <c r="M141" s="46"/>
      <c r="N141" s="46"/>
      <c r="O141" s="46"/>
      <c r="P141" s="46"/>
      <c r="Q141" s="46"/>
      <c r="R141" s="46"/>
      <c r="S141" s="46"/>
      <c r="T141" s="46"/>
      <c r="U141" s="46"/>
      <c r="V141" s="46"/>
      <c r="W141" s="62"/>
      <c r="X141" s="67"/>
      <c r="Y141" s="68" t="str" cm="1">
        <f t="array" ref="Y141">CalculerNouvelleDate(I141,X141)</f>
        <v/>
      </c>
      <c r="Z141" s="68" t="str" cm="1">
        <f t="array" ref="Z141">CalculerNouvelleDate(J141,Y141)</f>
        <v/>
      </c>
      <c r="AA141" s="68" t="str" cm="1">
        <f t="array" ref="AA141">CalculerNouvelleDate(K141,Z141)</f>
        <v/>
      </c>
      <c r="AB141" s="68" t="str" cm="1">
        <f t="array" ref="AB141">CalculerNouvelleDate(L141,AA141)</f>
        <v/>
      </c>
      <c r="AC141" s="68" t="str" cm="1">
        <f t="array" ref="AC141">CalculerNouvelleDate(M141,AB141)</f>
        <v/>
      </c>
      <c r="AD141" s="68" t="str" cm="1">
        <f t="array" ref="AD141">CalculerNouvelleDate(N141,AC141)</f>
        <v/>
      </c>
      <c r="AE141" s="68" t="str" cm="1">
        <f t="array" ref="AE141">CalculerNouvelleDate(O141,AD141)</f>
        <v/>
      </c>
      <c r="AF141" s="68" t="str" cm="1">
        <f t="array" ref="AF141">CalculerNouvelleDate(P141,AE141)</f>
        <v/>
      </c>
      <c r="AG141" s="68" t="str" cm="1">
        <f t="array" ref="AG141">CalculerNouvelleDate(Q141,AF141)</f>
        <v/>
      </c>
      <c r="AH141" s="68" t="str" cm="1">
        <f t="array" ref="AH141">CalculerNouvelleDate(R141,AG141)</f>
        <v/>
      </c>
      <c r="AI141" s="68" t="str" cm="1">
        <f t="array" ref="AI141">CalculerNouvelleDate(S141,AH141)</f>
        <v/>
      </c>
      <c r="AJ141" s="68" t="str" cm="1">
        <f t="array" ref="AJ141">CalculerNouvelleDate(T141,AI141)</f>
        <v/>
      </c>
      <c r="AK141" s="68" t="str" cm="1">
        <f t="array" ref="AK141">CalculerNouvelleDate(U141,AJ141)</f>
        <v/>
      </c>
      <c r="AL141" s="68" t="str" cm="1">
        <f t="array" ref="AL141">CalculerNouvelleDate(V141,AK141)</f>
        <v/>
      </c>
      <c r="AM141" s="83" t="str" cm="1">
        <f t="array" ref="AM141">CorrespondanceDAte(X141:AL141,D142)</f>
        <v>0</v>
      </c>
      <c r="AN141" s="1"/>
      <c r="AO141" s="1"/>
      <c r="AP141" s="1"/>
      <c r="AQ141" s="1"/>
      <c r="AR141" s="1"/>
      <c r="AS141" s="1"/>
      <c r="AT141" s="1"/>
      <c r="AU141" s="1"/>
      <c r="AV141" s="1"/>
      <c r="AW141" s="1"/>
      <c r="AX141" s="1"/>
      <c r="AY141" s="1"/>
      <c r="AZ141" s="1"/>
      <c r="BA141" s="1"/>
    </row>
    <row r="142" spans="1:53" x14ac:dyDescent="0.3">
      <c r="A142" s="1"/>
      <c r="B142" s="11"/>
      <c r="C142" s="1" t="s">
        <v>562</v>
      </c>
      <c r="D142" s="1" t="s">
        <v>686</v>
      </c>
      <c r="E142" s="1"/>
      <c r="F142" s="1"/>
      <c r="G142" s="1"/>
      <c r="H142" s="43"/>
      <c r="I142" s="46"/>
      <c r="J142" s="46"/>
      <c r="K142" s="46"/>
      <c r="L142" s="46"/>
      <c r="M142" s="46"/>
      <c r="N142" s="46"/>
      <c r="O142" s="46"/>
      <c r="P142" s="46"/>
      <c r="Q142" s="46"/>
      <c r="R142" s="46"/>
      <c r="S142" s="46"/>
      <c r="T142" s="46"/>
      <c r="U142" s="46"/>
      <c r="V142" s="46"/>
      <c r="W142" s="62"/>
      <c r="X142" s="67"/>
      <c r="Y142" s="68" t="str" cm="1">
        <f t="array" ref="Y142">CalculerNouvelleDate(I142,X142)</f>
        <v/>
      </c>
      <c r="Z142" s="68" t="str" cm="1">
        <f t="array" ref="Z142">CalculerNouvelleDate(J142,Y142)</f>
        <v/>
      </c>
      <c r="AA142" s="68" t="str" cm="1">
        <f t="array" ref="AA142">CalculerNouvelleDate(K142,Z142)</f>
        <v/>
      </c>
      <c r="AB142" s="68" t="str" cm="1">
        <f t="array" ref="AB142">CalculerNouvelleDate(L142,AA142)</f>
        <v/>
      </c>
      <c r="AC142" s="68" t="str" cm="1">
        <f t="array" ref="AC142">CalculerNouvelleDate(M142,AB142)</f>
        <v/>
      </c>
      <c r="AD142" s="68" t="str" cm="1">
        <f t="array" ref="AD142">CalculerNouvelleDate(N142,AC142)</f>
        <v/>
      </c>
      <c r="AE142" s="68" t="str" cm="1">
        <f t="array" ref="AE142">CalculerNouvelleDate(O142,AD142)</f>
        <v/>
      </c>
      <c r="AF142" s="68" t="str" cm="1">
        <f t="array" ref="AF142">CalculerNouvelleDate(P142,AE142)</f>
        <v/>
      </c>
      <c r="AG142" s="68" t="str" cm="1">
        <f t="array" ref="AG142">CalculerNouvelleDate(Q142,AF142)</f>
        <v/>
      </c>
      <c r="AH142" s="68" t="str" cm="1">
        <f t="array" ref="AH142">CalculerNouvelleDate(R142,AG142)</f>
        <v/>
      </c>
      <c r="AI142" s="68" t="str" cm="1">
        <f t="array" ref="AI142">CalculerNouvelleDate(S142,AH142)</f>
        <v/>
      </c>
      <c r="AJ142" s="68" t="str" cm="1">
        <f t="array" ref="AJ142">CalculerNouvelleDate(T142,AI142)</f>
        <v/>
      </c>
      <c r="AK142" s="68" t="str" cm="1">
        <f t="array" ref="AK142">CalculerNouvelleDate(U142,AJ142)</f>
        <v/>
      </c>
      <c r="AL142" s="68" t="str" cm="1">
        <f t="array" ref="AL142">CalculerNouvelleDate(V142,AK142)</f>
        <v/>
      </c>
      <c r="AM142" s="83" t="str" cm="1">
        <f t="array" ref="AM142">CorrespondanceDAte(X142:AL142,D143)</f>
        <v>0</v>
      </c>
      <c r="AN142" s="1"/>
      <c r="AO142" s="1"/>
      <c r="AP142" s="1"/>
      <c r="AQ142" s="1"/>
      <c r="AR142" s="1"/>
      <c r="AS142" s="1"/>
      <c r="AT142" s="1"/>
      <c r="AU142" s="1"/>
      <c r="AV142" s="1"/>
      <c r="AW142" s="1"/>
      <c r="AX142" s="1"/>
      <c r="AY142" s="1"/>
      <c r="AZ142" s="1"/>
      <c r="BA142" s="1"/>
    </row>
    <row r="143" spans="1:53" x14ac:dyDescent="0.3">
      <c r="A143" s="1"/>
      <c r="B143" s="11"/>
      <c r="C143" s="1" t="s">
        <v>617</v>
      </c>
      <c r="D143" s="1" t="s">
        <v>687</v>
      </c>
      <c r="E143" s="1"/>
      <c r="F143" s="1"/>
      <c r="G143" s="1"/>
      <c r="H143" s="43"/>
      <c r="I143" s="46"/>
      <c r="J143" s="46"/>
      <c r="K143" s="46"/>
      <c r="L143" s="46"/>
      <c r="M143" s="46"/>
      <c r="N143" s="46"/>
      <c r="O143" s="46"/>
      <c r="P143" s="46"/>
      <c r="Q143" s="46"/>
      <c r="R143" s="46"/>
      <c r="S143" s="46"/>
      <c r="T143" s="46"/>
      <c r="U143" s="46"/>
      <c r="V143" s="46"/>
      <c r="W143" s="62"/>
      <c r="X143" s="67"/>
      <c r="Y143" s="68" t="str" cm="1">
        <f t="array" ref="Y143">CalculerNouvelleDate(I143,X143)</f>
        <v/>
      </c>
      <c r="Z143" s="68" t="str" cm="1">
        <f t="array" ref="Z143">CalculerNouvelleDate(J143,Y143)</f>
        <v/>
      </c>
      <c r="AA143" s="68" t="str" cm="1">
        <f t="array" ref="AA143">CalculerNouvelleDate(K143,Z143)</f>
        <v/>
      </c>
      <c r="AB143" s="68" t="str" cm="1">
        <f t="array" ref="AB143">CalculerNouvelleDate(L143,AA143)</f>
        <v/>
      </c>
      <c r="AC143" s="68" t="str" cm="1">
        <f t="array" ref="AC143">CalculerNouvelleDate(M143,AB143)</f>
        <v/>
      </c>
      <c r="AD143" s="68" t="str" cm="1">
        <f t="array" ref="AD143">CalculerNouvelleDate(N143,AC143)</f>
        <v/>
      </c>
      <c r="AE143" s="68" t="str" cm="1">
        <f t="array" ref="AE143">CalculerNouvelleDate(O143,AD143)</f>
        <v/>
      </c>
      <c r="AF143" s="68" t="str" cm="1">
        <f t="array" ref="AF143">CalculerNouvelleDate(P143,AE143)</f>
        <v/>
      </c>
      <c r="AG143" s="68" t="str" cm="1">
        <f t="array" ref="AG143">CalculerNouvelleDate(Q143,AF143)</f>
        <v/>
      </c>
      <c r="AH143" s="68" t="str" cm="1">
        <f t="array" ref="AH143">CalculerNouvelleDate(R143,AG143)</f>
        <v/>
      </c>
      <c r="AI143" s="68" t="str" cm="1">
        <f t="array" ref="AI143">CalculerNouvelleDate(S143,AH143)</f>
        <v/>
      </c>
      <c r="AJ143" s="68" t="str" cm="1">
        <f t="array" ref="AJ143">CalculerNouvelleDate(T143,AI143)</f>
        <v/>
      </c>
      <c r="AK143" s="68" t="str" cm="1">
        <f t="array" ref="AK143">CalculerNouvelleDate(U143,AJ143)</f>
        <v/>
      </c>
      <c r="AL143" s="68" t="str" cm="1">
        <f t="array" ref="AL143">CalculerNouvelleDate(V143,AK143)</f>
        <v/>
      </c>
      <c r="AM143" s="83" t="str" cm="1">
        <f t="array" ref="AM143">CorrespondanceDAte(X143:AL143,D144)</f>
        <v>0</v>
      </c>
      <c r="AN143" s="1"/>
      <c r="AO143" s="1"/>
      <c r="AP143" s="1"/>
      <c r="AQ143" s="1"/>
      <c r="AR143" s="1"/>
      <c r="AS143" s="1"/>
      <c r="AT143" s="1"/>
      <c r="AU143" s="1"/>
      <c r="AV143" s="1"/>
      <c r="AW143" s="1"/>
      <c r="AX143" s="1"/>
      <c r="AY143" s="1"/>
      <c r="AZ143" s="1"/>
      <c r="BA143" s="1"/>
    </row>
    <row r="144" spans="1:53" x14ac:dyDescent="0.3">
      <c r="A144" s="1"/>
      <c r="B144" s="11">
        <v>6</v>
      </c>
      <c r="C144" s="1" t="s">
        <v>43</v>
      </c>
      <c r="D144" s="1"/>
      <c r="E144" s="1"/>
      <c r="F144" s="1"/>
      <c r="G144" s="1"/>
      <c r="H144" s="43"/>
      <c r="I144" s="1"/>
      <c r="J144" s="1"/>
      <c r="K144" s="1"/>
      <c r="L144" s="1"/>
      <c r="M144" s="1"/>
      <c r="N144" s="1"/>
      <c r="O144" s="1"/>
      <c r="P144" s="1"/>
      <c r="Q144" s="1"/>
      <c r="R144" s="1"/>
      <c r="S144" s="1"/>
      <c r="T144" s="1"/>
      <c r="U144" s="1"/>
      <c r="V144" s="1"/>
      <c r="W144" s="11"/>
      <c r="X144" s="67"/>
      <c r="Y144" s="68" t="str" cm="1">
        <f t="array" ref="Y144">CalculerNouvelleDate(I144,X144)</f>
        <v/>
      </c>
      <c r="Z144" s="68" t="str" cm="1">
        <f t="array" ref="Z144">CalculerNouvelleDate(J144,Y144)</f>
        <v/>
      </c>
      <c r="AA144" s="68" t="str" cm="1">
        <f t="array" ref="AA144">CalculerNouvelleDate(K144,Z144)</f>
        <v/>
      </c>
      <c r="AB144" s="68" t="str" cm="1">
        <f t="array" ref="AB144">CalculerNouvelleDate(L144,AA144)</f>
        <v/>
      </c>
      <c r="AC144" s="68" t="str" cm="1">
        <f t="array" ref="AC144">CalculerNouvelleDate(M144,AB144)</f>
        <v/>
      </c>
      <c r="AD144" s="68" t="str" cm="1">
        <f t="array" ref="AD144">CalculerNouvelleDate(N144,AC144)</f>
        <v/>
      </c>
      <c r="AE144" s="68" t="str" cm="1">
        <f t="array" ref="AE144">CalculerNouvelleDate(O144,AD144)</f>
        <v/>
      </c>
      <c r="AF144" s="68" t="str" cm="1">
        <f t="array" ref="AF144">CalculerNouvelleDate(P144,AE144)</f>
        <v/>
      </c>
      <c r="AG144" s="68" t="str" cm="1">
        <f t="array" ref="AG144">CalculerNouvelleDate(Q144,AF144)</f>
        <v/>
      </c>
      <c r="AH144" s="68" t="str" cm="1">
        <f t="array" ref="AH144">CalculerNouvelleDate(R144,AG144)</f>
        <v/>
      </c>
      <c r="AI144" s="68" t="str" cm="1">
        <f t="array" ref="AI144">CalculerNouvelleDate(S144,AH144)</f>
        <v/>
      </c>
      <c r="AJ144" s="68" t="str" cm="1">
        <f t="array" ref="AJ144">CalculerNouvelleDate(T144,AI144)</f>
        <v/>
      </c>
      <c r="AK144" s="68" t="str" cm="1">
        <f t="array" ref="AK144">CalculerNouvelleDate(U144,AJ144)</f>
        <v/>
      </c>
      <c r="AL144" s="68" t="str" cm="1">
        <f t="array" ref="AL144">CalculerNouvelleDate(V144,AK144)</f>
        <v/>
      </c>
      <c r="AM144" s="83" t="str" cm="1">
        <f t="array" ref="AM144">CorrespondanceDAte(X144:AL144,D145)</f>
        <v>0</v>
      </c>
      <c r="AN144" s="1"/>
      <c r="AO144" s="1"/>
      <c r="AP144" s="1"/>
      <c r="AQ144" s="1"/>
      <c r="AR144" s="1"/>
      <c r="AS144" s="1"/>
      <c r="AT144" s="1"/>
      <c r="AU144" s="1"/>
      <c r="AV144" s="1"/>
      <c r="AW144" s="1"/>
      <c r="AX144" s="1"/>
      <c r="AY144" s="1"/>
      <c r="AZ144" s="1"/>
      <c r="BA144" s="1"/>
    </row>
    <row r="145" spans="1:53" x14ac:dyDescent="0.3">
      <c r="A145" s="1"/>
      <c r="B145" s="11"/>
      <c r="C145" s="1" t="s">
        <v>566</v>
      </c>
      <c r="D145" s="1" t="s">
        <v>689</v>
      </c>
      <c r="E145" s="1"/>
      <c r="F145" s="1"/>
      <c r="G145" s="1"/>
      <c r="H145" s="43"/>
      <c r="I145" s="46"/>
      <c r="J145" s="46"/>
      <c r="K145" s="46"/>
      <c r="L145" s="46"/>
      <c r="M145" s="46"/>
      <c r="N145" s="46"/>
      <c r="O145" s="46"/>
      <c r="P145" s="46"/>
      <c r="Q145" s="46"/>
      <c r="R145" s="46"/>
      <c r="S145" s="46"/>
      <c r="T145" s="46"/>
      <c r="U145" s="46"/>
      <c r="V145" s="46"/>
      <c r="W145" s="62"/>
      <c r="X145" s="67"/>
      <c r="Y145" s="68" t="str" cm="1">
        <f t="array" ref="Y145">CalculerNouvelleDate(I145,X145)</f>
        <v/>
      </c>
      <c r="Z145" s="68" t="str" cm="1">
        <f t="array" ref="Z145">CalculerNouvelleDate(J145,Y145)</f>
        <v/>
      </c>
      <c r="AA145" s="68" t="str" cm="1">
        <f t="array" ref="AA145">CalculerNouvelleDate(K145,Z145)</f>
        <v/>
      </c>
      <c r="AB145" s="68" t="str" cm="1">
        <f t="array" ref="AB145">CalculerNouvelleDate(L145,AA145)</f>
        <v/>
      </c>
      <c r="AC145" s="68" t="str" cm="1">
        <f t="array" ref="AC145">CalculerNouvelleDate(M145,AB145)</f>
        <v/>
      </c>
      <c r="AD145" s="68" t="str" cm="1">
        <f t="array" ref="AD145">CalculerNouvelleDate(N145,AC145)</f>
        <v/>
      </c>
      <c r="AE145" s="68" t="str" cm="1">
        <f t="array" ref="AE145">CalculerNouvelleDate(O145,AD145)</f>
        <v/>
      </c>
      <c r="AF145" s="68" t="str" cm="1">
        <f t="array" ref="AF145">CalculerNouvelleDate(P145,AE145)</f>
        <v/>
      </c>
      <c r="AG145" s="68" t="str" cm="1">
        <f t="array" ref="AG145">CalculerNouvelleDate(Q145,AF145)</f>
        <v/>
      </c>
      <c r="AH145" s="68" t="str" cm="1">
        <f t="array" ref="AH145">CalculerNouvelleDate(R145,AG145)</f>
        <v/>
      </c>
      <c r="AI145" s="68" t="str" cm="1">
        <f t="array" ref="AI145">CalculerNouvelleDate(S145,AH145)</f>
        <v/>
      </c>
      <c r="AJ145" s="68" t="str" cm="1">
        <f t="array" ref="AJ145">CalculerNouvelleDate(T145,AI145)</f>
        <v/>
      </c>
      <c r="AK145" s="68" t="str" cm="1">
        <f t="array" ref="AK145">CalculerNouvelleDate(U145,AJ145)</f>
        <v/>
      </c>
      <c r="AL145" s="68" t="str" cm="1">
        <f t="array" ref="AL145">CalculerNouvelleDate(V145,AK145)</f>
        <v/>
      </c>
      <c r="AM145" s="83" t="str" cm="1">
        <f t="array" ref="AM145">CorrespondanceDAte(X145:AL145,D146)</f>
        <v>0</v>
      </c>
      <c r="AN145" s="1"/>
      <c r="AO145" s="1"/>
      <c r="AP145" s="1"/>
      <c r="AQ145" s="1"/>
      <c r="AR145" s="1"/>
      <c r="AS145" s="1"/>
      <c r="AT145" s="1"/>
      <c r="AU145" s="1"/>
      <c r="AV145" s="1"/>
      <c r="AW145" s="1"/>
      <c r="AX145" s="1"/>
      <c r="AY145" s="1"/>
      <c r="AZ145" s="1"/>
      <c r="BA145" s="1"/>
    </row>
    <row r="146" spans="1:53" x14ac:dyDescent="0.3">
      <c r="A146" s="1"/>
      <c r="B146" s="11"/>
      <c r="C146" s="1" t="s">
        <v>626</v>
      </c>
      <c r="D146" s="1" t="s">
        <v>690</v>
      </c>
      <c r="E146" s="1"/>
      <c r="F146" s="1"/>
      <c r="G146" s="1"/>
      <c r="H146" s="43"/>
      <c r="I146" s="46"/>
      <c r="J146" s="46"/>
      <c r="K146" s="46"/>
      <c r="L146" s="46"/>
      <c r="M146" s="46"/>
      <c r="N146" s="46"/>
      <c r="O146" s="46"/>
      <c r="P146" s="46"/>
      <c r="Q146" s="46"/>
      <c r="R146" s="46"/>
      <c r="S146" s="46"/>
      <c r="T146" s="46"/>
      <c r="U146" s="46"/>
      <c r="V146" s="46"/>
      <c r="W146" s="62"/>
      <c r="X146" s="67"/>
      <c r="Y146" s="68" t="str" cm="1">
        <f t="array" ref="Y146">CalculerNouvelleDate(I146,X146)</f>
        <v/>
      </c>
      <c r="Z146" s="68" t="str" cm="1">
        <f t="array" ref="Z146">CalculerNouvelleDate(J146,Y146)</f>
        <v/>
      </c>
      <c r="AA146" s="68" t="str" cm="1">
        <f t="array" ref="AA146">CalculerNouvelleDate(K146,Z146)</f>
        <v/>
      </c>
      <c r="AB146" s="68" t="str" cm="1">
        <f t="array" ref="AB146">CalculerNouvelleDate(L146,AA146)</f>
        <v/>
      </c>
      <c r="AC146" s="68" t="str" cm="1">
        <f t="array" ref="AC146">CalculerNouvelleDate(M146,AB146)</f>
        <v/>
      </c>
      <c r="AD146" s="68" t="str" cm="1">
        <f t="array" ref="AD146">CalculerNouvelleDate(N146,AC146)</f>
        <v/>
      </c>
      <c r="AE146" s="68" t="str" cm="1">
        <f t="array" ref="AE146">CalculerNouvelleDate(O146,AD146)</f>
        <v/>
      </c>
      <c r="AF146" s="68" t="str" cm="1">
        <f t="array" ref="AF146">CalculerNouvelleDate(P146,AE146)</f>
        <v/>
      </c>
      <c r="AG146" s="68" t="str" cm="1">
        <f t="array" ref="AG146">CalculerNouvelleDate(Q146,AF146)</f>
        <v/>
      </c>
      <c r="AH146" s="68" t="str" cm="1">
        <f t="array" ref="AH146">CalculerNouvelleDate(R146,AG146)</f>
        <v/>
      </c>
      <c r="AI146" s="68" t="str" cm="1">
        <f t="array" ref="AI146">CalculerNouvelleDate(S146,AH146)</f>
        <v/>
      </c>
      <c r="AJ146" s="68" t="str" cm="1">
        <f t="array" ref="AJ146">CalculerNouvelleDate(T146,AI146)</f>
        <v/>
      </c>
      <c r="AK146" s="68" t="str" cm="1">
        <f t="array" ref="AK146">CalculerNouvelleDate(U146,AJ146)</f>
        <v/>
      </c>
      <c r="AL146" s="68" t="str" cm="1">
        <f t="array" ref="AL146">CalculerNouvelleDate(V146,AK146)</f>
        <v/>
      </c>
      <c r="AM146" s="83" t="str" cm="1">
        <f t="array" ref="AM146">CorrespondanceDAte(X146:AL146,D147)</f>
        <v>0</v>
      </c>
      <c r="AN146" s="1"/>
      <c r="AO146" s="1"/>
      <c r="AP146" s="1"/>
      <c r="AQ146" s="1"/>
      <c r="AR146" s="1"/>
      <c r="AS146" s="1"/>
      <c r="AT146" s="1"/>
      <c r="AU146" s="1"/>
      <c r="AV146" s="1"/>
      <c r="AW146" s="1"/>
      <c r="AX146" s="1"/>
      <c r="AY146" s="1"/>
      <c r="AZ146" s="1"/>
      <c r="BA146" s="1"/>
    </row>
    <row r="147" spans="1:53" x14ac:dyDescent="0.3">
      <c r="A147" s="1"/>
      <c r="B147" s="11"/>
      <c r="C147" s="1" t="s">
        <v>627</v>
      </c>
      <c r="D147" s="1" t="s">
        <v>691</v>
      </c>
      <c r="E147" s="1"/>
      <c r="F147" s="1"/>
      <c r="G147" s="1"/>
      <c r="H147" s="43"/>
      <c r="I147" s="46"/>
      <c r="J147" s="46"/>
      <c r="K147" s="46"/>
      <c r="L147" s="46"/>
      <c r="M147" s="46"/>
      <c r="N147" s="46"/>
      <c r="O147" s="46"/>
      <c r="P147" s="46"/>
      <c r="Q147" s="46"/>
      <c r="R147" s="46"/>
      <c r="S147" s="46"/>
      <c r="T147" s="46"/>
      <c r="U147" s="46"/>
      <c r="V147" s="46"/>
      <c r="W147" s="62"/>
      <c r="X147" s="67"/>
      <c r="Y147" s="68" t="str" cm="1">
        <f t="array" ref="Y147">CalculerNouvelleDate(I147,X147)</f>
        <v/>
      </c>
      <c r="Z147" s="68" t="str" cm="1">
        <f t="array" ref="Z147">CalculerNouvelleDate(J147,Y147)</f>
        <v/>
      </c>
      <c r="AA147" s="68" t="str" cm="1">
        <f t="array" ref="AA147">CalculerNouvelleDate(K147,Z147)</f>
        <v/>
      </c>
      <c r="AB147" s="68" t="str" cm="1">
        <f t="array" ref="AB147">CalculerNouvelleDate(L147,AA147)</f>
        <v/>
      </c>
      <c r="AC147" s="68" t="str" cm="1">
        <f t="array" ref="AC147">CalculerNouvelleDate(M147,AB147)</f>
        <v/>
      </c>
      <c r="AD147" s="68" t="str" cm="1">
        <f t="array" ref="AD147">CalculerNouvelleDate(N147,AC147)</f>
        <v/>
      </c>
      <c r="AE147" s="68" t="str" cm="1">
        <f t="array" ref="AE147">CalculerNouvelleDate(O147,AD147)</f>
        <v/>
      </c>
      <c r="AF147" s="68" t="str" cm="1">
        <f t="array" ref="AF147">CalculerNouvelleDate(P147,AE147)</f>
        <v/>
      </c>
      <c r="AG147" s="68" t="str" cm="1">
        <f t="array" ref="AG147">CalculerNouvelleDate(Q147,AF147)</f>
        <v/>
      </c>
      <c r="AH147" s="68" t="str" cm="1">
        <f t="array" ref="AH147">CalculerNouvelleDate(R147,AG147)</f>
        <v/>
      </c>
      <c r="AI147" s="68" t="str" cm="1">
        <f t="array" ref="AI147">CalculerNouvelleDate(S147,AH147)</f>
        <v/>
      </c>
      <c r="AJ147" s="68" t="str" cm="1">
        <f t="array" ref="AJ147">CalculerNouvelleDate(T147,AI147)</f>
        <v/>
      </c>
      <c r="AK147" s="68" t="str" cm="1">
        <f t="array" ref="AK147">CalculerNouvelleDate(U147,AJ147)</f>
        <v/>
      </c>
      <c r="AL147" s="68" t="str" cm="1">
        <f t="array" ref="AL147">CalculerNouvelleDate(V147,AK147)</f>
        <v/>
      </c>
      <c r="AM147" s="83" t="str" cm="1">
        <f t="array" ref="AM147">CorrespondanceDAte(X147:AL147,D148)</f>
        <v>0</v>
      </c>
      <c r="AN147" s="1"/>
      <c r="AO147" s="1"/>
      <c r="AP147" s="1"/>
      <c r="AQ147" s="1"/>
      <c r="AR147" s="1"/>
      <c r="AS147" s="1"/>
      <c r="AT147" s="1"/>
      <c r="AU147" s="1"/>
      <c r="AV147" s="1"/>
      <c r="AW147" s="1"/>
      <c r="AX147" s="1"/>
      <c r="AY147" s="1"/>
      <c r="AZ147" s="1"/>
      <c r="BA147" s="1"/>
    </row>
    <row r="148" spans="1:53" x14ac:dyDescent="0.3">
      <c r="A148" s="1"/>
      <c r="B148" s="11"/>
      <c r="C148" s="1" t="s">
        <v>688</v>
      </c>
      <c r="D148" s="1" t="s">
        <v>692</v>
      </c>
      <c r="E148" s="1"/>
      <c r="F148" s="1"/>
      <c r="G148" s="1"/>
      <c r="H148" s="43"/>
      <c r="I148" s="46"/>
      <c r="J148" s="46"/>
      <c r="K148" s="46"/>
      <c r="L148" s="46"/>
      <c r="M148" s="46"/>
      <c r="N148" s="46"/>
      <c r="O148" s="46"/>
      <c r="P148" s="46"/>
      <c r="Q148" s="46"/>
      <c r="R148" s="46"/>
      <c r="S148" s="46"/>
      <c r="T148" s="46"/>
      <c r="U148" s="46"/>
      <c r="V148" s="46"/>
      <c r="W148" s="62"/>
      <c r="X148" s="67"/>
      <c r="Y148" s="68" t="str" cm="1">
        <f t="array" ref="Y148">CalculerNouvelleDate(I148,X148)</f>
        <v/>
      </c>
      <c r="Z148" s="68" t="str" cm="1">
        <f t="array" ref="Z148">CalculerNouvelleDate(J148,Y148)</f>
        <v/>
      </c>
      <c r="AA148" s="68" t="str" cm="1">
        <f t="array" ref="AA148">CalculerNouvelleDate(K148,Z148)</f>
        <v/>
      </c>
      <c r="AB148" s="68" t="str" cm="1">
        <f t="array" ref="AB148">CalculerNouvelleDate(L148,AA148)</f>
        <v/>
      </c>
      <c r="AC148" s="68" t="str" cm="1">
        <f t="array" ref="AC148">CalculerNouvelleDate(M148,AB148)</f>
        <v/>
      </c>
      <c r="AD148" s="68" t="str" cm="1">
        <f t="array" ref="AD148">CalculerNouvelleDate(N148,AC148)</f>
        <v/>
      </c>
      <c r="AE148" s="68" t="str" cm="1">
        <f t="array" ref="AE148">CalculerNouvelleDate(O148,AD148)</f>
        <v/>
      </c>
      <c r="AF148" s="68" t="str" cm="1">
        <f t="array" ref="AF148">CalculerNouvelleDate(P148,AE148)</f>
        <v/>
      </c>
      <c r="AG148" s="68" t="str" cm="1">
        <f t="array" ref="AG148">CalculerNouvelleDate(Q148,AF148)</f>
        <v/>
      </c>
      <c r="AH148" s="68" t="str" cm="1">
        <f t="array" ref="AH148">CalculerNouvelleDate(R148,AG148)</f>
        <v/>
      </c>
      <c r="AI148" s="68" t="str" cm="1">
        <f t="array" ref="AI148">CalculerNouvelleDate(S148,AH148)</f>
        <v/>
      </c>
      <c r="AJ148" s="68" t="str" cm="1">
        <f t="array" ref="AJ148">CalculerNouvelleDate(T148,AI148)</f>
        <v/>
      </c>
      <c r="AK148" s="68" t="str" cm="1">
        <f t="array" ref="AK148">CalculerNouvelleDate(U148,AJ148)</f>
        <v/>
      </c>
      <c r="AL148" s="68" t="str" cm="1">
        <f t="array" ref="AL148">CalculerNouvelleDate(V148,AK148)</f>
        <v/>
      </c>
      <c r="AM148" s="83" t="str" cm="1">
        <f t="array" ref="AM148">CorrespondanceDAte(X148:AL148,D149)</f>
        <v>0</v>
      </c>
      <c r="AN148" s="1"/>
      <c r="AO148" s="1"/>
      <c r="AP148" s="1"/>
      <c r="AQ148" s="1"/>
      <c r="AR148" s="1"/>
      <c r="AS148" s="1"/>
      <c r="AT148" s="1"/>
      <c r="AU148" s="1"/>
      <c r="AV148" s="1"/>
      <c r="AW148" s="1"/>
      <c r="AX148" s="1"/>
      <c r="AY148" s="1"/>
      <c r="AZ148" s="1"/>
      <c r="BA148" s="1"/>
    </row>
    <row r="149" spans="1:53" x14ac:dyDescent="0.3">
      <c r="A149" s="1"/>
      <c r="B149" s="11">
        <v>7</v>
      </c>
      <c r="C149" s="1" t="s">
        <v>44</v>
      </c>
      <c r="D149" s="1"/>
      <c r="E149" s="1"/>
      <c r="F149" s="1"/>
      <c r="G149" s="1"/>
      <c r="H149" s="43"/>
      <c r="I149" s="1"/>
      <c r="J149" s="1"/>
      <c r="K149" s="1"/>
      <c r="L149" s="1"/>
      <c r="M149" s="1"/>
      <c r="N149" s="1"/>
      <c r="O149" s="1"/>
      <c r="P149" s="1"/>
      <c r="Q149" s="1"/>
      <c r="R149" s="1"/>
      <c r="S149" s="1"/>
      <c r="T149" s="1"/>
      <c r="U149" s="1"/>
      <c r="V149" s="1"/>
      <c r="W149" s="11"/>
      <c r="X149" s="67"/>
      <c r="Y149" s="68" t="str" cm="1">
        <f t="array" ref="Y149">CalculerNouvelleDate(I149,X149)</f>
        <v/>
      </c>
      <c r="Z149" s="68" t="str" cm="1">
        <f t="array" ref="Z149">CalculerNouvelleDate(J149,Y149)</f>
        <v/>
      </c>
      <c r="AA149" s="68" t="str" cm="1">
        <f t="array" ref="AA149">CalculerNouvelleDate(K149,Z149)</f>
        <v/>
      </c>
      <c r="AB149" s="68" t="str" cm="1">
        <f t="array" ref="AB149">CalculerNouvelleDate(L149,AA149)</f>
        <v/>
      </c>
      <c r="AC149" s="68" t="str" cm="1">
        <f t="array" ref="AC149">CalculerNouvelleDate(M149,AB149)</f>
        <v/>
      </c>
      <c r="AD149" s="68" t="str" cm="1">
        <f t="array" ref="AD149">CalculerNouvelleDate(N149,AC149)</f>
        <v/>
      </c>
      <c r="AE149" s="68" t="str" cm="1">
        <f t="array" ref="AE149">CalculerNouvelleDate(O149,AD149)</f>
        <v/>
      </c>
      <c r="AF149" s="68" t="str" cm="1">
        <f t="array" ref="AF149">CalculerNouvelleDate(P149,AE149)</f>
        <v/>
      </c>
      <c r="AG149" s="68" t="str" cm="1">
        <f t="array" ref="AG149">CalculerNouvelleDate(Q149,AF149)</f>
        <v/>
      </c>
      <c r="AH149" s="68" t="str" cm="1">
        <f t="array" ref="AH149">CalculerNouvelleDate(R149,AG149)</f>
        <v/>
      </c>
      <c r="AI149" s="68" t="str" cm="1">
        <f t="array" ref="AI149">CalculerNouvelleDate(S149,AH149)</f>
        <v/>
      </c>
      <c r="AJ149" s="68" t="str" cm="1">
        <f t="array" ref="AJ149">CalculerNouvelleDate(T149,AI149)</f>
        <v/>
      </c>
      <c r="AK149" s="68" t="str" cm="1">
        <f t="array" ref="AK149">CalculerNouvelleDate(U149,AJ149)</f>
        <v/>
      </c>
      <c r="AL149" s="68" t="str" cm="1">
        <f t="array" ref="AL149">CalculerNouvelleDate(V149,AK149)</f>
        <v/>
      </c>
      <c r="AM149" s="83" t="str" cm="1">
        <f t="array" ref="AM149">CorrespondanceDAte(X149:AL149,D150)</f>
        <v>0</v>
      </c>
      <c r="AN149" s="1"/>
      <c r="AO149" s="1"/>
      <c r="AP149" s="1"/>
      <c r="AQ149" s="1"/>
      <c r="AR149" s="1"/>
      <c r="AS149" s="1"/>
      <c r="AT149" s="1"/>
      <c r="AU149" s="1"/>
      <c r="AV149" s="1"/>
      <c r="AW149" s="1"/>
      <c r="AX149" s="1"/>
      <c r="AY149" s="1"/>
      <c r="AZ149" s="1"/>
      <c r="BA149" s="1"/>
    </row>
    <row r="150" spans="1:53" x14ac:dyDescent="0.3">
      <c r="A150" s="1"/>
      <c r="B150" s="11"/>
      <c r="C150" s="1" t="s">
        <v>568</v>
      </c>
      <c r="D150" s="1" t="s">
        <v>693</v>
      </c>
      <c r="E150" s="1"/>
      <c r="F150" s="1"/>
      <c r="G150" s="1"/>
      <c r="H150" s="43"/>
      <c r="I150" s="46"/>
      <c r="J150" s="46"/>
      <c r="K150" s="46"/>
      <c r="L150" s="46"/>
      <c r="M150" s="46"/>
      <c r="N150" s="46"/>
      <c r="O150" s="46"/>
      <c r="P150" s="46"/>
      <c r="Q150" s="46"/>
      <c r="R150" s="46"/>
      <c r="S150" s="46"/>
      <c r="T150" s="46"/>
      <c r="U150" s="46"/>
      <c r="V150" s="46"/>
      <c r="W150" s="62"/>
      <c r="X150" s="67"/>
      <c r="Y150" s="68" t="str" cm="1">
        <f t="array" ref="Y150">CalculerNouvelleDate(I150,X150)</f>
        <v/>
      </c>
      <c r="Z150" s="68" t="str" cm="1">
        <f t="array" ref="Z150">CalculerNouvelleDate(J150,Y150)</f>
        <v/>
      </c>
      <c r="AA150" s="68" t="str" cm="1">
        <f t="array" ref="AA150">CalculerNouvelleDate(K150,Z150)</f>
        <v/>
      </c>
      <c r="AB150" s="68" t="str" cm="1">
        <f t="array" ref="AB150">CalculerNouvelleDate(L150,AA150)</f>
        <v/>
      </c>
      <c r="AC150" s="68" t="str" cm="1">
        <f t="array" ref="AC150">CalculerNouvelleDate(M150,AB150)</f>
        <v/>
      </c>
      <c r="AD150" s="68" t="str" cm="1">
        <f t="array" ref="AD150">CalculerNouvelleDate(N150,AC150)</f>
        <v/>
      </c>
      <c r="AE150" s="68" t="str" cm="1">
        <f t="array" ref="AE150">CalculerNouvelleDate(O150,AD150)</f>
        <v/>
      </c>
      <c r="AF150" s="68" t="str" cm="1">
        <f t="array" ref="AF150">CalculerNouvelleDate(P150,AE150)</f>
        <v/>
      </c>
      <c r="AG150" s="68" t="str" cm="1">
        <f t="array" ref="AG150">CalculerNouvelleDate(Q150,AF150)</f>
        <v/>
      </c>
      <c r="AH150" s="68" t="str" cm="1">
        <f t="array" ref="AH150">CalculerNouvelleDate(R150,AG150)</f>
        <v/>
      </c>
      <c r="AI150" s="68" t="str" cm="1">
        <f t="array" ref="AI150">CalculerNouvelleDate(S150,AH150)</f>
        <v/>
      </c>
      <c r="AJ150" s="68" t="str" cm="1">
        <f t="array" ref="AJ150">CalculerNouvelleDate(T150,AI150)</f>
        <v/>
      </c>
      <c r="AK150" s="68" t="str" cm="1">
        <f t="array" ref="AK150">CalculerNouvelleDate(U150,AJ150)</f>
        <v/>
      </c>
      <c r="AL150" s="68" t="str" cm="1">
        <f t="array" ref="AL150">CalculerNouvelleDate(V150,AK150)</f>
        <v/>
      </c>
      <c r="AM150" s="83" t="str" cm="1">
        <f t="array" ref="AM150">CorrespondanceDAte(X150:AL150,D151)</f>
        <v>0</v>
      </c>
      <c r="AN150" s="1"/>
      <c r="AO150" s="1"/>
      <c r="AP150" s="1"/>
      <c r="AQ150" s="1"/>
      <c r="AR150" s="1"/>
      <c r="AS150" s="1"/>
      <c r="AT150" s="1"/>
      <c r="AU150" s="1"/>
      <c r="AV150" s="1"/>
      <c r="AW150" s="1"/>
      <c r="AX150" s="1"/>
      <c r="AY150" s="1"/>
      <c r="AZ150" s="1"/>
      <c r="BA150" s="1"/>
    </row>
    <row r="151" spans="1:53" x14ac:dyDescent="0.3">
      <c r="A151" s="1"/>
      <c r="B151" s="11"/>
      <c r="C151" s="1" t="s">
        <v>569</v>
      </c>
      <c r="D151" s="1" t="s">
        <v>694</v>
      </c>
      <c r="E151" s="1"/>
      <c r="F151" s="1"/>
      <c r="G151" s="1"/>
      <c r="H151" s="43"/>
      <c r="I151" s="46"/>
      <c r="J151" s="46"/>
      <c r="K151" s="46"/>
      <c r="L151" s="46"/>
      <c r="M151" s="46"/>
      <c r="N151" s="46"/>
      <c r="O151" s="46"/>
      <c r="P151" s="46"/>
      <c r="Q151" s="46"/>
      <c r="R151" s="46"/>
      <c r="S151" s="46"/>
      <c r="T151" s="46"/>
      <c r="U151" s="46"/>
      <c r="V151" s="46"/>
      <c r="W151" s="62"/>
      <c r="X151" s="67"/>
      <c r="Y151" s="68" t="str" cm="1">
        <f t="array" ref="Y151">CalculerNouvelleDate(I151,X151)</f>
        <v/>
      </c>
      <c r="Z151" s="68" t="str" cm="1">
        <f t="array" ref="Z151">CalculerNouvelleDate(J151,Y151)</f>
        <v/>
      </c>
      <c r="AA151" s="68" t="str" cm="1">
        <f t="array" ref="AA151">CalculerNouvelleDate(K151,Z151)</f>
        <v/>
      </c>
      <c r="AB151" s="68" t="str" cm="1">
        <f t="array" ref="AB151">CalculerNouvelleDate(L151,AA151)</f>
        <v/>
      </c>
      <c r="AC151" s="68" t="str" cm="1">
        <f t="array" ref="AC151">CalculerNouvelleDate(M151,AB151)</f>
        <v/>
      </c>
      <c r="AD151" s="68" t="str" cm="1">
        <f t="array" ref="AD151">CalculerNouvelleDate(N151,AC151)</f>
        <v/>
      </c>
      <c r="AE151" s="68" t="str" cm="1">
        <f t="array" ref="AE151">CalculerNouvelleDate(O151,AD151)</f>
        <v/>
      </c>
      <c r="AF151" s="68" t="str" cm="1">
        <f t="array" ref="AF151">CalculerNouvelleDate(P151,AE151)</f>
        <v/>
      </c>
      <c r="AG151" s="68" t="str" cm="1">
        <f t="array" ref="AG151">CalculerNouvelleDate(Q151,AF151)</f>
        <v/>
      </c>
      <c r="AH151" s="68" t="str" cm="1">
        <f t="array" ref="AH151">CalculerNouvelleDate(R151,AG151)</f>
        <v/>
      </c>
      <c r="AI151" s="68" t="str" cm="1">
        <f t="array" ref="AI151">CalculerNouvelleDate(S151,AH151)</f>
        <v/>
      </c>
      <c r="AJ151" s="68" t="str" cm="1">
        <f t="array" ref="AJ151">CalculerNouvelleDate(T151,AI151)</f>
        <v/>
      </c>
      <c r="AK151" s="68" t="str" cm="1">
        <f t="array" ref="AK151">CalculerNouvelleDate(U151,AJ151)</f>
        <v/>
      </c>
      <c r="AL151" s="68" t="str" cm="1">
        <f t="array" ref="AL151">CalculerNouvelleDate(V151,AK151)</f>
        <v/>
      </c>
      <c r="AM151" s="83" t="str" cm="1">
        <f t="array" ref="AM151">CorrespondanceDAte(X151:AL151,D152)</f>
        <v>0</v>
      </c>
      <c r="AN151" s="1"/>
      <c r="AO151" s="1"/>
      <c r="AP151" s="1"/>
      <c r="AQ151" s="1"/>
      <c r="AR151" s="1"/>
      <c r="AS151" s="1"/>
      <c r="AT151" s="1"/>
      <c r="AU151" s="1"/>
      <c r="AV151" s="1"/>
      <c r="AW151" s="1"/>
      <c r="AX151" s="1"/>
      <c r="AY151" s="1"/>
      <c r="AZ151" s="1"/>
      <c r="BA151" s="1"/>
    </row>
    <row r="152" spans="1:53" x14ac:dyDescent="0.3">
      <c r="A152" s="1"/>
      <c r="B152" s="11"/>
      <c r="C152" s="1"/>
      <c r="D152" s="1"/>
      <c r="E152" s="1"/>
      <c r="F152" s="1"/>
      <c r="G152" s="1"/>
      <c r="H152" s="43"/>
      <c r="I152" s="46"/>
      <c r="J152" s="46"/>
      <c r="K152" s="46"/>
      <c r="L152" s="46"/>
      <c r="M152" s="46"/>
      <c r="N152" s="46"/>
      <c r="O152" s="46"/>
      <c r="P152" s="46"/>
      <c r="Q152" s="46"/>
      <c r="R152" s="46"/>
      <c r="S152" s="46"/>
      <c r="T152" s="46"/>
      <c r="U152" s="46"/>
      <c r="V152" s="46"/>
      <c r="W152" s="62"/>
      <c r="X152" s="67"/>
      <c r="Y152" s="68" t="str" cm="1">
        <f t="array" ref="Y152">CalculerNouvelleDate(I152,X152)</f>
        <v/>
      </c>
      <c r="Z152" s="68" t="str" cm="1">
        <f t="array" ref="Z152">CalculerNouvelleDate(J152,Y152)</f>
        <v/>
      </c>
      <c r="AA152" s="68" t="str" cm="1">
        <f t="array" ref="AA152">CalculerNouvelleDate(K152,Z152)</f>
        <v/>
      </c>
      <c r="AB152" s="68" t="str" cm="1">
        <f t="array" ref="AB152">CalculerNouvelleDate(L152,AA152)</f>
        <v/>
      </c>
      <c r="AC152" s="68" t="str" cm="1">
        <f t="array" ref="AC152">CalculerNouvelleDate(M152,AB152)</f>
        <v/>
      </c>
      <c r="AD152" s="68" t="str" cm="1">
        <f t="array" ref="AD152">CalculerNouvelleDate(N152,AC152)</f>
        <v/>
      </c>
      <c r="AE152" s="68" t="str" cm="1">
        <f t="array" ref="AE152">CalculerNouvelleDate(O152,AD152)</f>
        <v/>
      </c>
      <c r="AF152" s="68" t="str" cm="1">
        <f t="array" ref="AF152">CalculerNouvelleDate(P152,AE152)</f>
        <v/>
      </c>
      <c r="AG152" s="68" t="str" cm="1">
        <f t="array" ref="AG152">CalculerNouvelleDate(Q152,AF152)</f>
        <v/>
      </c>
      <c r="AH152" s="68" t="str" cm="1">
        <f t="array" ref="AH152">CalculerNouvelleDate(R152,AG152)</f>
        <v/>
      </c>
      <c r="AI152" s="68" t="str" cm="1">
        <f t="array" ref="AI152">CalculerNouvelleDate(S152,AH152)</f>
        <v/>
      </c>
      <c r="AJ152" s="68" t="str" cm="1">
        <f t="array" ref="AJ152">CalculerNouvelleDate(T152,AI152)</f>
        <v/>
      </c>
      <c r="AK152" s="68" t="str" cm="1">
        <f t="array" ref="AK152">CalculerNouvelleDate(U152,AJ152)</f>
        <v/>
      </c>
      <c r="AL152" s="68" t="str" cm="1">
        <f t="array" ref="AL152">CalculerNouvelleDate(V152,AK152)</f>
        <v/>
      </c>
      <c r="AM152" s="83" t="str" cm="1">
        <f t="array" ref="AM152">CorrespondanceDAte(X152:AL152,D153)</f>
        <v>0</v>
      </c>
      <c r="AN152" s="1"/>
      <c r="AO152" s="1"/>
      <c r="AP152" s="1"/>
      <c r="AQ152" s="1"/>
      <c r="AR152" s="1"/>
      <c r="AS152" s="1"/>
      <c r="AT152" s="1"/>
      <c r="AU152" s="1"/>
      <c r="AV152" s="1"/>
      <c r="AW152" s="1"/>
      <c r="AX152" s="1"/>
      <c r="AY152" s="1"/>
      <c r="AZ152" s="1"/>
      <c r="BA152" s="1"/>
    </row>
    <row r="153" spans="1:53" x14ac:dyDescent="0.3">
      <c r="A153" s="20" t="s">
        <v>53</v>
      </c>
      <c r="B153" s="19"/>
      <c r="C153" s="19"/>
      <c r="D153" s="19"/>
      <c r="E153" s="19"/>
      <c r="F153" s="22"/>
      <c r="G153" s="22"/>
      <c r="H153" s="43"/>
      <c r="I153" s="1"/>
      <c r="J153" s="1"/>
      <c r="K153" s="1"/>
      <c r="L153" s="1"/>
      <c r="M153" s="1"/>
      <c r="N153" s="1"/>
      <c r="O153" s="1"/>
      <c r="P153" s="1"/>
      <c r="Q153" s="1"/>
      <c r="R153" s="1"/>
      <c r="S153" s="1"/>
      <c r="T153" s="1"/>
      <c r="U153" s="1"/>
      <c r="V153" s="1"/>
      <c r="W153" s="11"/>
      <c r="X153" s="67"/>
      <c r="Y153" s="68" t="str" cm="1">
        <f t="array" ref="Y153">CalculerNouvelleDate(I153,X153)</f>
        <v/>
      </c>
      <c r="Z153" s="68" t="str" cm="1">
        <f t="array" ref="Z153">CalculerNouvelleDate(J153,Y153)</f>
        <v/>
      </c>
      <c r="AA153" s="68" t="str" cm="1">
        <f t="array" ref="AA153">CalculerNouvelleDate(K153,Z153)</f>
        <v/>
      </c>
      <c r="AB153" s="68" t="str" cm="1">
        <f t="array" ref="AB153">CalculerNouvelleDate(L153,AA153)</f>
        <v/>
      </c>
      <c r="AC153" s="68" t="str" cm="1">
        <f t="array" ref="AC153">CalculerNouvelleDate(M153,AB153)</f>
        <v/>
      </c>
      <c r="AD153" s="68" t="str" cm="1">
        <f t="array" ref="AD153">CalculerNouvelleDate(N153,AC153)</f>
        <v/>
      </c>
      <c r="AE153" s="68" t="str" cm="1">
        <f t="array" ref="AE153">CalculerNouvelleDate(O153,AD153)</f>
        <v/>
      </c>
      <c r="AF153" s="68" t="str" cm="1">
        <f t="array" ref="AF153">CalculerNouvelleDate(P153,AE153)</f>
        <v/>
      </c>
      <c r="AG153" s="68" t="str" cm="1">
        <f t="array" ref="AG153">CalculerNouvelleDate(Q153,AF153)</f>
        <v/>
      </c>
      <c r="AH153" s="68" t="str" cm="1">
        <f t="array" ref="AH153">CalculerNouvelleDate(R153,AG153)</f>
        <v/>
      </c>
      <c r="AI153" s="68" t="str" cm="1">
        <f t="array" ref="AI153">CalculerNouvelleDate(S153,AH153)</f>
        <v/>
      </c>
      <c r="AJ153" s="68" t="str" cm="1">
        <f t="array" ref="AJ153">CalculerNouvelleDate(T153,AI153)</f>
        <v/>
      </c>
      <c r="AK153" s="68" t="str" cm="1">
        <f t="array" ref="AK153">CalculerNouvelleDate(U153,AJ153)</f>
        <v/>
      </c>
      <c r="AL153" s="68" t="str" cm="1">
        <f t="array" ref="AL153">CalculerNouvelleDate(V153,AK153)</f>
        <v/>
      </c>
      <c r="AM153" s="83" t="str" cm="1">
        <f t="array" ref="AM153">CorrespondanceDAte(X153:AL153,D154)</f>
        <v>0</v>
      </c>
      <c r="AN153" s="1"/>
      <c r="AO153" s="1"/>
      <c r="AP153" s="1"/>
      <c r="AQ153" s="1"/>
      <c r="AR153" s="1"/>
      <c r="AS153" s="1"/>
      <c r="AT153" s="1"/>
      <c r="AU153" s="1"/>
      <c r="AV153" s="1"/>
      <c r="AW153" s="1"/>
      <c r="AX153" s="1"/>
      <c r="AY153" s="1"/>
      <c r="AZ153" s="1"/>
      <c r="BA153" s="1"/>
    </row>
    <row r="154" spans="1:53" x14ac:dyDescent="0.3">
      <c r="A154" s="1"/>
      <c r="B154" s="11">
        <v>1</v>
      </c>
      <c r="C154" s="1" t="s">
        <v>45</v>
      </c>
      <c r="D154" s="1"/>
      <c r="E154" s="1"/>
      <c r="F154" s="1"/>
      <c r="G154" s="1"/>
      <c r="H154" s="43"/>
      <c r="I154" s="1"/>
      <c r="J154" s="1"/>
      <c r="K154" s="1"/>
      <c r="L154" s="1"/>
      <c r="M154" s="1"/>
      <c r="N154" s="1"/>
      <c r="O154" s="1"/>
      <c r="P154" s="1"/>
      <c r="Q154" s="1"/>
      <c r="R154" s="1"/>
      <c r="S154" s="1"/>
      <c r="T154" s="1"/>
      <c r="U154" s="1"/>
      <c r="V154" s="1"/>
      <c r="W154" s="11"/>
      <c r="X154" s="67"/>
      <c r="Y154" s="68" t="str" cm="1">
        <f t="array" ref="Y154">CalculerNouvelleDate(I154,X154)</f>
        <v/>
      </c>
      <c r="Z154" s="68" t="str" cm="1">
        <f t="array" ref="Z154">CalculerNouvelleDate(J154,Y154)</f>
        <v/>
      </c>
      <c r="AA154" s="68" t="str" cm="1">
        <f t="array" ref="AA154">CalculerNouvelleDate(K154,Z154)</f>
        <v/>
      </c>
      <c r="AB154" s="68" t="str" cm="1">
        <f t="array" ref="AB154">CalculerNouvelleDate(L154,AA154)</f>
        <v/>
      </c>
      <c r="AC154" s="68" t="str" cm="1">
        <f t="array" ref="AC154">CalculerNouvelleDate(M154,AB154)</f>
        <v/>
      </c>
      <c r="AD154" s="68" t="str" cm="1">
        <f t="array" ref="AD154">CalculerNouvelleDate(N154,AC154)</f>
        <v/>
      </c>
      <c r="AE154" s="68" t="str" cm="1">
        <f t="array" ref="AE154">CalculerNouvelleDate(O154,AD154)</f>
        <v/>
      </c>
      <c r="AF154" s="68" t="str" cm="1">
        <f t="array" ref="AF154">CalculerNouvelleDate(P154,AE154)</f>
        <v/>
      </c>
      <c r="AG154" s="68" t="str" cm="1">
        <f t="array" ref="AG154">CalculerNouvelleDate(Q154,AF154)</f>
        <v/>
      </c>
      <c r="AH154" s="68" t="str" cm="1">
        <f t="array" ref="AH154">CalculerNouvelleDate(R154,AG154)</f>
        <v/>
      </c>
      <c r="AI154" s="68" t="str" cm="1">
        <f t="array" ref="AI154">CalculerNouvelleDate(S154,AH154)</f>
        <v/>
      </c>
      <c r="AJ154" s="68" t="str" cm="1">
        <f t="array" ref="AJ154">CalculerNouvelleDate(T154,AI154)</f>
        <v/>
      </c>
      <c r="AK154" s="68" t="str" cm="1">
        <f t="array" ref="AK154">CalculerNouvelleDate(U154,AJ154)</f>
        <v/>
      </c>
      <c r="AL154" s="68" t="str" cm="1">
        <f t="array" ref="AL154">CalculerNouvelleDate(V154,AK154)</f>
        <v/>
      </c>
      <c r="AM154" s="83" t="str" cm="1">
        <f t="array" ref="AM154">CorrespondanceDAte(X154:AL154,D155)</f>
        <v>0</v>
      </c>
      <c r="AN154" s="1"/>
      <c r="AO154" s="1"/>
      <c r="AP154" s="1"/>
      <c r="AQ154" s="1"/>
      <c r="AR154" s="1"/>
      <c r="AS154" s="1"/>
      <c r="AT154" s="1"/>
      <c r="AU154" s="1"/>
      <c r="AV154" s="1"/>
      <c r="AW154" s="1"/>
      <c r="AX154" s="1"/>
      <c r="AY154" s="1"/>
      <c r="AZ154" s="1"/>
      <c r="BA154" s="1"/>
    </row>
    <row r="155" spans="1:53" x14ac:dyDescent="0.3">
      <c r="A155" s="1"/>
      <c r="B155" s="11"/>
      <c r="C155" s="69" t="s">
        <v>531</v>
      </c>
      <c r="D155" s="1" t="s">
        <v>695</v>
      </c>
      <c r="E155" s="1"/>
      <c r="F155" s="1"/>
      <c r="G155" s="1"/>
      <c r="H155" s="43"/>
      <c r="I155" s="46"/>
      <c r="J155" s="46"/>
      <c r="K155" s="46"/>
      <c r="L155" s="46"/>
      <c r="M155" s="46"/>
      <c r="N155" s="46"/>
      <c r="O155" s="46"/>
      <c r="P155" s="46"/>
      <c r="Q155" s="46"/>
      <c r="R155" s="46"/>
      <c r="S155" s="46"/>
      <c r="T155" s="46"/>
      <c r="U155" s="46"/>
      <c r="V155" s="46"/>
      <c r="W155" s="62"/>
      <c r="X155" s="67"/>
      <c r="Y155" s="68" t="str" cm="1">
        <f t="array" ref="Y155">CalculerNouvelleDate(I155,X155)</f>
        <v/>
      </c>
      <c r="Z155" s="68" t="str" cm="1">
        <f t="array" ref="Z155">CalculerNouvelleDate(J155,Y155)</f>
        <v/>
      </c>
      <c r="AA155" s="68" t="str" cm="1">
        <f t="array" ref="AA155">CalculerNouvelleDate(K155,Z155)</f>
        <v/>
      </c>
      <c r="AB155" s="68" t="str" cm="1">
        <f t="array" ref="AB155">CalculerNouvelleDate(L155,AA155)</f>
        <v/>
      </c>
      <c r="AC155" s="68" t="str" cm="1">
        <f t="array" ref="AC155">CalculerNouvelleDate(M155,AB155)</f>
        <v/>
      </c>
      <c r="AD155" s="68" t="str" cm="1">
        <f t="array" ref="AD155">CalculerNouvelleDate(N155,AC155)</f>
        <v/>
      </c>
      <c r="AE155" s="68" t="str" cm="1">
        <f t="array" ref="AE155">CalculerNouvelleDate(O155,AD155)</f>
        <v/>
      </c>
      <c r="AF155" s="68" t="str" cm="1">
        <f t="array" ref="AF155">CalculerNouvelleDate(P155,AE155)</f>
        <v/>
      </c>
      <c r="AG155" s="68" t="str" cm="1">
        <f t="array" ref="AG155">CalculerNouvelleDate(Q155,AF155)</f>
        <v/>
      </c>
      <c r="AH155" s="68" t="str" cm="1">
        <f t="array" ref="AH155">CalculerNouvelleDate(R155,AG155)</f>
        <v/>
      </c>
      <c r="AI155" s="68" t="str" cm="1">
        <f t="array" ref="AI155">CalculerNouvelleDate(S155,AH155)</f>
        <v/>
      </c>
      <c r="AJ155" s="68" t="str" cm="1">
        <f t="array" ref="AJ155">CalculerNouvelleDate(T155,AI155)</f>
        <v/>
      </c>
      <c r="AK155" s="68" t="str" cm="1">
        <f t="array" ref="AK155">CalculerNouvelleDate(U155,AJ155)</f>
        <v/>
      </c>
      <c r="AL155" s="68" t="str" cm="1">
        <f t="array" ref="AL155">CalculerNouvelleDate(V155,AK155)</f>
        <v/>
      </c>
      <c r="AM155" s="83" t="str" cm="1">
        <f t="array" ref="AM155">CorrespondanceDAte(X155:AL155,D156)</f>
        <v>0</v>
      </c>
      <c r="AN155" s="1"/>
      <c r="AO155" s="1"/>
      <c r="AP155" s="1"/>
      <c r="AQ155" s="1"/>
      <c r="AR155" s="1"/>
      <c r="AS155" s="1"/>
      <c r="AT155" s="1"/>
      <c r="AU155" s="1"/>
      <c r="AV155" s="1"/>
      <c r="AW155" s="1"/>
      <c r="AX155" s="1"/>
      <c r="AY155" s="1"/>
      <c r="AZ155" s="1"/>
      <c r="BA155" s="1"/>
    </row>
    <row r="156" spans="1:53" x14ac:dyDescent="0.3">
      <c r="A156" s="1"/>
      <c r="B156" s="11"/>
      <c r="C156" s="69" t="s">
        <v>534</v>
      </c>
      <c r="D156" s="1" t="s">
        <v>696</v>
      </c>
      <c r="E156" s="1"/>
      <c r="F156" s="1"/>
      <c r="G156" s="1"/>
      <c r="H156" s="43"/>
      <c r="I156" s="46"/>
      <c r="J156" s="46"/>
      <c r="K156" s="46"/>
      <c r="L156" s="46"/>
      <c r="M156" s="46"/>
      <c r="N156" s="46"/>
      <c r="O156" s="46"/>
      <c r="P156" s="46"/>
      <c r="Q156" s="46"/>
      <c r="R156" s="46"/>
      <c r="S156" s="46"/>
      <c r="T156" s="46"/>
      <c r="U156" s="46"/>
      <c r="V156" s="46"/>
      <c r="W156" s="62"/>
      <c r="X156" s="67"/>
      <c r="Y156" s="68" t="str" cm="1">
        <f t="array" ref="Y156">CalculerNouvelleDate(I156,X156)</f>
        <v/>
      </c>
      <c r="Z156" s="68" t="str" cm="1">
        <f t="array" ref="Z156">CalculerNouvelleDate(J156,Y156)</f>
        <v/>
      </c>
      <c r="AA156" s="68" t="str" cm="1">
        <f t="array" ref="AA156">CalculerNouvelleDate(K156,Z156)</f>
        <v/>
      </c>
      <c r="AB156" s="68" t="str" cm="1">
        <f t="array" ref="AB156">CalculerNouvelleDate(L156,AA156)</f>
        <v/>
      </c>
      <c r="AC156" s="68" t="str" cm="1">
        <f t="array" ref="AC156">CalculerNouvelleDate(M156,AB156)</f>
        <v/>
      </c>
      <c r="AD156" s="68" t="str" cm="1">
        <f t="array" ref="AD156">CalculerNouvelleDate(N156,AC156)</f>
        <v/>
      </c>
      <c r="AE156" s="68" t="str" cm="1">
        <f t="array" ref="AE156">CalculerNouvelleDate(O156,AD156)</f>
        <v/>
      </c>
      <c r="AF156" s="68" t="str" cm="1">
        <f t="array" ref="AF156">CalculerNouvelleDate(P156,AE156)</f>
        <v/>
      </c>
      <c r="AG156" s="68" t="str" cm="1">
        <f t="array" ref="AG156">CalculerNouvelleDate(Q156,AF156)</f>
        <v/>
      </c>
      <c r="AH156" s="68" t="str" cm="1">
        <f t="array" ref="AH156">CalculerNouvelleDate(R156,AG156)</f>
        <v/>
      </c>
      <c r="AI156" s="68" t="str" cm="1">
        <f t="array" ref="AI156">CalculerNouvelleDate(S156,AH156)</f>
        <v/>
      </c>
      <c r="AJ156" s="68" t="str" cm="1">
        <f t="array" ref="AJ156">CalculerNouvelleDate(T156,AI156)</f>
        <v/>
      </c>
      <c r="AK156" s="68" t="str" cm="1">
        <f t="array" ref="AK156">CalculerNouvelleDate(U156,AJ156)</f>
        <v/>
      </c>
      <c r="AL156" s="68" t="str" cm="1">
        <f t="array" ref="AL156">CalculerNouvelleDate(V156,AK156)</f>
        <v/>
      </c>
      <c r="AM156" s="83" t="str" cm="1">
        <f t="array" ref="AM156">CorrespondanceDAte(X156:AL156,D157)</f>
        <v>0</v>
      </c>
      <c r="AN156" s="1"/>
      <c r="AO156" s="1"/>
      <c r="AP156" s="1"/>
      <c r="AQ156" s="1"/>
      <c r="AR156" s="1"/>
      <c r="AS156" s="1"/>
      <c r="AT156" s="1"/>
      <c r="AU156" s="1"/>
      <c r="AV156" s="1"/>
      <c r="AW156" s="1"/>
      <c r="AX156" s="1"/>
      <c r="AY156" s="1"/>
      <c r="AZ156" s="1"/>
      <c r="BA156" s="1"/>
    </row>
    <row r="157" spans="1:53" x14ac:dyDescent="0.3">
      <c r="A157" s="1"/>
      <c r="B157" s="11"/>
      <c r="C157" s="69" t="s">
        <v>538</v>
      </c>
      <c r="D157" s="1" t="s">
        <v>697</v>
      </c>
      <c r="E157" s="1"/>
      <c r="F157" s="1"/>
      <c r="G157" s="1"/>
      <c r="H157" s="43"/>
      <c r="I157" s="46"/>
      <c r="J157" s="46"/>
      <c r="K157" s="46"/>
      <c r="L157" s="46"/>
      <c r="M157" s="46"/>
      <c r="N157" s="46"/>
      <c r="O157" s="46"/>
      <c r="P157" s="46"/>
      <c r="Q157" s="46"/>
      <c r="R157" s="46"/>
      <c r="S157" s="46"/>
      <c r="T157" s="46"/>
      <c r="U157" s="46"/>
      <c r="V157" s="46"/>
      <c r="W157" s="62"/>
      <c r="X157" s="67"/>
      <c r="Y157" s="68" t="str" cm="1">
        <f t="array" ref="Y157">CalculerNouvelleDate(I157,X157)</f>
        <v/>
      </c>
      <c r="Z157" s="68" t="str" cm="1">
        <f t="array" ref="Z157">CalculerNouvelleDate(J157,Y157)</f>
        <v/>
      </c>
      <c r="AA157" s="68" t="str" cm="1">
        <f t="array" ref="AA157">CalculerNouvelleDate(K157,Z157)</f>
        <v/>
      </c>
      <c r="AB157" s="68" t="str" cm="1">
        <f t="array" ref="AB157">CalculerNouvelleDate(L157,AA157)</f>
        <v/>
      </c>
      <c r="AC157" s="68" t="str" cm="1">
        <f t="array" ref="AC157">CalculerNouvelleDate(M157,AB157)</f>
        <v/>
      </c>
      <c r="AD157" s="68" t="str" cm="1">
        <f t="array" ref="AD157">CalculerNouvelleDate(N157,AC157)</f>
        <v/>
      </c>
      <c r="AE157" s="68" t="str" cm="1">
        <f t="array" ref="AE157">CalculerNouvelleDate(O157,AD157)</f>
        <v/>
      </c>
      <c r="AF157" s="68" t="str" cm="1">
        <f t="array" ref="AF157">CalculerNouvelleDate(P157,AE157)</f>
        <v/>
      </c>
      <c r="AG157" s="68" t="str" cm="1">
        <f t="array" ref="AG157">CalculerNouvelleDate(Q157,AF157)</f>
        <v/>
      </c>
      <c r="AH157" s="68" t="str" cm="1">
        <f t="array" ref="AH157">CalculerNouvelleDate(R157,AG157)</f>
        <v/>
      </c>
      <c r="AI157" s="68" t="str" cm="1">
        <f t="array" ref="AI157">CalculerNouvelleDate(S157,AH157)</f>
        <v/>
      </c>
      <c r="AJ157" s="68" t="str" cm="1">
        <f t="array" ref="AJ157">CalculerNouvelleDate(T157,AI157)</f>
        <v/>
      </c>
      <c r="AK157" s="68" t="str" cm="1">
        <f t="array" ref="AK157">CalculerNouvelleDate(U157,AJ157)</f>
        <v/>
      </c>
      <c r="AL157" s="68" t="str" cm="1">
        <f t="array" ref="AL157">CalculerNouvelleDate(V157,AK157)</f>
        <v/>
      </c>
      <c r="AM157" s="83" t="str" cm="1">
        <f t="array" ref="AM157">CorrespondanceDAte(X157:AL157,D158)</f>
        <v>0</v>
      </c>
      <c r="AN157" s="1"/>
      <c r="AO157" s="1"/>
      <c r="AP157" s="1"/>
      <c r="AQ157" s="1"/>
      <c r="AR157" s="1"/>
      <c r="AS157" s="1"/>
      <c r="AT157" s="1"/>
      <c r="AU157" s="1"/>
      <c r="AV157" s="1"/>
      <c r="AW157" s="1"/>
      <c r="AX157" s="1"/>
      <c r="AY157" s="1"/>
      <c r="AZ157" s="1"/>
      <c r="BA157" s="1"/>
    </row>
    <row r="158" spans="1:53" x14ac:dyDescent="0.3">
      <c r="A158" s="1"/>
      <c r="B158" s="11"/>
      <c r="C158" s="69" t="s">
        <v>539</v>
      </c>
      <c r="D158" s="1" t="s">
        <v>698</v>
      </c>
      <c r="E158" s="1"/>
      <c r="F158" s="1"/>
      <c r="G158" s="1"/>
      <c r="H158" s="43"/>
      <c r="I158" s="46"/>
      <c r="J158" s="46"/>
      <c r="K158" s="46"/>
      <c r="L158" s="46"/>
      <c r="M158" s="46"/>
      <c r="N158" s="46"/>
      <c r="O158" s="46"/>
      <c r="P158" s="46"/>
      <c r="Q158" s="46"/>
      <c r="R158" s="46"/>
      <c r="S158" s="46"/>
      <c r="T158" s="46"/>
      <c r="U158" s="46"/>
      <c r="V158" s="46"/>
      <c r="W158" s="62"/>
      <c r="X158" s="67"/>
      <c r="Y158" s="68" t="str" cm="1">
        <f t="array" ref="Y158">CalculerNouvelleDate(I158,X158)</f>
        <v/>
      </c>
      <c r="Z158" s="68" t="str" cm="1">
        <f t="array" ref="Z158">CalculerNouvelleDate(J158,Y158)</f>
        <v/>
      </c>
      <c r="AA158" s="68" t="str" cm="1">
        <f t="array" ref="AA158">CalculerNouvelleDate(K158,Z158)</f>
        <v/>
      </c>
      <c r="AB158" s="68" t="str" cm="1">
        <f t="array" ref="AB158">CalculerNouvelleDate(L158,AA158)</f>
        <v/>
      </c>
      <c r="AC158" s="68" t="str" cm="1">
        <f t="array" ref="AC158">CalculerNouvelleDate(M158,AB158)</f>
        <v/>
      </c>
      <c r="AD158" s="68" t="str" cm="1">
        <f t="array" ref="AD158">CalculerNouvelleDate(N158,AC158)</f>
        <v/>
      </c>
      <c r="AE158" s="68" t="str" cm="1">
        <f t="array" ref="AE158">CalculerNouvelleDate(O158,AD158)</f>
        <v/>
      </c>
      <c r="AF158" s="68" t="str" cm="1">
        <f t="array" ref="AF158">CalculerNouvelleDate(P158,AE158)</f>
        <v/>
      </c>
      <c r="AG158" s="68" t="str" cm="1">
        <f t="array" ref="AG158">CalculerNouvelleDate(Q158,AF158)</f>
        <v/>
      </c>
      <c r="AH158" s="68" t="str" cm="1">
        <f t="array" ref="AH158">CalculerNouvelleDate(R158,AG158)</f>
        <v/>
      </c>
      <c r="AI158" s="68" t="str" cm="1">
        <f t="array" ref="AI158">CalculerNouvelleDate(S158,AH158)</f>
        <v/>
      </c>
      <c r="AJ158" s="68" t="str" cm="1">
        <f t="array" ref="AJ158">CalculerNouvelleDate(T158,AI158)</f>
        <v/>
      </c>
      <c r="AK158" s="68" t="str" cm="1">
        <f t="array" ref="AK158">CalculerNouvelleDate(U158,AJ158)</f>
        <v/>
      </c>
      <c r="AL158" s="68" t="str" cm="1">
        <f t="array" ref="AL158">CalculerNouvelleDate(V158,AK158)</f>
        <v/>
      </c>
      <c r="AM158" s="83" t="str" cm="1">
        <f t="array" ref="AM158">CorrespondanceDAte(X158:AL158,D159)</f>
        <v>0</v>
      </c>
      <c r="AN158" s="1"/>
      <c r="AO158" s="1"/>
      <c r="AP158" s="1"/>
      <c r="AQ158" s="1"/>
      <c r="AR158" s="1"/>
      <c r="AS158" s="1"/>
      <c r="AT158" s="1"/>
      <c r="AU158" s="1"/>
      <c r="AV158" s="1"/>
      <c r="AW158" s="1"/>
      <c r="AX158" s="1"/>
      <c r="AY158" s="1"/>
      <c r="AZ158" s="1"/>
      <c r="BA158" s="1"/>
    </row>
    <row r="159" spans="1:53" x14ac:dyDescent="0.3">
      <c r="A159" s="1"/>
      <c r="B159" s="11"/>
      <c r="C159" s="69" t="s">
        <v>540</v>
      </c>
      <c r="D159" s="82" t="s">
        <v>699</v>
      </c>
      <c r="E159" s="1"/>
      <c r="F159" s="1"/>
      <c r="G159" s="1"/>
      <c r="H159" s="43"/>
      <c r="I159" s="46"/>
      <c r="J159" s="46"/>
      <c r="K159" s="46"/>
      <c r="L159" s="46"/>
      <c r="M159" s="46"/>
      <c r="N159" s="46"/>
      <c r="O159" s="46"/>
      <c r="P159" s="46"/>
      <c r="Q159" s="46"/>
      <c r="R159" s="46"/>
      <c r="S159" s="46"/>
      <c r="T159" s="46"/>
      <c r="U159" s="46"/>
      <c r="V159" s="46"/>
      <c r="W159" s="62"/>
      <c r="X159" s="67"/>
      <c r="Y159" s="68" t="str" cm="1">
        <f t="array" ref="Y159">CalculerNouvelleDate(I159,X159)</f>
        <v/>
      </c>
      <c r="Z159" s="68" t="str" cm="1">
        <f t="array" ref="Z159">CalculerNouvelleDate(J159,Y159)</f>
        <v/>
      </c>
      <c r="AA159" s="68" t="str" cm="1">
        <f t="array" ref="AA159">CalculerNouvelleDate(K159,Z159)</f>
        <v/>
      </c>
      <c r="AB159" s="68" t="str" cm="1">
        <f t="array" ref="AB159">CalculerNouvelleDate(L159,AA159)</f>
        <v/>
      </c>
      <c r="AC159" s="68" t="str" cm="1">
        <f t="array" ref="AC159">CalculerNouvelleDate(M159,AB159)</f>
        <v/>
      </c>
      <c r="AD159" s="68" t="str" cm="1">
        <f t="array" ref="AD159">CalculerNouvelleDate(N159,AC159)</f>
        <v/>
      </c>
      <c r="AE159" s="68" t="str" cm="1">
        <f t="array" ref="AE159">CalculerNouvelleDate(O159,AD159)</f>
        <v/>
      </c>
      <c r="AF159" s="68" t="str" cm="1">
        <f t="array" ref="AF159">CalculerNouvelleDate(P159,AE159)</f>
        <v/>
      </c>
      <c r="AG159" s="68" t="str" cm="1">
        <f t="array" ref="AG159">CalculerNouvelleDate(Q159,AF159)</f>
        <v/>
      </c>
      <c r="AH159" s="68" t="str" cm="1">
        <f t="array" ref="AH159">CalculerNouvelleDate(R159,AG159)</f>
        <v/>
      </c>
      <c r="AI159" s="68" t="str" cm="1">
        <f t="array" ref="AI159">CalculerNouvelleDate(S159,AH159)</f>
        <v/>
      </c>
      <c r="AJ159" s="68" t="str" cm="1">
        <f t="array" ref="AJ159">CalculerNouvelleDate(T159,AI159)</f>
        <v/>
      </c>
      <c r="AK159" s="68" t="str" cm="1">
        <f t="array" ref="AK159">CalculerNouvelleDate(U159,AJ159)</f>
        <v/>
      </c>
      <c r="AL159" s="68" t="str" cm="1">
        <f t="array" ref="AL159">CalculerNouvelleDate(V159,AK159)</f>
        <v/>
      </c>
      <c r="AM159" s="83" t="str" cm="1">
        <f t="array" ref="AM159">CorrespondanceDAte(X159:AL159,D160)</f>
        <v>0</v>
      </c>
      <c r="AN159" s="1"/>
      <c r="AO159" s="1"/>
      <c r="AP159" s="1"/>
      <c r="AQ159" s="1"/>
      <c r="AR159" s="1"/>
      <c r="AS159" s="1"/>
      <c r="AT159" s="1"/>
      <c r="AU159" s="1"/>
      <c r="AV159" s="1"/>
      <c r="AW159" s="1"/>
      <c r="AX159" s="1"/>
      <c r="AY159" s="1"/>
      <c r="AZ159" s="1"/>
      <c r="BA159" s="1"/>
    </row>
    <row r="160" spans="1:53" x14ac:dyDescent="0.3">
      <c r="A160" s="1"/>
      <c r="B160" s="11">
        <v>2</v>
      </c>
      <c r="C160" s="1" t="s">
        <v>46</v>
      </c>
      <c r="D160" s="69"/>
      <c r="E160" s="1"/>
      <c r="F160" s="1"/>
      <c r="G160" s="1"/>
      <c r="H160" s="43"/>
      <c r="I160" s="1"/>
      <c r="J160" s="1"/>
      <c r="K160" s="1"/>
      <c r="L160" s="1"/>
      <c r="M160" s="1"/>
      <c r="N160" s="1"/>
      <c r="O160" s="1"/>
      <c r="P160" s="1"/>
      <c r="Q160" s="1"/>
      <c r="R160" s="1"/>
      <c r="S160" s="1"/>
      <c r="T160" s="1"/>
      <c r="U160" s="1"/>
      <c r="V160" s="1"/>
      <c r="W160" s="11"/>
      <c r="X160" s="67"/>
      <c r="Y160" s="68" t="str" cm="1">
        <f t="array" ref="Y160">CalculerNouvelleDate(I160,X160)</f>
        <v/>
      </c>
      <c r="Z160" s="68" t="str" cm="1">
        <f t="array" ref="Z160">CalculerNouvelleDate(J160,Y160)</f>
        <v/>
      </c>
      <c r="AA160" s="68" t="str" cm="1">
        <f t="array" ref="AA160">CalculerNouvelleDate(K160,Z160)</f>
        <v/>
      </c>
      <c r="AB160" s="68" t="str" cm="1">
        <f t="array" ref="AB160">CalculerNouvelleDate(L160,AA160)</f>
        <v/>
      </c>
      <c r="AC160" s="68" t="str" cm="1">
        <f t="array" ref="AC160">CalculerNouvelleDate(M160,AB160)</f>
        <v/>
      </c>
      <c r="AD160" s="68" t="str" cm="1">
        <f t="array" ref="AD160">CalculerNouvelleDate(N160,AC160)</f>
        <v/>
      </c>
      <c r="AE160" s="68" t="str" cm="1">
        <f t="array" ref="AE160">CalculerNouvelleDate(O160,AD160)</f>
        <v/>
      </c>
      <c r="AF160" s="68" t="str" cm="1">
        <f t="array" ref="AF160">CalculerNouvelleDate(P160,AE160)</f>
        <v/>
      </c>
      <c r="AG160" s="68" t="str" cm="1">
        <f t="array" ref="AG160">CalculerNouvelleDate(Q160,AF160)</f>
        <v/>
      </c>
      <c r="AH160" s="68" t="str" cm="1">
        <f t="array" ref="AH160">CalculerNouvelleDate(R160,AG160)</f>
        <v/>
      </c>
      <c r="AI160" s="68" t="str" cm="1">
        <f t="array" ref="AI160">CalculerNouvelleDate(S160,AH160)</f>
        <v/>
      </c>
      <c r="AJ160" s="68" t="str" cm="1">
        <f t="array" ref="AJ160">CalculerNouvelleDate(T160,AI160)</f>
        <v/>
      </c>
      <c r="AK160" s="68" t="str" cm="1">
        <f t="array" ref="AK160">CalculerNouvelleDate(U160,AJ160)</f>
        <v/>
      </c>
      <c r="AL160" s="68" t="str" cm="1">
        <f t="array" ref="AL160">CalculerNouvelleDate(V160,AK160)</f>
        <v/>
      </c>
      <c r="AM160" s="83" t="str" cm="1">
        <f t="array" ref="AM160">CorrespondanceDAte(X160:AL160,D161)</f>
        <v>0</v>
      </c>
      <c r="AN160" s="1"/>
      <c r="AO160" s="1"/>
      <c r="AP160" s="1"/>
      <c r="AQ160" s="1"/>
      <c r="AR160" s="1"/>
      <c r="AS160" s="1"/>
      <c r="AT160" s="1"/>
      <c r="AU160" s="1"/>
      <c r="AV160" s="1"/>
      <c r="AW160" s="1"/>
      <c r="AX160" s="1"/>
      <c r="AY160" s="1"/>
      <c r="AZ160" s="1"/>
      <c r="BA160" s="1"/>
    </row>
    <row r="161" spans="1:53" x14ac:dyDescent="0.3">
      <c r="A161" s="1"/>
      <c r="B161" s="11"/>
      <c r="C161" s="69" t="s">
        <v>533</v>
      </c>
      <c r="D161" s="69" t="s">
        <v>700</v>
      </c>
      <c r="E161" s="1"/>
      <c r="F161" s="1"/>
      <c r="G161" s="1"/>
      <c r="H161" s="43"/>
      <c r="I161" s="46"/>
      <c r="J161" s="46"/>
      <c r="K161" s="46"/>
      <c r="L161" s="46"/>
      <c r="M161" s="46"/>
      <c r="N161" s="46"/>
      <c r="O161" s="46"/>
      <c r="P161" s="46"/>
      <c r="Q161" s="46"/>
      <c r="R161" s="46"/>
      <c r="S161" s="46"/>
      <c r="T161" s="46"/>
      <c r="U161" s="46"/>
      <c r="V161" s="46"/>
      <c r="W161" s="62"/>
      <c r="X161" s="67"/>
      <c r="Y161" s="68" t="str" cm="1">
        <f t="array" ref="Y161">CalculerNouvelleDate(I161,X161)</f>
        <v/>
      </c>
      <c r="Z161" s="68" t="str" cm="1">
        <f t="array" ref="Z161">CalculerNouvelleDate(J161,Y161)</f>
        <v/>
      </c>
      <c r="AA161" s="68" t="str" cm="1">
        <f t="array" ref="AA161">CalculerNouvelleDate(K161,Z161)</f>
        <v/>
      </c>
      <c r="AB161" s="68" t="str" cm="1">
        <f t="array" ref="AB161">CalculerNouvelleDate(L161,AA161)</f>
        <v/>
      </c>
      <c r="AC161" s="68" t="str" cm="1">
        <f t="array" ref="AC161">CalculerNouvelleDate(M161,AB161)</f>
        <v/>
      </c>
      <c r="AD161" s="68" t="str" cm="1">
        <f t="array" ref="AD161">CalculerNouvelleDate(N161,AC161)</f>
        <v/>
      </c>
      <c r="AE161" s="68" t="str" cm="1">
        <f t="array" ref="AE161">CalculerNouvelleDate(O161,AD161)</f>
        <v/>
      </c>
      <c r="AF161" s="68" t="str" cm="1">
        <f t="array" ref="AF161">CalculerNouvelleDate(P161,AE161)</f>
        <v/>
      </c>
      <c r="AG161" s="68" t="str" cm="1">
        <f t="array" ref="AG161">CalculerNouvelleDate(Q161,AF161)</f>
        <v/>
      </c>
      <c r="AH161" s="68" t="str" cm="1">
        <f t="array" ref="AH161">CalculerNouvelleDate(R161,AG161)</f>
        <v/>
      </c>
      <c r="AI161" s="68" t="str" cm="1">
        <f t="array" ref="AI161">CalculerNouvelleDate(S161,AH161)</f>
        <v/>
      </c>
      <c r="AJ161" s="68" t="str" cm="1">
        <f t="array" ref="AJ161">CalculerNouvelleDate(T161,AI161)</f>
        <v/>
      </c>
      <c r="AK161" s="68" t="str" cm="1">
        <f t="array" ref="AK161">CalculerNouvelleDate(U161,AJ161)</f>
        <v/>
      </c>
      <c r="AL161" s="68" t="str" cm="1">
        <f t="array" ref="AL161">CalculerNouvelleDate(V161,AK161)</f>
        <v/>
      </c>
      <c r="AM161" s="83" t="str" cm="1">
        <f t="array" ref="AM161">CorrespondanceDAte(X161:AL161,D162)</f>
        <v>0</v>
      </c>
      <c r="AN161" s="1"/>
      <c r="AO161" s="1"/>
      <c r="AP161" s="1"/>
      <c r="AQ161" s="1"/>
      <c r="AR161" s="1"/>
      <c r="AS161" s="1"/>
      <c r="AT161" s="1"/>
      <c r="AU161" s="1"/>
      <c r="AV161" s="1"/>
      <c r="AW161" s="1"/>
      <c r="AX161" s="1"/>
      <c r="AY161" s="1"/>
      <c r="AZ161" s="1"/>
      <c r="BA161" s="1"/>
    </row>
    <row r="162" spans="1:53" x14ac:dyDescent="0.3">
      <c r="A162" s="1"/>
      <c r="B162" s="11"/>
      <c r="C162" s="69" t="s">
        <v>535</v>
      </c>
      <c r="D162" s="69" t="s">
        <v>701</v>
      </c>
      <c r="E162" s="1"/>
      <c r="F162" s="1"/>
      <c r="G162" s="1"/>
      <c r="H162" s="43"/>
      <c r="I162" s="46"/>
      <c r="J162" s="46"/>
      <c r="K162" s="46"/>
      <c r="L162" s="46"/>
      <c r="M162" s="46"/>
      <c r="N162" s="46"/>
      <c r="O162" s="46"/>
      <c r="P162" s="46"/>
      <c r="Q162" s="46"/>
      <c r="R162" s="46"/>
      <c r="S162" s="46"/>
      <c r="T162" s="46"/>
      <c r="U162" s="46"/>
      <c r="V162" s="46"/>
      <c r="W162" s="62"/>
      <c r="X162" s="67"/>
      <c r="Y162" s="68" t="str" cm="1">
        <f t="array" ref="Y162">CalculerNouvelleDate(I162,X162)</f>
        <v/>
      </c>
      <c r="Z162" s="68" t="str" cm="1">
        <f t="array" ref="Z162">CalculerNouvelleDate(J162,Y162)</f>
        <v/>
      </c>
      <c r="AA162" s="68" t="str" cm="1">
        <f t="array" ref="AA162">CalculerNouvelleDate(K162,Z162)</f>
        <v/>
      </c>
      <c r="AB162" s="68" t="str" cm="1">
        <f t="array" ref="AB162">CalculerNouvelleDate(L162,AA162)</f>
        <v/>
      </c>
      <c r="AC162" s="68" t="str" cm="1">
        <f t="array" ref="AC162">CalculerNouvelleDate(M162,AB162)</f>
        <v/>
      </c>
      <c r="AD162" s="68" t="str" cm="1">
        <f t="array" ref="AD162">CalculerNouvelleDate(N162,AC162)</f>
        <v/>
      </c>
      <c r="AE162" s="68" t="str" cm="1">
        <f t="array" ref="AE162">CalculerNouvelleDate(O162,AD162)</f>
        <v/>
      </c>
      <c r="AF162" s="68" t="str" cm="1">
        <f t="array" ref="AF162">CalculerNouvelleDate(P162,AE162)</f>
        <v/>
      </c>
      <c r="AG162" s="68" t="str" cm="1">
        <f t="array" ref="AG162">CalculerNouvelleDate(Q162,AF162)</f>
        <v/>
      </c>
      <c r="AH162" s="68" t="str" cm="1">
        <f t="array" ref="AH162">CalculerNouvelleDate(R162,AG162)</f>
        <v/>
      </c>
      <c r="AI162" s="68" t="str" cm="1">
        <f t="array" ref="AI162">CalculerNouvelleDate(S162,AH162)</f>
        <v/>
      </c>
      <c r="AJ162" s="68" t="str" cm="1">
        <f t="array" ref="AJ162">CalculerNouvelleDate(T162,AI162)</f>
        <v/>
      </c>
      <c r="AK162" s="68" t="str" cm="1">
        <f t="array" ref="AK162">CalculerNouvelleDate(U162,AJ162)</f>
        <v/>
      </c>
      <c r="AL162" s="68" t="str" cm="1">
        <f t="array" ref="AL162">CalculerNouvelleDate(V162,AK162)</f>
        <v/>
      </c>
      <c r="AM162" s="83" t="str" cm="1">
        <f t="array" ref="AM162">CorrespondanceDAte(X162:AL162,D163)</f>
        <v>0</v>
      </c>
      <c r="AN162" s="1"/>
      <c r="AO162" s="1"/>
      <c r="AP162" s="1"/>
      <c r="AQ162" s="1"/>
      <c r="AR162" s="1"/>
      <c r="AS162" s="1"/>
      <c r="AT162" s="1"/>
      <c r="AU162" s="1"/>
      <c r="AV162" s="1"/>
      <c r="AW162" s="1"/>
      <c r="AX162" s="1"/>
      <c r="AY162" s="1"/>
      <c r="AZ162" s="1"/>
      <c r="BA162" s="1"/>
    </row>
    <row r="163" spans="1:53" x14ac:dyDescent="0.3">
      <c r="A163" s="1"/>
      <c r="B163" s="11"/>
      <c r="C163" s="69" t="s">
        <v>545</v>
      </c>
      <c r="D163" s="69" t="s">
        <v>702</v>
      </c>
      <c r="E163" s="1"/>
      <c r="F163" s="1"/>
      <c r="G163" s="1"/>
      <c r="H163" s="43"/>
      <c r="I163" s="46"/>
      <c r="J163" s="46"/>
      <c r="K163" s="46"/>
      <c r="L163" s="46"/>
      <c r="M163" s="46"/>
      <c r="N163" s="46"/>
      <c r="O163" s="46"/>
      <c r="P163" s="46"/>
      <c r="Q163" s="46"/>
      <c r="R163" s="46"/>
      <c r="S163" s="46"/>
      <c r="T163" s="46"/>
      <c r="U163" s="46"/>
      <c r="V163" s="46"/>
      <c r="W163" s="62"/>
      <c r="X163" s="67"/>
      <c r="Y163" s="68" t="str" cm="1">
        <f t="array" ref="Y163">CalculerNouvelleDate(I163,X163)</f>
        <v/>
      </c>
      <c r="Z163" s="68" t="str" cm="1">
        <f t="array" ref="Z163">CalculerNouvelleDate(J163,Y163)</f>
        <v/>
      </c>
      <c r="AA163" s="68" t="str" cm="1">
        <f t="array" ref="AA163">CalculerNouvelleDate(K163,Z163)</f>
        <v/>
      </c>
      <c r="AB163" s="68" t="str" cm="1">
        <f t="array" ref="AB163">CalculerNouvelleDate(L163,AA163)</f>
        <v/>
      </c>
      <c r="AC163" s="68" t="str" cm="1">
        <f t="array" ref="AC163">CalculerNouvelleDate(M163,AB163)</f>
        <v/>
      </c>
      <c r="AD163" s="68" t="str" cm="1">
        <f t="array" ref="AD163">CalculerNouvelleDate(N163,AC163)</f>
        <v/>
      </c>
      <c r="AE163" s="68" t="str" cm="1">
        <f t="array" ref="AE163">CalculerNouvelleDate(O163,AD163)</f>
        <v/>
      </c>
      <c r="AF163" s="68" t="str" cm="1">
        <f t="array" ref="AF163">CalculerNouvelleDate(P163,AE163)</f>
        <v/>
      </c>
      <c r="AG163" s="68" t="str" cm="1">
        <f t="array" ref="AG163">CalculerNouvelleDate(Q163,AF163)</f>
        <v/>
      </c>
      <c r="AH163" s="68" t="str" cm="1">
        <f t="array" ref="AH163">CalculerNouvelleDate(R163,AG163)</f>
        <v/>
      </c>
      <c r="AI163" s="68" t="str" cm="1">
        <f t="array" ref="AI163">CalculerNouvelleDate(S163,AH163)</f>
        <v/>
      </c>
      <c r="AJ163" s="68" t="str" cm="1">
        <f t="array" ref="AJ163">CalculerNouvelleDate(T163,AI163)</f>
        <v/>
      </c>
      <c r="AK163" s="68" t="str" cm="1">
        <f t="array" ref="AK163">CalculerNouvelleDate(U163,AJ163)</f>
        <v/>
      </c>
      <c r="AL163" s="68" t="str" cm="1">
        <f t="array" ref="AL163">CalculerNouvelleDate(V163,AK163)</f>
        <v/>
      </c>
      <c r="AM163" s="83" t="str" cm="1">
        <f t="array" ref="AM163">CorrespondanceDAte(X163:AL163,D164)</f>
        <v>0</v>
      </c>
      <c r="AN163" s="1"/>
      <c r="AO163" s="1"/>
      <c r="AP163" s="1"/>
      <c r="AQ163" s="1"/>
      <c r="AR163" s="1"/>
      <c r="AS163" s="1"/>
      <c r="AT163" s="1"/>
      <c r="AU163" s="1"/>
      <c r="AV163" s="1"/>
      <c r="AW163" s="1"/>
      <c r="AX163" s="1"/>
      <c r="AY163" s="1"/>
      <c r="AZ163" s="1"/>
      <c r="BA163" s="1"/>
    </row>
    <row r="164" spans="1:53" x14ac:dyDescent="0.3">
      <c r="A164" s="1"/>
      <c r="B164" s="11"/>
      <c r="C164" s="69" t="s">
        <v>653</v>
      </c>
      <c r="D164" s="69" t="s">
        <v>703</v>
      </c>
      <c r="E164" s="1"/>
      <c r="F164" s="1"/>
      <c r="G164" s="1"/>
      <c r="H164" s="43"/>
      <c r="I164" s="46"/>
      <c r="J164" s="46"/>
      <c r="K164" s="46"/>
      <c r="L164" s="46"/>
      <c r="M164" s="46"/>
      <c r="N164" s="46"/>
      <c r="O164" s="46"/>
      <c r="P164" s="46"/>
      <c r="Q164" s="46"/>
      <c r="R164" s="46"/>
      <c r="S164" s="46"/>
      <c r="T164" s="46"/>
      <c r="U164" s="46"/>
      <c r="V164" s="46"/>
      <c r="W164" s="62"/>
      <c r="X164" s="67"/>
      <c r="Y164" s="68" t="str" cm="1">
        <f t="array" ref="Y164">CalculerNouvelleDate(I164,X164)</f>
        <v/>
      </c>
      <c r="Z164" s="68" t="str" cm="1">
        <f t="array" ref="Z164">CalculerNouvelleDate(J164,Y164)</f>
        <v/>
      </c>
      <c r="AA164" s="68" t="str" cm="1">
        <f t="array" ref="AA164">CalculerNouvelleDate(K164,Z164)</f>
        <v/>
      </c>
      <c r="AB164" s="68" t="str" cm="1">
        <f t="array" ref="AB164">CalculerNouvelleDate(L164,AA164)</f>
        <v/>
      </c>
      <c r="AC164" s="68" t="str" cm="1">
        <f t="array" ref="AC164">CalculerNouvelleDate(M164,AB164)</f>
        <v/>
      </c>
      <c r="AD164" s="68" t="str" cm="1">
        <f t="array" ref="AD164">CalculerNouvelleDate(N164,AC164)</f>
        <v/>
      </c>
      <c r="AE164" s="68" t="str" cm="1">
        <f t="array" ref="AE164">CalculerNouvelleDate(O164,AD164)</f>
        <v/>
      </c>
      <c r="AF164" s="68" t="str" cm="1">
        <f t="array" ref="AF164">CalculerNouvelleDate(P164,AE164)</f>
        <v/>
      </c>
      <c r="AG164" s="68" t="str" cm="1">
        <f t="array" ref="AG164">CalculerNouvelleDate(Q164,AF164)</f>
        <v/>
      </c>
      <c r="AH164" s="68" t="str" cm="1">
        <f t="array" ref="AH164">CalculerNouvelleDate(R164,AG164)</f>
        <v/>
      </c>
      <c r="AI164" s="68" t="str" cm="1">
        <f t="array" ref="AI164">CalculerNouvelleDate(S164,AH164)</f>
        <v/>
      </c>
      <c r="AJ164" s="68" t="str" cm="1">
        <f t="array" ref="AJ164">CalculerNouvelleDate(T164,AI164)</f>
        <v/>
      </c>
      <c r="AK164" s="68" t="str" cm="1">
        <f t="array" ref="AK164">CalculerNouvelleDate(U164,AJ164)</f>
        <v/>
      </c>
      <c r="AL164" s="68" t="str" cm="1">
        <f t="array" ref="AL164">CalculerNouvelleDate(V164,AK164)</f>
        <v/>
      </c>
      <c r="AM164" s="83" t="str" cm="1">
        <f t="array" ref="AM164">CorrespondanceDAte(X164:AL164,D165)</f>
        <v>0</v>
      </c>
      <c r="AN164" s="1"/>
      <c r="AO164" s="1"/>
      <c r="AP164" s="1"/>
      <c r="AQ164" s="1"/>
      <c r="AR164" s="1"/>
      <c r="AS164" s="1"/>
      <c r="AT164" s="1"/>
      <c r="AU164" s="1"/>
      <c r="AV164" s="1"/>
      <c r="AW164" s="1"/>
      <c r="AX164" s="1"/>
      <c r="AY164" s="1"/>
      <c r="AZ164" s="1"/>
      <c r="BA164" s="1"/>
    </row>
    <row r="165" spans="1:53" x14ac:dyDescent="0.3">
      <c r="A165" s="1"/>
      <c r="B165" s="11"/>
      <c r="C165" s="69" t="s">
        <v>654</v>
      </c>
      <c r="D165" s="69" t="s">
        <v>704</v>
      </c>
      <c r="E165" s="1"/>
      <c r="F165" s="1"/>
      <c r="G165" s="1"/>
      <c r="H165" s="43"/>
      <c r="I165" s="46"/>
      <c r="J165" s="46"/>
      <c r="K165" s="46"/>
      <c r="L165" s="46"/>
      <c r="M165" s="46"/>
      <c r="N165" s="46"/>
      <c r="O165" s="46"/>
      <c r="P165" s="46"/>
      <c r="Q165" s="46"/>
      <c r="R165" s="46"/>
      <c r="S165" s="46"/>
      <c r="T165" s="46"/>
      <c r="U165" s="46"/>
      <c r="V165" s="46"/>
      <c r="W165" s="62"/>
      <c r="X165" s="67"/>
      <c r="Y165" s="68" t="str" cm="1">
        <f t="array" ref="Y165">CalculerNouvelleDate(I165,X165)</f>
        <v/>
      </c>
      <c r="Z165" s="68" t="str" cm="1">
        <f t="array" ref="Z165">CalculerNouvelleDate(J165,Y165)</f>
        <v/>
      </c>
      <c r="AA165" s="68" t="str" cm="1">
        <f t="array" ref="AA165">CalculerNouvelleDate(K165,Z165)</f>
        <v/>
      </c>
      <c r="AB165" s="68" t="str" cm="1">
        <f t="array" ref="AB165">CalculerNouvelleDate(L165,AA165)</f>
        <v/>
      </c>
      <c r="AC165" s="68" t="str" cm="1">
        <f t="array" ref="AC165">CalculerNouvelleDate(M165,AB165)</f>
        <v/>
      </c>
      <c r="AD165" s="68" t="str" cm="1">
        <f t="array" ref="AD165">CalculerNouvelleDate(N165,AC165)</f>
        <v/>
      </c>
      <c r="AE165" s="68" t="str" cm="1">
        <f t="array" ref="AE165">CalculerNouvelleDate(O165,AD165)</f>
        <v/>
      </c>
      <c r="AF165" s="68" t="str" cm="1">
        <f t="array" ref="AF165">CalculerNouvelleDate(P165,AE165)</f>
        <v/>
      </c>
      <c r="AG165" s="68" t="str" cm="1">
        <f t="array" ref="AG165">CalculerNouvelleDate(Q165,AF165)</f>
        <v/>
      </c>
      <c r="AH165" s="68" t="str" cm="1">
        <f t="array" ref="AH165">CalculerNouvelleDate(R165,AG165)</f>
        <v/>
      </c>
      <c r="AI165" s="68" t="str" cm="1">
        <f t="array" ref="AI165">CalculerNouvelleDate(S165,AH165)</f>
        <v/>
      </c>
      <c r="AJ165" s="68" t="str" cm="1">
        <f t="array" ref="AJ165">CalculerNouvelleDate(T165,AI165)</f>
        <v/>
      </c>
      <c r="AK165" s="68" t="str" cm="1">
        <f t="array" ref="AK165">CalculerNouvelleDate(U165,AJ165)</f>
        <v/>
      </c>
      <c r="AL165" s="68" t="str" cm="1">
        <f t="array" ref="AL165">CalculerNouvelleDate(V165,AK165)</f>
        <v/>
      </c>
      <c r="AM165" s="83" t="str" cm="1">
        <f t="array" ref="AM165">CorrespondanceDAte(X165:AL165,D166)</f>
        <v>0</v>
      </c>
      <c r="AN165" s="1"/>
      <c r="AO165" s="1"/>
      <c r="AP165" s="1"/>
      <c r="AQ165" s="1"/>
      <c r="AR165" s="1"/>
      <c r="AS165" s="1"/>
      <c r="AT165" s="1"/>
      <c r="AU165" s="1"/>
      <c r="AV165" s="1"/>
      <c r="AW165" s="1"/>
      <c r="AX165" s="1"/>
      <c r="AY165" s="1"/>
      <c r="AZ165" s="1"/>
      <c r="BA165" s="1"/>
    </row>
    <row r="166" spans="1:53" x14ac:dyDescent="0.3">
      <c r="A166" s="1"/>
      <c r="B166" s="11">
        <v>3</v>
      </c>
      <c r="C166" s="1" t="s">
        <v>47</v>
      </c>
      <c r="D166" s="1"/>
      <c r="E166" s="1"/>
      <c r="F166" s="1"/>
      <c r="G166" s="1"/>
      <c r="H166" s="43"/>
      <c r="I166" s="1"/>
      <c r="J166" s="1"/>
      <c r="K166" s="1"/>
      <c r="L166" s="1"/>
      <c r="M166" s="1"/>
      <c r="N166" s="1"/>
      <c r="O166" s="1"/>
      <c r="P166" s="1"/>
      <c r="Q166" s="1"/>
      <c r="R166" s="1"/>
      <c r="S166" s="1"/>
      <c r="T166" s="1"/>
      <c r="U166" s="1"/>
      <c r="V166" s="1"/>
      <c r="W166" s="11"/>
      <c r="X166" s="67"/>
      <c r="Y166" s="68" t="str" cm="1">
        <f t="array" ref="Y166">CalculerNouvelleDate(I166,X166)</f>
        <v/>
      </c>
      <c r="Z166" s="68" t="str" cm="1">
        <f t="array" ref="Z166">CalculerNouvelleDate(J166,Y166)</f>
        <v/>
      </c>
      <c r="AA166" s="68" t="str" cm="1">
        <f t="array" ref="AA166">CalculerNouvelleDate(K166,Z166)</f>
        <v/>
      </c>
      <c r="AB166" s="68" t="str" cm="1">
        <f t="array" ref="AB166">CalculerNouvelleDate(L166,AA166)</f>
        <v/>
      </c>
      <c r="AC166" s="68" t="str" cm="1">
        <f t="array" ref="AC166">CalculerNouvelleDate(M166,AB166)</f>
        <v/>
      </c>
      <c r="AD166" s="68" t="str" cm="1">
        <f t="array" ref="AD166">CalculerNouvelleDate(N166,AC166)</f>
        <v/>
      </c>
      <c r="AE166" s="68" t="str" cm="1">
        <f t="array" ref="AE166">CalculerNouvelleDate(O166,AD166)</f>
        <v/>
      </c>
      <c r="AF166" s="68" t="str" cm="1">
        <f t="array" ref="AF166">CalculerNouvelleDate(P166,AE166)</f>
        <v/>
      </c>
      <c r="AG166" s="68" t="str" cm="1">
        <f t="array" ref="AG166">CalculerNouvelleDate(Q166,AF166)</f>
        <v/>
      </c>
      <c r="AH166" s="68" t="str" cm="1">
        <f t="array" ref="AH166">CalculerNouvelleDate(R166,AG166)</f>
        <v/>
      </c>
      <c r="AI166" s="68" t="str" cm="1">
        <f t="array" ref="AI166">CalculerNouvelleDate(S166,AH166)</f>
        <v/>
      </c>
      <c r="AJ166" s="68" t="str" cm="1">
        <f t="array" ref="AJ166">CalculerNouvelleDate(T166,AI166)</f>
        <v/>
      </c>
      <c r="AK166" s="68" t="str" cm="1">
        <f t="array" ref="AK166">CalculerNouvelleDate(U166,AJ166)</f>
        <v/>
      </c>
      <c r="AL166" s="68" t="str" cm="1">
        <f t="array" ref="AL166">CalculerNouvelleDate(V166,AK166)</f>
        <v/>
      </c>
      <c r="AM166" s="83" t="str" cm="1">
        <f t="array" ref="AM166">CorrespondanceDAte(X166:AL166,D167)</f>
        <v>0</v>
      </c>
      <c r="AN166" s="1"/>
      <c r="AO166" s="1"/>
      <c r="AP166" s="1"/>
      <c r="AQ166" s="1"/>
      <c r="AR166" s="1"/>
      <c r="AS166" s="1"/>
      <c r="AT166" s="1"/>
      <c r="AU166" s="1"/>
      <c r="AV166" s="1"/>
      <c r="AW166" s="1"/>
      <c r="AX166" s="1"/>
      <c r="AY166" s="1"/>
      <c r="AZ166" s="1"/>
      <c r="BA166" s="1"/>
    </row>
    <row r="167" spans="1:53" x14ac:dyDescent="0.3">
      <c r="A167" s="1"/>
      <c r="B167" s="11"/>
      <c r="C167" s="69" t="s">
        <v>549</v>
      </c>
      <c r="D167" s="1"/>
      <c r="E167" s="1"/>
      <c r="F167" s="1"/>
      <c r="G167" s="1"/>
      <c r="H167" s="43"/>
      <c r="I167" s="46"/>
      <c r="J167" s="46"/>
      <c r="K167" s="46"/>
      <c r="L167" s="46"/>
      <c r="M167" s="46"/>
      <c r="N167" s="46"/>
      <c r="O167" s="46"/>
      <c r="P167" s="46"/>
      <c r="Q167" s="46"/>
      <c r="R167" s="46"/>
      <c r="S167" s="46"/>
      <c r="T167" s="46"/>
      <c r="U167" s="46"/>
      <c r="V167" s="46"/>
      <c r="W167" s="62"/>
      <c r="X167" s="67"/>
      <c r="Y167" s="68" t="str" cm="1">
        <f t="array" ref="Y167">CalculerNouvelleDate(I167,X167)</f>
        <v/>
      </c>
      <c r="Z167" s="68" t="str" cm="1">
        <f t="array" ref="Z167">CalculerNouvelleDate(J167,Y167)</f>
        <v/>
      </c>
      <c r="AA167" s="68" t="str" cm="1">
        <f t="array" ref="AA167">CalculerNouvelleDate(K167,Z167)</f>
        <v/>
      </c>
      <c r="AB167" s="68" t="str" cm="1">
        <f t="array" ref="AB167">CalculerNouvelleDate(L167,AA167)</f>
        <v/>
      </c>
      <c r="AC167" s="68" t="str" cm="1">
        <f t="array" ref="AC167">CalculerNouvelleDate(M167,AB167)</f>
        <v/>
      </c>
      <c r="AD167" s="68" t="str" cm="1">
        <f t="array" ref="AD167">CalculerNouvelleDate(N167,AC167)</f>
        <v/>
      </c>
      <c r="AE167" s="68" t="str" cm="1">
        <f t="array" ref="AE167">CalculerNouvelleDate(O167,AD167)</f>
        <v/>
      </c>
      <c r="AF167" s="68" t="str" cm="1">
        <f t="array" ref="AF167">CalculerNouvelleDate(P167,AE167)</f>
        <v/>
      </c>
      <c r="AG167" s="68" t="str" cm="1">
        <f t="array" ref="AG167">CalculerNouvelleDate(Q167,AF167)</f>
        <v/>
      </c>
      <c r="AH167" s="68" t="str" cm="1">
        <f t="array" ref="AH167">CalculerNouvelleDate(R167,AG167)</f>
        <v/>
      </c>
      <c r="AI167" s="68" t="str" cm="1">
        <f t="array" ref="AI167">CalculerNouvelleDate(S167,AH167)</f>
        <v/>
      </c>
      <c r="AJ167" s="68" t="str" cm="1">
        <f t="array" ref="AJ167">CalculerNouvelleDate(T167,AI167)</f>
        <v/>
      </c>
      <c r="AK167" s="68" t="str" cm="1">
        <f t="array" ref="AK167">CalculerNouvelleDate(U167,AJ167)</f>
        <v/>
      </c>
      <c r="AL167" s="68" t="str" cm="1">
        <f t="array" ref="AL167">CalculerNouvelleDate(V167,AK167)</f>
        <v/>
      </c>
      <c r="AM167" s="83" t="str" cm="1">
        <f t="array" ref="AM167">CorrespondanceDAte(X167:AL167,D168)</f>
        <v>0</v>
      </c>
      <c r="AN167" s="1"/>
      <c r="AO167" s="1"/>
      <c r="AP167" s="1"/>
      <c r="AQ167" s="1"/>
      <c r="AR167" s="1"/>
      <c r="AS167" s="1"/>
      <c r="AT167" s="1"/>
      <c r="AU167" s="1"/>
      <c r="AV167" s="1"/>
      <c r="AW167" s="1"/>
      <c r="AX167" s="1"/>
      <c r="AY167" s="1"/>
      <c r="AZ167" s="1"/>
      <c r="BA167" s="1"/>
    </row>
    <row r="168" spans="1:53" x14ac:dyDescent="0.3">
      <c r="A168" s="1"/>
      <c r="B168" s="11"/>
      <c r="C168" s="69" t="s">
        <v>536</v>
      </c>
      <c r="D168" s="1"/>
      <c r="E168" s="1"/>
      <c r="F168" s="1"/>
      <c r="G168" s="1"/>
      <c r="H168" s="43"/>
      <c r="I168" s="46"/>
      <c r="J168" s="46"/>
      <c r="K168" s="46"/>
      <c r="L168" s="46"/>
      <c r="M168" s="46"/>
      <c r="N168" s="46"/>
      <c r="O168" s="46"/>
      <c r="P168" s="46"/>
      <c r="Q168" s="46"/>
      <c r="R168" s="46"/>
      <c r="S168" s="46"/>
      <c r="T168" s="46"/>
      <c r="U168" s="46"/>
      <c r="V168" s="46"/>
      <c r="W168" s="62"/>
      <c r="X168" s="67"/>
      <c r="Y168" s="68" t="str" cm="1">
        <f t="array" ref="Y168">CalculerNouvelleDate(I168,X168)</f>
        <v/>
      </c>
      <c r="Z168" s="68" t="str" cm="1">
        <f t="array" ref="Z168">CalculerNouvelleDate(J168,Y168)</f>
        <v/>
      </c>
      <c r="AA168" s="68" t="str" cm="1">
        <f t="array" ref="AA168">CalculerNouvelleDate(K168,Z168)</f>
        <v/>
      </c>
      <c r="AB168" s="68" t="str" cm="1">
        <f t="array" ref="AB168">CalculerNouvelleDate(L168,AA168)</f>
        <v/>
      </c>
      <c r="AC168" s="68" t="str" cm="1">
        <f t="array" ref="AC168">CalculerNouvelleDate(M168,AB168)</f>
        <v/>
      </c>
      <c r="AD168" s="68" t="str" cm="1">
        <f t="array" ref="AD168">CalculerNouvelleDate(N168,AC168)</f>
        <v/>
      </c>
      <c r="AE168" s="68" t="str" cm="1">
        <f t="array" ref="AE168">CalculerNouvelleDate(O168,AD168)</f>
        <v/>
      </c>
      <c r="AF168" s="68" t="str" cm="1">
        <f t="array" ref="AF168">CalculerNouvelleDate(P168,AE168)</f>
        <v/>
      </c>
      <c r="AG168" s="68" t="str" cm="1">
        <f t="array" ref="AG168">CalculerNouvelleDate(Q168,AF168)</f>
        <v/>
      </c>
      <c r="AH168" s="68" t="str" cm="1">
        <f t="array" ref="AH168">CalculerNouvelleDate(R168,AG168)</f>
        <v/>
      </c>
      <c r="AI168" s="68" t="str" cm="1">
        <f t="array" ref="AI168">CalculerNouvelleDate(S168,AH168)</f>
        <v/>
      </c>
      <c r="AJ168" s="68" t="str" cm="1">
        <f t="array" ref="AJ168">CalculerNouvelleDate(T168,AI168)</f>
        <v/>
      </c>
      <c r="AK168" s="68" t="str" cm="1">
        <f t="array" ref="AK168">CalculerNouvelleDate(U168,AJ168)</f>
        <v/>
      </c>
      <c r="AL168" s="68" t="str" cm="1">
        <f t="array" ref="AL168">CalculerNouvelleDate(V168,AK168)</f>
        <v/>
      </c>
      <c r="AM168" s="83" t="str" cm="1">
        <f t="array" ref="AM168">CorrespondanceDAte(X168:AL168,D169)</f>
        <v>0</v>
      </c>
      <c r="AN168" s="1"/>
      <c r="AO168" s="1"/>
      <c r="AP168" s="1"/>
      <c r="AQ168" s="1"/>
      <c r="AR168" s="1"/>
      <c r="AS168" s="1"/>
      <c r="AT168" s="1"/>
      <c r="AU168" s="1"/>
      <c r="AV168" s="1"/>
      <c r="AW168" s="1"/>
      <c r="AX168" s="1"/>
      <c r="AY168" s="1"/>
      <c r="AZ168" s="1"/>
      <c r="BA168" s="1"/>
    </row>
    <row r="169" spans="1:53" x14ac:dyDescent="0.3">
      <c r="A169" s="1"/>
      <c r="B169" s="11"/>
      <c r="C169" s="69" t="s">
        <v>550</v>
      </c>
      <c r="D169" s="1"/>
      <c r="E169" s="1"/>
      <c r="F169" s="1"/>
      <c r="G169" s="1"/>
      <c r="H169" s="43"/>
      <c r="I169" s="46"/>
      <c r="J169" s="46"/>
      <c r="K169" s="46"/>
      <c r="L169" s="46"/>
      <c r="M169" s="46"/>
      <c r="N169" s="46"/>
      <c r="O169" s="46"/>
      <c r="P169" s="46"/>
      <c r="Q169" s="46"/>
      <c r="R169" s="46"/>
      <c r="S169" s="46"/>
      <c r="T169" s="46"/>
      <c r="U169" s="46"/>
      <c r="V169" s="46"/>
      <c r="W169" s="62"/>
      <c r="X169" s="67"/>
      <c r="Y169" s="68" t="str" cm="1">
        <f t="array" ref="Y169">CalculerNouvelleDate(I169,X169)</f>
        <v/>
      </c>
      <c r="Z169" s="68" t="str" cm="1">
        <f t="array" ref="Z169">CalculerNouvelleDate(J169,Y169)</f>
        <v/>
      </c>
      <c r="AA169" s="68" t="str" cm="1">
        <f t="array" ref="AA169">CalculerNouvelleDate(K169,Z169)</f>
        <v/>
      </c>
      <c r="AB169" s="68" t="str" cm="1">
        <f t="array" ref="AB169">CalculerNouvelleDate(L169,AA169)</f>
        <v/>
      </c>
      <c r="AC169" s="68" t="str" cm="1">
        <f t="array" ref="AC169">CalculerNouvelleDate(M169,AB169)</f>
        <v/>
      </c>
      <c r="AD169" s="68" t="str" cm="1">
        <f t="array" ref="AD169">CalculerNouvelleDate(N169,AC169)</f>
        <v/>
      </c>
      <c r="AE169" s="68" t="str" cm="1">
        <f t="array" ref="AE169">CalculerNouvelleDate(O169,AD169)</f>
        <v/>
      </c>
      <c r="AF169" s="68" t="str" cm="1">
        <f t="array" ref="AF169">CalculerNouvelleDate(P169,AE169)</f>
        <v/>
      </c>
      <c r="AG169" s="68" t="str" cm="1">
        <f t="array" ref="AG169">CalculerNouvelleDate(Q169,AF169)</f>
        <v/>
      </c>
      <c r="AH169" s="68" t="str" cm="1">
        <f t="array" ref="AH169">CalculerNouvelleDate(R169,AG169)</f>
        <v/>
      </c>
      <c r="AI169" s="68" t="str" cm="1">
        <f t="array" ref="AI169">CalculerNouvelleDate(S169,AH169)</f>
        <v/>
      </c>
      <c r="AJ169" s="68" t="str" cm="1">
        <f t="array" ref="AJ169">CalculerNouvelleDate(T169,AI169)</f>
        <v/>
      </c>
      <c r="AK169" s="68" t="str" cm="1">
        <f t="array" ref="AK169">CalculerNouvelleDate(U169,AJ169)</f>
        <v/>
      </c>
      <c r="AL169" s="68" t="str" cm="1">
        <f t="array" ref="AL169">CalculerNouvelleDate(V169,AK169)</f>
        <v/>
      </c>
      <c r="AM169" s="83" t="str" cm="1">
        <f t="array" ref="AM169">CorrespondanceDAte(X169:AL169,D170)</f>
        <v>0</v>
      </c>
      <c r="AN169" s="1"/>
      <c r="AO169" s="1"/>
      <c r="AP169" s="1"/>
      <c r="AQ169" s="1"/>
      <c r="AR169" s="1"/>
      <c r="AS169" s="1"/>
      <c r="AT169" s="1"/>
      <c r="AU169" s="1"/>
      <c r="AV169" s="1"/>
      <c r="AW169" s="1"/>
      <c r="AX169" s="1"/>
      <c r="AY169" s="1"/>
      <c r="AZ169" s="1"/>
      <c r="BA169" s="1"/>
    </row>
    <row r="170" spans="1:53" x14ac:dyDescent="0.3">
      <c r="A170" s="1"/>
      <c r="B170" s="11"/>
      <c r="C170" s="1" t="s">
        <v>551</v>
      </c>
      <c r="D170" s="1"/>
      <c r="E170" s="1"/>
      <c r="F170" s="1"/>
      <c r="G170" s="1"/>
      <c r="H170" s="43"/>
      <c r="I170" s="46"/>
      <c r="J170" s="46"/>
      <c r="K170" s="46"/>
      <c r="L170" s="46"/>
      <c r="M170" s="46"/>
      <c r="N170" s="46"/>
      <c r="O170" s="46"/>
      <c r="P170" s="46"/>
      <c r="Q170" s="46"/>
      <c r="R170" s="46"/>
      <c r="S170" s="46"/>
      <c r="T170" s="46"/>
      <c r="U170" s="46"/>
      <c r="V170" s="46"/>
      <c r="W170" s="62"/>
      <c r="X170" s="67"/>
      <c r="Y170" s="68" t="str" cm="1">
        <f t="array" ref="Y170">CalculerNouvelleDate(I170,X170)</f>
        <v/>
      </c>
      <c r="Z170" s="68" t="str" cm="1">
        <f t="array" ref="Z170">CalculerNouvelleDate(J170,Y170)</f>
        <v/>
      </c>
      <c r="AA170" s="68" t="str" cm="1">
        <f t="array" ref="AA170">CalculerNouvelleDate(K170,Z170)</f>
        <v/>
      </c>
      <c r="AB170" s="68" t="str" cm="1">
        <f t="array" ref="AB170">CalculerNouvelleDate(L170,AA170)</f>
        <v/>
      </c>
      <c r="AC170" s="68" t="str" cm="1">
        <f t="array" ref="AC170">CalculerNouvelleDate(M170,AB170)</f>
        <v/>
      </c>
      <c r="AD170" s="68" t="str" cm="1">
        <f t="array" ref="AD170">CalculerNouvelleDate(N170,AC170)</f>
        <v/>
      </c>
      <c r="AE170" s="68" t="str" cm="1">
        <f t="array" ref="AE170">CalculerNouvelleDate(O170,AD170)</f>
        <v/>
      </c>
      <c r="AF170" s="68" t="str" cm="1">
        <f t="array" ref="AF170">CalculerNouvelleDate(P170,AE170)</f>
        <v/>
      </c>
      <c r="AG170" s="68" t="str" cm="1">
        <f t="array" ref="AG170">CalculerNouvelleDate(Q170,AF170)</f>
        <v/>
      </c>
      <c r="AH170" s="68" t="str" cm="1">
        <f t="array" ref="AH170">CalculerNouvelleDate(R170,AG170)</f>
        <v/>
      </c>
      <c r="AI170" s="68" t="str" cm="1">
        <f t="array" ref="AI170">CalculerNouvelleDate(S170,AH170)</f>
        <v/>
      </c>
      <c r="AJ170" s="68" t="str" cm="1">
        <f t="array" ref="AJ170">CalculerNouvelleDate(T170,AI170)</f>
        <v/>
      </c>
      <c r="AK170" s="68" t="str" cm="1">
        <f t="array" ref="AK170">CalculerNouvelleDate(U170,AJ170)</f>
        <v/>
      </c>
      <c r="AL170" s="68" t="str" cm="1">
        <f t="array" ref="AL170">CalculerNouvelleDate(V170,AK170)</f>
        <v/>
      </c>
      <c r="AM170" s="83" t="str" cm="1">
        <f t="array" ref="AM170">CorrespondanceDAte(X170:AL170,D171)</f>
        <v>0</v>
      </c>
      <c r="AN170" s="1"/>
      <c r="AO170" s="1"/>
      <c r="AP170" s="1"/>
      <c r="AQ170" s="1"/>
      <c r="AR170" s="1"/>
      <c r="AS170" s="1"/>
      <c r="AT170" s="1"/>
      <c r="AU170" s="1"/>
      <c r="AV170" s="1"/>
      <c r="AW170" s="1"/>
      <c r="AX170" s="1"/>
      <c r="AY170" s="1"/>
      <c r="AZ170" s="1"/>
      <c r="BA170" s="1"/>
    </row>
    <row r="171" spans="1:53" x14ac:dyDescent="0.3">
      <c r="A171" s="1"/>
      <c r="B171" s="11"/>
      <c r="C171" s="1" t="s">
        <v>705</v>
      </c>
      <c r="D171" s="1"/>
      <c r="E171" s="1"/>
      <c r="F171" s="1"/>
      <c r="G171" s="1"/>
      <c r="H171" s="43"/>
      <c r="I171" s="46"/>
      <c r="J171" s="46"/>
      <c r="K171" s="46"/>
      <c r="L171" s="46"/>
      <c r="M171" s="46"/>
      <c r="N171" s="46"/>
      <c r="O171" s="46"/>
      <c r="P171" s="46"/>
      <c r="Q171" s="46"/>
      <c r="R171" s="46"/>
      <c r="S171" s="46"/>
      <c r="T171" s="46"/>
      <c r="U171" s="46"/>
      <c r="V171" s="46"/>
      <c r="W171" s="62"/>
      <c r="X171" s="67"/>
      <c r="Y171" s="68" t="str" cm="1">
        <f t="array" ref="Y171">CalculerNouvelleDate(I171,X171)</f>
        <v/>
      </c>
      <c r="Z171" s="68" t="str" cm="1">
        <f t="array" ref="Z171">CalculerNouvelleDate(J171,Y171)</f>
        <v/>
      </c>
      <c r="AA171" s="68" t="str" cm="1">
        <f t="array" ref="AA171">CalculerNouvelleDate(K171,Z171)</f>
        <v/>
      </c>
      <c r="AB171" s="68" t="str" cm="1">
        <f t="array" ref="AB171">CalculerNouvelleDate(L171,AA171)</f>
        <v/>
      </c>
      <c r="AC171" s="68" t="str" cm="1">
        <f t="array" ref="AC171">CalculerNouvelleDate(M171,AB171)</f>
        <v/>
      </c>
      <c r="AD171" s="68" t="str" cm="1">
        <f t="array" ref="AD171">CalculerNouvelleDate(N171,AC171)</f>
        <v/>
      </c>
      <c r="AE171" s="68" t="str" cm="1">
        <f t="array" ref="AE171">CalculerNouvelleDate(O171,AD171)</f>
        <v/>
      </c>
      <c r="AF171" s="68" t="str" cm="1">
        <f t="array" ref="AF171">CalculerNouvelleDate(P171,AE171)</f>
        <v/>
      </c>
      <c r="AG171" s="68" t="str" cm="1">
        <f t="array" ref="AG171">CalculerNouvelleDate(Q171,AF171)</f>
        <v/>
      </c>
      <c r="AH171" s="68" t="str" cm="1">
        <f t="array" ref="AH171">CalculerNouvelleDate(R171,AG171)</f>
        <v/>
      </c>
      <c r="AI171" s="68" t="str" cm="1">
        <f t="array" ref="AI171">CalculerNouvelleDate(S171,AH171)</f>
        <v/>
      </c>
      <c r="AJ171" s="68" t="str" cm="1">
        <f t="array" ref="AJ171">CalculerNouvelleDate(T171,AI171)</f>
        <v/>
      </c>
      <c r="AK171" s="68" t="str" cm="1">
        <f t="array" ref="AK171">CalculerNouvelleDate(U171,AJ171)</f>
        <v/>
      </c>
      <c r="AL171" s="68" t="str" cm="1">
        <f t="array" ref="AL171">CalculerNouvelleDate(V171,AK171)</f>
        <v/>
      </c>
      <c r="AM171" s="83" t="str" cm="1">
        <f t="array" ref="AM171">CorrespondanceDAte(X171:AL171,D172)</f>
        <v>0</v>
      </c>
      <c r="AN171" s="1"/>
      <c r="AO171" s="1"/>
      <c r="AP171" s="1"/>
      <c r="AQ171" s="1"/>
      <c r="AR171" s="1"/>
      <c r="AS171" s="1"/>
      <c r="AT171" s="1"/>
      <c r="AU171" s="1"/>
      <c r="AV171" s="1"/>
      <c r="AW171" s="1"/>
      <c r="AX171" s="1"/>
      <c r="AY171" s="1"/>
      <c r="AZ171" s="1"/>
      <c r="BA171" s="1"/>
    </row>
    <row r="172" spans="1:53" x14ac:dyDescent="0.3">
      <c r="A172" s="1"/>
      <c r="B172" s="11">
        <v>4</v>
      </c>
      <c r="C172" s="1" t="s">
        <v>48</v>
      </c>
      <c r="D172" s="1"/>
      <c r="E172" s="1"/>
      <c r="F172" s="1"/>
      <c r="G172" s="1"/>
      <c r="H172" s="43"/>
      <c r="I172" s="1"/>
      <c r="J172" s="1"/>
      <c r="K172" s="1"/>
      <c r="L172" s="1"/>
      <c r="M172" s="1"/>
      <c r="N172" s="1"/>
      <c r="O172" s="1"/>
      <c r="P172" s="1"/>
      <c r="Q172" s="1"/>
      <c r="R172" s="1"/>
      <c r="S172" s="1"/>
      <c r="T172" s="1"/>
      <c r="U172" s="1"/>
      <c r="V172" s="1"/>
      <c r="W172" s="11"/>
      <c r="X172" s="67"/>
      <c r="Y172" s="68" t="str" cm="1">
        <f t="array" ref="Y172">CalculerNouvelleDate(I172,X172)</f>
        <v/>
      </c>
      <c r="Z172" s="68" t="str" cm="1">
        <f t="array" ref="Z172">CalculerNouvelleDate(J172,Y172)</f>
        <v/>
      </c>
      <c r="AA172" s="68" t="str" cm="1">
        <f t="array" ref="AA172">CalculerNouvelleDate(K172,Z172)</f>
        <v/>
      </c>
      <c r="AB172" s="68" t="str" cm="1">
        <f t="array" ref="AB172">CalculerNouvelleDate(L172,AA172)</f>
        <v/>
      </c>
      <c r="AC172" s="68" t="str" cm="1">
        <f t="array" ref="AC172">CalculerNouvelleDate(M172,AB172)</f>
        <v/>
      </c>
      <c r="AD172" s="68" t="str" cm="1">
        <f t="array" ref="AD172">CalculerNouvelleDate(N172,AC172)</f>
        <v/>
      </c>
      <c r="AE172" s="68" t="str" cm="1">
        <f t="array" ref="AE172">CalculerNouvelleDate(O172,AD172)</f>
        <v/>
      </c>
      <c r="AF172" s="68" t="str" cm="1">
        <f t="array" ref="AF172">CalculerNouvelleDate(P172,AE172)</f>
        <v/>
      </c>
      <c r="AG172" s="68" t="str" cm="1">
        <f t="array" ref="AG172">CalculerNouvelleDate(Q172,AF172)</f>
        <v/>
      </c>
      <c r="AH172" s="68" t="str" cm="1">
        <f t="array" ref="AH172">CalculerNouvelleDate(R172,AG172)</f>
        <v/>
      </c>
      <c r="AI172" s="68" t="str" cm="1">
        <f t="array" ref="AI172">CalculerNouvelleDate(S172,AH172)</f>
        <v/>
      </c>
      <c r="AJ172" s="68" t="str" cm="1">
        <f t="array" ref="AJ172">CalculerNouvelleDate(T172,AI172)</f>
        <v/>
      </c>
      <c r="AK172" s="68" t="str" cm="1">
        <f t="array" ref="AK172">CalculerNouvelleDate(U172,AJ172)</f>
        <v/>
      </c>
      <c r="AL172" s="68" t="str" cm="1">
        <f t="array" ref="AL172">CalculerNouvelleDate(V172,AK172)</f>
        <v/>
      </c>
      <c r="AM172" s="83" t="str" cm="1">
        <f t="array" ref="AM172">CorrespondanceDAte(X172:AL172,D173)</f>
        <v>0</v>
      </c>
      <c r="AN172" s="1"/>
      <c r="AO172" s="1"/>
      <c r="AP172" s="1"/>
      <c r="AQ172" s="1"/>
      <c r="AR172" s="1"/>
      <c r="AS172" s="1"/>
      <c r="AT172" s="1"/>
      <c r="AU172" s="1"/>
      <c r="AV172" s="1"/>
      <c r="AW172" s="1"/>
      <c r="AX172" s="1"/>
      <c r="AY172" s="1"/>
      <c r="AZ172" s="1"/>
      <c r="BA172" s="1"/>
    </row>
    <row r="173" spans="1:53" x14ac:dyDescent="0.3">
      <c r="A173" s="1"/>
      <c r="B173" s="11"/>
      <c r="C173" s="69" t="s">
        <v>556</v>
      </c>
      <c r="D173" s="1"/>
      <c r="E173" s="1"/>
      <c r="F173" s="1"/>
      <c r="G173" s="1"/>
      <c r="H173" s="43"/>
      <c r="I173" s="46"/>
      <c r="J173" s="46"/>
      <c r="K173" s="46"/>
      <c r="L173" s="46"/>
      <c r="M173" s="46"/>
      <c r="N173" s="46"/>
      <c r="O173" s="46"/>
      <c r="P173" s="46"/>
      <c r="Q173" s="46"/>
      <c r="R173" s="46"/>
      <c r="S173" s="46"/>
      <c r="T173" s="46"/>
      <c r="U173" s="46"/>
      <c r="V173" s="46"/>
      <c r="W173" s="62"/>
      <c r="X173" s="67"/>
      <c r="Y173" s="68" t="str" cm="1">
        <f t="array" ref="Y173">CalculerNouvelleDate(I173,X173)</f>
        <v/>
      </c>
      <c r="Z173" s="68" t="str" cm="1">
        <f t="array" ref="Z173">CalculerNouvelleDate(J173,Y173)</f>
        <v/>
      </c>
      <c r="AA173" s="68" t="str" cm="1">
        <f t="array" ref="AA173">CalculerNouvelleDate(K173,Z173)</f>
        <v/>
      </c>
      <c r="AB173" s="68" t="str" cm="1">
        <f t="array" ref="AB173">CalculerNouvelleDate(L173,AA173)</f>
        <v/>
      </c>
      <c r="AC173" s="68" t="str" cm="1">
        <f t="array" ref="AC173">CalculerNouvelleDate(M173,AB173)</f>
        <v/>
      </c>
      <c r="AD173" s="68" t="str" cm="1">
        <f t="array" ref="AD173">CalculerNouvelleDate(N173,AC173)</f>
        <v/>
      </c>
      <c r="AE173" s="68" t="str" cm="1">
        <f t="array" ref="AE173">CalculerNouvelleDate(O173,AD173)</f>
        <v/>
      </c>
      <c r="AF173" s="68" t="str" cm="1">
        <f t="array" ref="AF173">CalculerNouvelleDate(P173,AE173)</f>
        <v/>
      </c>
      <c r="AG173" s="68" t="str" cm="1">
        <f t="array" ref="AG173">CalculerNouvelleDate(Q173,AF173)</f>
        <v/>
      </c>
      <c r="AH173" s="68" t="str" cm="1">
        <f t="array" ref="AH173">CalculerNouvelleDate(R173,AG173)</f>
        <v/>
      </c>
      <c r="AI173" s="68" t="str" cm="1">
        <f t="array" ref="AI173">CalculerNouvelleDate(S173,AH173)</f>
        <v/>
      </c>
      <c r="AJ173" s="68" t="str" cm="1">
        <f t="array" ref="AJ173">CalculerNouvelleDate(T173,AI173)</f>
        <v/>
      </c>
      <c r="AK173" s="68" t="str" cm="1">
        <f t="array" ref="AK173">CalculerNouvelleDate(U173,AJ173)</f>
        <v/>
      </c>
      <c r="AL173" s="68" t="str" cm="1">
        <f t="array" ref="AL173">CalculerNouvelleDate(V173,AK173)</f>
        <v/>
      </c>
      <c r="AM173" s="83" t="str" cm="1">
        <f t="array" ref="AM173">CorrespondanceDAte(X173:AL173,D174)</f>
        <v>0</v>
      </c>
      <c r="AN173" s="1"/>
      <c r="AO173" s="1"/>
      <c r="AP173" s="1"/>
      <c r="AQ173" s="1"/>
      <c r="AR173" s="1"/>
      <c r="AS173" s="1"/>
      <c r="AT173" s="1"/>
      <c r="AU173" s="1"/>
      <c r="AV173" s="1"/>
      <c r="AW173" s="1"/>
      <c r="AX173" s="1"/>
      <c r="AY173" s="1"/>
      <c r="AZ173" s="1"/>
      <c r="BA173" s="1"/>
    </row>
    <row r="174" spans="1:53" x14ac:dyDescent="0.3">
      <c r="A174" s="1"/>
      <c r="B174" s="11"/>
      <c r="C174" s="69" t="s">
        <v>537</v>
      </c>
      <c r="D174" s="1"/>
      <c r="E174" s="1"/>
      <c r="F174" s="1"/>
      <c r="G174" s="1"/>
      <c r="H174" s="43"/>
      <c r="I174" s="46"/>
      <c r="J174" s="46"/>
      <c r="K174" s="46"/>
      <c r="L174" s="46"/>
      <c r="M174" s="46"/>
      <c r="N174" s="46"/>
      <c r="O174" s="46"/>
      <c r="P174" s="46"/>
      <c r="Q174" s="46"/>
      <c r="R174" s="46"/>
      <c r="S174" s="46"/>
      <c r="T174" s="46"/>
      <c r="U174" s="46"/>
      <c r="V174" s="46"/>
      <c r="W174" s="62"/>
      <c r="X174" s="67"/>
      <c r="Y174" s="68" t="str" cm="1">
        <f t="array" ref="Y174">CalculerNouvelleDate(I174,X174)</f>
        <v/>
      </c>
      <c r="Z174" s="68" t="str" cm="1">
        <f t="array" ref="Z174">CalculerNouvelleDate(J174,Y174)</f>
        <v/>
      </c>
      <c r="AA174" s="68" t="str" cm="1">
        <f t="array" ref="AA174">CalculerNouvelleDate(K174,Z174)</f>
        <v/>
      </c>
      <c r="AB174" s="68" t="str" cm="1">
        <f t="array" ref="AB174">CalculerNouvelleDate(L174,AA174)</f>
        <v/>
      </c>
      <c r="AC174" s="68" t="str" cm="1">
        <f t="array" ref="AC174">CalculerNouvelleDate(M174,AB174)</f>
        <v/>
      </c>
      <c r="AD174" s="68" t="str" cm="1">
        <f t="array" ref="AD174">CalculerNouvelleDate(N174,AC174)</f>
        <v/>
      </c>
      <c r="AE174" s="68" t="str" cm="1">
        <f t="array" ref="AE174">CalculerNouvelleDate(O174,AD174)</f>
        <v/>
      </c>
      <c r="AF174" s="68" t="str" cm="1">
        <f t="array" ref="AF174">CalculerNouvelleDate(P174,AE174)</f>
        <v/>
      </c>
      <c r="AG174" s="68" t="str" cm="1">
        <f t="array" ref="AG174">CalculerNouvelleDate(Q174,AF174)</f>
        <v/>
      </c>
      <c r="AH174" s="68" t="str" cm="1">
        <f t="array" ref="AH174">CalculerNouvelleDate(R174,AG174)</f>
        <v/>
      </c>
      <c r="AI174" s="68" t="str" cm="1">
        <f t="array" ref="AI174">CalculerNouvelleDate(S174,AH174)</f>
        <v/>
      </c>
      <c r="AJ174" s="68" t="str" cm="1">
        <f t="array" ref="AJ174">CalculerNouvelleDate(T174,AI174)</f>
        <v/>
      </c>
      <c r="AK174" s="68" t="str" cm="1">
        <f t="array" ref="AK174">CalculerNouvelleDate(U174,AJ174)</f>
        <v/>
      </c>
      <c r="AL174" s="68" t="str" cm="1">
        <f t="array" ref="AL174">CalculerNouvelleDate(V174,AK174)</f>
        <v/>
      </c>
      <c r="AM174" s="83" t="str" cm="1">
        <f t="array" ref="AM174">CorrespondanceDAte(X174:AL174,D175)</f>
        <v>0</v>
      </c>
      <c r="AN174" s="1"/>
      <c r="AO174" s="1"/>
      <c r="AP174" s="1"/>
      <c r="AQ174" s="1"/>
      <c r="AR174" s="1"/>
      <c r="AS174" s="1"/>
      <c r="AT174" s="1"/>
      <c r="AU174" s="1"/>
      <c r="AV174" s="1"/>
      <c r="AW174" s="1"/>
      <c r="AX174" s="1"/>
      <c r="AY174" s="1"/>
      <c r="AZ174" s="1"/>
      <c r="BA174" s="1"/>
    </row>
    <row r="175" spans="1:53" x14ac:dyDescent="0.3">
      <c r="A175" s="1"/>
      <c r="B175" s="11"/>
      <c r="C175" s="69" t="s">
        <v>557</v>
      </c>
      <c r="D175" s="1"/>
      <c r="E175" s="1"/>
      <c r="F175" s="1"/>
      <c r="G175" s="1"/>
      <c r="H175" s="43"/>
      <c r="I175" s="46"/>
      <c r="J175" s="46"/>
      <c r="K175" s="46"/>
      <c r="L175" s="46"/>
      <c r="M175" s="46"/>
      <c r="N175" s="46"/>
      <c r="O175" s="46"/>
      <c r="P175" s="46"/>
      <c r="Q175" s="46"/>
      <c r="R175" s="46"/>
      <c r="S175" s="46"/>
      <c r="T175" s="46"/>
      <c r="U175" s="46"/>
      <c r="V175" s="46"/>
      <c r="W175" s="62"/>
      <c r="X175" s="67"/>
      <c r="Y175" s="68" t="str" cm="1">
        <f t="array" ref="Y175">CalculerNouvelleDate(I175,X175)</f>
        <v/>
      </c>
      <c r="Z175" s="68" t="str" cm="1">
        <f t="array" ref="Z175">CalculerNouvelleDate(J175,Y175)</f>
        <v/>
      </c>
      <c r="AA175" s="68" t="str" cm="1">
        <f t="array" ref="AA175">CalculerNouvelleDate(K175,Z175)</f>
        <v/>
      </c>
      <c r="AB175" s="68" t="str" cm="1">
        <f t="array" ref="AB175">CalculerNouvelleDate(L175,AA175)</f>
        <v/>
      </c>
      <c r="AC175" s="68" t="str" cm="1">
        <f t="array" ref="AC175">CalculerNouvelleDate(M175,AB175)</f>
        <v/>
      </c>
      <c r="AD175" s="68" t="str" cm="1">
        <f t="array" ref="AD175">CalculerNouvelleDate(N175,AC175)</f>
        <v/>
      </c>
      <c r="AE175" s="68" t="str" cm="1">
        <f t="array" ref="AE175">CalculerNouvelleDate(O175,AD175)</f>
        <v/>
      </c>
      <c r="AF175" s="68" t="str" cm="1">
        <f t="array" ref="AF175">CalculerNouvelleDate(P175,AE175)</f>
        <v/>
      </c>
      <c r="AG175" s="68" t="str" cm="1">
        <f t="array" ref="AG175">CalculerNouvelleDate(Q175,AF175)</f>
        <v/>
      </c>
      <c r="AH175" s="68" t="str" cm="1">
        <f t="array" ref="AH175">CalculerNouvelleDate(R175,AG175)</f>
        <v/>
      </c>
      <c r="AI175" s="68" t="str" cm="1">
        <f t="array" ref="AI175">CalculerNouvelleDate(S175,AH175)</f>
        <v/>
      </c>
      <c r="AJ175" s="68" t="str" cm="1">
        <f t="array" ref="AJ175">CalculerNouvelleDate(T175,AI175)</f>
        <v/>
      </c>
      <c r="AK175" s="68" t="str" cm="1">
        <f t="array" ref="AK175">CalculerNouvelleDate(U175,AJ175)</f>
        <v/>
      </c>
      <c r="AL175" s="68" t="str" cm="1">
        <f t="array" ref="AL175">CalculerNouvelleDate(V175,AK175)</f>
        <v/>
      </c>
      <c r="AM175" s="83" t="str" cm="1">
        <f t="array" ref="AM175">CorrespondanceDAte(X175:AL175,D176)</f>
        <v>0</v>
      </c>
      <c r="AN175" s="1"/>
      <c r="AO175" s="1"/>
      <c r="AP175" s="1"/>
      <c r="AQ175" s="1"/>
      <c r="AR175" s="1"/>
      <c r="AS175" s="1"/>
      <c r="AT175" s="1"/>
      <c r="AU175" s="1"/>
      <c r="AV175" s="1"/>
      <c r="AW175" s="1"/>
      <c r="AX175" s="1"/>
      <c r="AY175" s="1"/>
      <c r="AZ175" s="1"/>
      <c r="BA175" s="1"/>
    </row>
    <row r="176" spans="1:53" x14ac:dyDescent="0.3">
      <c r="A176" s="1"/>
      <c r="B176" s="11"/>
      <c r="C176" s="69" t="s">
        <v>608</v>
      </c>
      <c r="D176" s="1"/>
      <c r="E176" s="1"/>
      <c r="F176" s="1"/>
      <c r="G176" s="1"/>
      <c r="H176" s="43"/>
      <c r="I176" s="46"/>
      <c r="J176" s="46"/>
      <c r="K176" s="46"/>
      <c r="L176" s="46"/>
      <c r="M176" s="46"/>
      <c r="N176" s="46"/>
      <c r="O176" s="46"/>
      <c r="P176" s="46"/>
      <c r="Q176" s="46"/>
      <c r="R176" s="46"/>
      <c r="S176" s="46"/>
      <c r="T176" s="46"/>
      <c r="U176" s="46"/>
      <c r="V176" s="46"/>
      <c r="W176" s="62"/>
      <c r="X176" s="67"/>
      <c r="Y176" s="68" t="str" cm="1">
        <f t="array" ref="Y176">CalculerNouvelleDate(I176,X176)</f>
        <v/>
      </c>
      <c r="Z176" s="68" t="str" cm="1">
        <f t="array" ref="Z176">CalculerNouvelleDate(J176,Y176)</f>
        <v/>
      </c>
      <c r="AA176" s="68" t="str" cm="1">
        <f t="array" ref="AA176">CalculerNouvelleDate(K176,Z176)</f>
        <v/>
      </c>
      <c r="AB176" s="68" t="str" cm="1">
        <f t="array" ref="AB176">CalculerNouvelleDate(L176,AA176)</f>
        <v/>
      </c>
      <c r="AC176" s="68" t="str" cm="1">
        <f t="array" ref="AC176">CalculerNouvelleDate(M176,AB176)</f>
        <v/>
      </c>
      <c r="AD176" s="68" t="str" cm="1">
        <f t="array" ref="AD176">CalculerNouvelleDate(N176,AC176)</f>
        <v/>
      </c>
      <c r="AE176" s="68" t="str" cm="1">
        <f t="array" ref="AE176">CalculerNouvelleDate(O176,AD176)</f>
        <v/>
      </c>
      <c r="AF176" s="68" t="str" cm="1">
        <f t="array" ref="AF176">CalculerNouvelleDate(P176,AE176)</f>
        <v/>
      </c>
      <c r="AG176" s="68" t="str" cm="1">
        <f t="array" ref="AG176">CalculerNouvelleDate(Q176,AF176)</f>
        <v/>
      </c>
      <c r="AH176" s="68" t="str" cm="1">
        <f t="array" ref="AH176">CalculerNouvelleDate(R176,AG176)</f>
        <v/>
      </c>
      <c r="AI176" s="68" t="str" cm="1">
        <f t="array" ref="AI176">CalculerNouvelleDate(S176,AH176)</f>
        <v/>
      </c>
      <c r="AJ176" s="68" t="str" cm="1">
        <f t="array" ref="AJ176">CalculerNouvelleDate(T176,AI176)</f>
        <v/>
      </c>
      <c r="AK176" s="68" t="str" cm="1">
        <f t="array" ref="AK176">CalculerNouvelleDate(U176,AJ176)</f>
        <v/>
      </c>
      <c r="AL176" s="68" t="str" cm="1">
        <f t="array" ref="AL176">CalculerNouvelleDate(V176,AK176)</f>
        <v/>
      </c>
      <c r="AM176" s="83" t="str" cm="1">
        <f t="array" ref="AM176">CorrespondanceDAte(X176:AL176,D177)</f>
        <v>0</v>
      </c>
      <c r="AN176" s="1"/>
      <c r="AO176" s="1"/>
      <c r="AP176" s="1"/>
      <c r="AQ176" s="1"/>
      <c r="AR176" s="1"/>
      <c r="AS176" s="1"/>
      <c r="AT176" s="1"/>
      <c r="AU176" s="1"/>
      <c r="AV176" s="1"/>
      <c r="AW176" s="1"/>
      <c r="AX176" s="1"/>
      <c r="AY176" s="1"/>
      <c r="AZ176" s="1"/>
      <c r="BA176" s="1"/>
    </row>
    <row r="177" spans="1:53" x14ac:dyDescent="0.3">
      <c r="A177" s="1"/>
      <c r="B177" s="11"/>
      <c r="C177" s="69" t="s">
        <v>707</v>
      </c>
      <c r="D177" s="1"/>
      <c r="E177" s="1"/>
      <c r="F177" s="1"/>
      <c r="G177" s="1"/>
      <c r="H177" s="43"/>
      <c r="I177" s="46"/>
      <c r="J177" s="46"/>
      <c r="K177" s="46"/>
      <c r="L177" s="46"/>
      <c r="M177" s="46"/>
      <c r="N177" s="46"/>
      <c r="O177" s="46"/>
      <c r="P177" s="46"/>
      <c r="Q177" s="46"/>
      <c r="R177" s="46"/>
      <c r="S177" s="46"/>
      <c r="T177" s="46"/>
      <c r="U177" s="46"/>
      <c r="V177" s="46"/>
      <c r="W177" s="62"/>
      <c r="X177" s="67"/>
      <c r="Y177" s="68" t="str" cm="1">
        <f t="array" ref="Y177">CalculerNouvelleDate(I177,X177)</f>
        <v/>
      </c>
      <c r="Z177" s="68" t="str" cm="1">
        <f t="array" ref="Z177">CalculerNouvelleDate(J177,Y177)</f>
        <v/>
      </c>
      <c r="AA177" s="68" t="str" cm="1">
        <f t="array" ref="AA177">CalculerNouvelleDate(K177,Z177)</f>
        <v/>
      </c>
      <c r="AB177" s="68" t="str" cm="1">
        <f t="array" ref="AB177">CalculerNouvelleDate(L177,AA177)</f>
        <v/>
      </c>
      <c r="AC177" s="68" t="str" cm="1">
        <f t="array" ref="AC177">CalculerNouvelleDate(M177,AB177)</f>
        <v/>
      </c>
      <c r="AD177" s="68" t="str" cm="1">
        <f t="array" ref="AD177">CalculerNouvelleDate(N177,AC177)</f>
        <v/>
      </c>
      <c r="AE177" s="68" t="str" cm="1">
        <f t="array" ref="AE177">CalculerNouvelleDate(O177,AD177)</f>
        <v/>
      </c>
      <c r="AF177" s="68" t="str" cm="1">
        <f t="array" ref="AF177">CalculerNouvelleDate(P177,AE177)</f>
        <v/>
      </c>
      <c r="AG177" s="68" t="str" cm="1">
        <f t="array" ref="AG177">CalculerNouvelleDate(Q177,AF177)</f>
        <v/>
      </c>
      <c r="AH177" s="68" t="str" cm="1">
        <f t="array" ref="AH177">CalculerNouvelleDate(R177,AG177)</f>
        <v/>
      </c>
      <c r="AI177" s="68" t="str" cm="1">
        <f t="array" ref="AI177">CalculerNouvelleDate(S177,AH177)</f>
        <v/>
      </c>
      <c r="AJ177" s="68" t="str" cm="1">
        <f t="array" ref="AJ177">CalculerNouvelleDate(T177,AI177)</f>
        <v/>
      </c>
      <c r="AK177" s="68" t="str" cm="1">
        <f t="array" ref="AK177">CalculerNouvelleDate(U177,AJ177)</f>
        <v/>
      </c>
      <c r="AL177" s="68" t="str" cm="1">
        <f t="array" ref="AL177">CalculerNouvelleDate(V177,AK177)</f>
        <v/>
      </c>
      <c r="AM177" s="83" t="str" cm="1">
        <f t="array" ref="AM177">CorrespondanceDAte(X177:AL177,D178)</f>
        <v>0</v>
      </c>
      <c r="AN177" s="1"/>
      <c r="AO177" s="1"/>
      <c r="AP177" s="1"/>
      <c r="AQ177" s="1"/>
      <c r="AR177" s="1"/>
      <c r="AS177" s="1"/>
      <c r="AT177" s="1"/>
      <c r="AU177" s="1"/>
      <c r="AV177" s="1"/>
      <c r="AW177" s="1"/>
      <c r="AX177" s="1"/>
      <c r="AY177" s="1"/>
      <c r="AZ177" s="1"/>
      <c r="BA177" s="1"/>
    </row>
    <row r="178" spans="1:53" x14ac:dyDescent="0.3">
      <c r="A178" s="1"/>
      <c r="B178" s="11"/>
      <c r="C178" s="69" t="s">
        <v>708</v>
      </c>
      <c r="D178" s="1"/>
      <c r="E178" s="1"/>
      <c r="F178" s="1"/>
      <c r="G178" s="1"/>
      <c r="H178" s="43"/>
      <c r="I178" s="46"/>
      <c r="J178" s="46"/>
      <c r="K178" s="46"/>
      <c r="L178" s="46"/>
      <c r="M178" s="46"/>
      <c r="N178" s="46"/>
      <c r="O178" s="46"/>
      <c r="P178" s="46"/>
      <c r="Q178" s="46"/>
      <c r="R178" s="46"/>
      <c r="S178" s="46"/>
      <c r="T178" s="46"/>
      <c r="U178" s="46"/>
      <c r="V178" s="46"/>
      <c r="W178" s="62"/>
      <c r="X178" s="67"/>
      <c r="Y178" s="68" t="str" cm="1">
        <f t="array" ref="Y178">CalculerNouvelleDate(I178,X178)</f>
        <v/>
      </c>
      <c r="Z178" s="68" t="str" cm="1">
        <f t="array" ref="Z178">CalculerNouvelleDate(J178,Y178)</f>
        <v/>
      </c>
      <c r="AA178" s="68" t="str" cm="1">
        <f t="array" ref="AA178">CalculerNouvelleDate(K178,Z178)</f>
        <v/>
      </c>
      <c r="AB178" s="68" t="str" cm="1">
        <f t="array" ref="AB178">CalculerNouvelleDate(L178,AA178)</f>
        <v/>
      </c>
      <c r="AC178" s="68" t="str" cm="1">
        <f t="array" ref="AC178">CalculerNouvelleDate(M178,AB178)</f>
        <v/>
      </c>
      <c r="AD178" s="68" t="str" cm="1">
        <f t="array" ref="AD178">CalculerNouvelleDate(N178,AC178)</f>
        <v/>
      </c>
      <c r="AE178" s="68" t="str" cm="1">
        <f t="array" ref="AE178">CalculerNouvelleDate(O178,AD178)</f>
        <v/>
      </c>
      <c r="AF178" s="68" t="str" cm="1">
        <f t="array" ref="AF178">CalculerNouvelleDate(P178,AE178)</f>
        <v/>
      </c>
      <c r="AG178" s="68" t="str" cm="1">
        <f t="array" ref="AG178">CalculerNouvelleDate(Q178,AF178)</f>
        <v/>
      </c>
      <c r="AH178" s="68" t="str" cm="1">
        <f t="array" ref="AH178">CalculerNouvelleDate(R178,AG178)</f>
        <v/>
      </c>
      <c r="AI178" s="68" t="str" cm="1">
        <f t="array" ref="AI178">CalculerNouvelleDate(S178,AH178)</f>
        <v/>
      </c>
      <c r="AJ178" s="68" t="str" cm="1">
        <f t="array" ref="AJ178">CalculerNouvelleDate(T178,AI178)</f>
        <v/>
      </c>
      <c r="AK178" s="68" t="str" cm="1">
        <f t="array" ref="AK178">CalculerNouvelleDate(U178,AJ178)</f>
        <v/>
      </c>
      <c r="AL178" s="68" t="str" cm="1">
        <f t="array" ref="AL178">CalculerNouvelleDate(V178,AK178)</f>
        <v/>
      </c>
      <c r="AM178" s="83" t="str" cm="1">
        <f t="array" ref="AM178">CorrespondanceDAte(X178:AL178,D179)</f>
        <v>0</v>
      </c>
      <c r="AN178" s="1"/>
      <c r="AO178" s="1"/>
      <c r="AP178" s="1"/>
      <c r="AQ178" s="1"/>
      <c r="AR178" s="1"/>
      <c r="AS178" s="1"/>
      <c r="AT178" s="1"/>
      <c r="AU178" s="1"/>
      <c r="AV178" s="1"/>
      <c r="AW178" s="1"/>
      <c r="AX178" s="1"/>
      <c r="AY178" s="1"/>
      <c r="AZ178" s="1"/>
      <c r="BA178" s="1"/>
    </row>
    <row r="179" spans="1:53" x14ac:dyDescent="0.3">
      <c r="A179" s="1"/>
      <c r="B179" s="11"/>
      <c r="C179" s="1" t="s">
        <v>706</v>
      </c>
      <c r="D179" s="1"/>
      <c r="E179" s="1"/>
      <c r="F179" s="1"/>
      <c r="G179" s="1"/>
      <c r="H179" s="43"/>
      <c r="I179" s="46"/>
      <c r="J179" s="46"/>
      <c r="K179" s="46"/>
      <c r="L179" s="46"/>
      <c r="M179" s="46"/>
      <c r="N179" s="46"/>
      <c r="O179" s="46"/>
      <c r="P179" s="46"/>
      <c r="Q179" s="46"/>
      <c r="R179" s="46"/>
      <c r="S179" s="46"/>
      <c r="T179" s="46"/>
      <c r="U179" s="46"/>
      <c r="V179" s="46"/>
      <c r="W179" s="62"/>
      <c r="X179" s="67"/>
      <c r="Y179" s="68" t="str" cm="1">
        <f t="array" ref="Y179">CalculerNouvelleDate(I179,X179)</f>
        <v/>
      </c>
      <c r="Z179" s="68" t="str" cm="1">
        <f t="array" ref="Z179">CalculerNouvelleDate(J179,Y179)</f>
        <v/>
      </c>
      <c r="AA179" s="68" t="str" cm="1">
        <f t="array" ref="AA179">CalculerNouvelleDate(K179,Z179)</f>
        <v/>
      </c>
      <c r="AB179" s="68" t="str" cm="1">
        <f t="array" ref="AB179">CalculerNouvelleDate(L179,AA179)</f>
        <v/>
      </c>
      <c r="AC179" s="68" t="str" cm="1">
        <f t="array" ref="AC179">CalculerNouvelleDate(M179,AB179)</f>
        <v/>
      </c>
      <c r="AD179" s="68" t="str" cm="1">
        <f t="array" ref="AD179">CalculerNouvelleDate(N179,AC179)</f>
        <v/>
      </c>
      <c r="AE179" s="68" t="str" cm="1">
        <f t="array" ref="AE179">CalculerNouvelleDate(O179,AD179)</f>
        <v/>
      </c>
      <c r="AF179" s="68" t="str" cm="1">
        <f t="array" ref="AF179">CalculerNouvelleDate(P179,AE179)</f>
        <v/>
      </c>
      <c r="AG179" s="68" t="str" cm="1">
        <f t="array" ref="AG179">CalculerNouvelleDate(Q179,AF179)</f>
        <v/>
      </c>
      <c r="AH179" s="68" t="str" cm="1">
        <f t="array" ref="AH179">CalculerNouvelleDate(R179,AG179)</f>
        <v/>
      </c>
      <c r="AI179" s="68" t="str" cm="1">
        <f t="array" ref="AI179">CalculerNouvelleDate(S179,AH179)</f>
        <v/>
      </c>
      <c r="AJ179" s="68" t="str" cm="1">
        <f t="array" ref="AJ179">CalculerNouvelleDate(T179,AI179)</f>
        <v/>
      </c>
      <c r="AK179" s="68" t="str" cm="1">
        <f t="array" ref="AK179">CalculerNouvelleDate(U179,AJ179)</f>
        <v/>
      </c>
      <c r="AL179" s="68" t="str" cm="1">
        <f t="array" ref="AL179">CalculerNouvelleDate(V179,AK179)</f>
        <v/>
      </c>
      <c r="AM179" s="83" t="str" cm="1">
        <f t="array" ref="AM179">CorrespondanceDAte(X179:AL179,D180)</f>
        <v>0</v>
      </c>
      <c r="AN179" s="1"/>
      <c r="AO179" s="1"/>
      <c r="AP179" s="1"/>
      <c r="AQ179" s="1"/>
      <c r="AR179" s="1"/>
      <c r="AS179" s="1"/>
      <c r="AT179" s="1"/>
      <c r="AU179" s="1"/>
      <c r="AV179" s="1"/>
      <c r="AW179" s="1"/>
      <c r="AX179" s="1"/>
      <c r="AY179" s="1"/>
      <c r="AZ179" s="1"/>
      <c r="BA179" s="1"/>
    </row>
    <row r="180" spans="1:53" x14ac:dyDescent="0.3">
      <c r="A180" s="1"/>
      <c r="B180" s="11">
        <v>5</v>
      </c>
      <c r="C180" s="1" t="s">
        <v>49</v>
      </c>
      <c r="D180" s="1"/>
      <c r="E180" s="1"/>
      <c r="F180" s="1"/>
      <c r="G180" s="1"/>
      <c r="H180" s="43"/>
      <c r="I180" s="1"/>
      <c r="J180" s="1"/>
      <c r="K180" s="1"/>
      <c r="L180" s="1"/>
      <c r="M180" s="1"/>
      <c r="N180" s="1"/>
      <c r="O180" s="1"/>
      <c r="P180" s="1"/>
      <c r="Q180" s="1"/>
      <c r="R180" s="1"/>
      <c r="S180" s="1"/>
      <c r="T180" s="1"/>
      <c r="U180" s="1"/>
      <c r="V180" s="1"/>
      <c r="W180" s="11"/>
      <c r="X180" s="67"/>
      <c r="Y180" s="68" t="str" cm="1">
        <f t="array" ref="Y180">CalculerNouvelleDate(I180,X180)</f>
        <v/>
      </c>
      <c r="Z180" s="68" t="str" cm="1">
        <f t="array" ref="Z180">CalculerNouvelleDate(J180,Y180)</f>
        <v/>
      </c>
      <c r="AA180" s="68" t="str" cm="1">
        <f t="array" ref="AA180">CalculerNouvelleDate(K180,Z180)</f>
        <v/>
      </c>
      <c r="AB180" s="68" t="str" cm="1">
        <f t="array" ref="AB180">CalculerNouvelleDate(L180,AA180)</f>
        <v/>
      </c>
      <c r="AC180" s="68" t="str" cm="1">
        <f t="array" ref="AC180">CalculerNouvelleDate(M180,AB180)</f>
        <v/>
      </c>
      <c r="AD180" s="68" t="str" cm="1">
        <f t="array" ref="AD180">CalculerNouvelleDate(N180,AC180)</f>
        <v/>
      </c>
      <c r="AE180" s="68" t="str" cm="1">
        <f t="array" ref="AE180">CalculerNouvelleDate(O180,AD180)</f>
        <v/>
      </c>
      <c r="AF180" s="68" t="str" cm="1">
        <f t="array" ref="AF180">CalculerNouvelleDate(P180,AE180)</f>
        <v/>
      </c>
      <c r="AG180" s="68" t="str" cm="1">
        <f t="array" ref="AG180">CalculerNouvelleDate(Q180,AF180)</f>
        <v/>
      </c>
      <c r="AH180" s="68" t="str" cm="1">
        <f t="array" ref="AH180">CalculerNouvelleDate(R180,AG180)</f>
        <v/>
      </c>
      <c r="AI180" s="68" t="str" cm="1">
        <f t="array" ref="AI180">CalculerNouvelleDate(S180,AH180)</f>
        <v/>
      </c>
      <c r="AJ180" s="68" t="str" cm="1">
        <f t="array" ref="AJ180">CalculerNouvelleDate(T180,AI180)</f>
        <v/>
      </c>
      <c r="AK180" s="68" t="str" cm="1">
        <f t="array" ref="AK180">CalculerNouvelleDate(U180,AJ180)</f>
        <v/>
      </c>
      <c r="AL180" s="68" t="str" cm="1">
        <f t="array" ref="AL180">CalculerNouvelleDate(V180,AK180)</f>
        <v/>
      </c>
      <c r="AM180" s="83" t="str" cm="1">
        <f t="array" ref="AM180">CorrespondanceDAte(X180:AL180,D181)</f>
        <v>0</v>
      </c>
      <c r="AN180" s="1"/>
      <c r="AO180" s="1"/>
      <c r="AP180" s="1"/>
      <c r="AQ180" s="1"/>
      <c r="AR180" s="1"/>
      <c r="AS180" s="1"/>
      <c r="AT180" s="1"/>
      <c r="AU180" s="1"/>
      <c r="AV180" s="1"/>
      <c r="AW180" s="1"/>
      <c r="AX180" s="1"/>
      <c r="AY180" s="1"/>
      <c r="AZ180" s="1"/>
      <c r="BA180" s="1"/>
    </row>
    <row r="181" spans="1:53" x14ac:dyDescent="0.3">
      <c r="A181" s="1"/>
      <c r="B181" s="11"/>
      <c r="C181" s="1" t="s">
        <v>560</v>
      </c>
      <c r="D181" s="1"/>
      <c r="E181" s="1"/>
      <c r="F181" s="1"/>
      <c r="G181" s="1"/>
      <c r="H181" s="43"/>
      <c r="I181" s="46"/>
      <c r="J181" s="46"/>
      <c r="K181" s="46"/>
      <c r="L181" s="46"/>
      <c r="M181" s="46"/>
      <c r="N181" s="46"/>
      <c r="O181" s="46"/>
      <c r="P181" s="46"/>
      <c r="Q181" s="46"/>
      <c r="R181" s="46"/>
      <c r="S181" s="46"/>
      <c r="T181" s="46"/>
      <c r="U181" s="46"/>
      <c r="V181" s="46"/>
      <c r="W181" s="62"/>
      <c r="X181" s="67"/>
      <c r="Y181" s="68" t="str" cm="1">
        <f t="array" ref="Y181">CalculerNouvelleDate(I181,X181)</f>
        <v/>
      </c>
      <c r="Z181" s="68" t="str" cm="1">
        <f t="array" ref="Z181">CalculerNouvelleDate(J181,Y181)</f>
        <v/>
      </c>
      <c r="AA181" s="68" t="str" cm="1">
        <f t="array" ref="AA181">CalculerNouvelleDate(K181,Z181)</f>
        <v/>
      </c>
      <c r="AB181" s="68" t="str" cm="1">
        <f t="array" ref="AB181">CalculerNouvelleDate(L181,AA181)</f>
        <v/>
      </c>
      <c r="AC181" s="68" t="str" cm="1">
        <f t="array" ref="AC181">CalculerNouvelleDate(M181,AB181)</f>
        <v/>
      </c>
      <c r="AD181" s="68" t="str" cm="1">
        <f t="array" ref="AD181">CalculerNouvelleDate(N181,AC181)</f>
        <v/>
      </c>
      <c r="AE181" s="68" t="str" cm="1">
        <f t="array" ref="AE181">CalculerNouvelleDate(O181,AD181)</f>
        <v/>
      </c>
      <c r="AF181" s="68" t="str" cm="1">
        <f t="array" ref="AF181">CalculerNouvelleDate(P181,AE181)</f>
        <v/>
      </c>
      <c r="AG181" s="68" t="str" cm="1">
        <f t="array" ref="AG181">CalculerNouvelleDate(Q181,AF181)</f>
        <v/>
      </c>
      <c r="AH181" s="68" t="str" cm="1">
        <f t="array" ref="AH181">CalculerNouvelleDate(R181,AG181)</f>
        <v/>
      </c>
      <c r="AI181" s="68" t="str" cm="1">
        <f t="array" ref="AI181">CalculerNouvelleDate(S181,AH181)</f>
        <v/>
      </c>
      <c r="AJ181" s="68" t="str" cm="1">
        <f t="array" ref="AJ181">CalculerNouvelleDate(T181,AI181)</f>
        <v/>
      </c>
      <c r="AK181" s="68" t="str" cm="1">
        <f t="array" ref="AK181">CalculerNouvelleDate(U181,AJ181)</f>
        <v/>
      </c>
      <c r="AL181" s="68" t="str" cm="1">
        <f t="array" ref="AL181">CalculerNouvelleDate(V181,AK181)</f>
        <v/>
      </c>
      <c r="AM181" s="83" t="str" cm="1">
        <f t="array" ref="AM181">CorrespondanceDAte(X181:AL181,D182)</f>
        <v>0</v>
      </c>
      <c r="AN181" s="1"/>
      <c r="AO181" s="1"/>
      <c r="AP181" s="1"/>
      <c r="AQ181" s="1"/>
      <c r="AR181" s="1"/>
      <c r="AS181" s="1"/>
      <c r="AT181" s="1"/>
      <c r="AU181" s="1"/>
      <c r="AV181" s="1"/>
      <c r="AW181" s="1"/>
      <c r="AX181" s="1"/>
      <c r="AY181" s="1"/>
      <c r="AZ181" s="1"/>
      <c r="BA181" s="1"/>
    </row>
    <row r="182" spans="1:53" x14ac:dyDescent="0.3">
      <c r="A182" s="1"/>
      <c r="B182" s="11"/>
      <c r="C182" s="1" t="s">
        <v>561</v>
      </c>
      <c r="D182" s="1"/>
      <c r="E182" s="1"/>
      <c r="F182" s="1"/>
      <c r="G182" s="1"/>
      <c r="H182" s="43"/>
      <c r="I182" s="46"/>
      <c r="J182" s="46"/>
      <c r="K182" s="46"/>
      <c r="L182" s="46"/>
      <c r="M182" s="46"/>
      <c r="N182" s="46"/>
      <c r="O182" s="46"/>
      <c r="P182" s="46"/>
      <c r="Q182" s="46"/>
      <c r="R182" s="46"/>
      <c r="S182" s="46"/>
      <c r="T182" s="46"/>
      <c r="U182" s="46"/>
      <c r="V182" s="46"/>
      <c r="W182" s="62"/>
      <c r="X182" s="67"/>
      <c r="Y182" s="68" t="str" cm="1">
        <f t="array" ref="Y182">CalculerNouvelleDate(I182,X182)</f>
        <v/>
      </c>
      <c r="Z182" s="68" t="str" cm="1">
        <f t="array" ref="Z182">CalculerNouvelleDate(J182,Y182)</f>
        <v/>
      </c>
      <c r="AA182" s="68" t="str" cm="1">
        <f t="array" ref="AA182">CalculerNouvelleDate(K182,Z182)</f>
        <v/>
      </c>
      <c r="AB182" s="68" t="str" cm="1">
        <f t="array" ref="AB182">CalculerNouvelleDate(L182,AA182)</f>
        <v/>
      </c>
      <c r="AC182" s="68" t="str" cm="1">
        <f t="array" ref="AC182">CalculerNouvelleDate(M182,AB182)</f>
        <v/>
      </c>
      <c r="AD182" s="68" t="str" cm="1">
        <f t="array" ref="AD182">CalculerNouvelleDate(N182,AC182)</f>
        <v/>
      </c>
      <c r="AE182" s="68" t="str" cm="1">
        <f t="array" ref="AE182">CalculerNouvelleDate(O182,AD182)</f>
        <v/>
      </c>
      <c r="AF182" s="68" t="str" cm="1">
        <f t="array" ref="AF182">CalculerNouvelleDate(P182,AE182)</f>
        <v/>
      </c>
      <c r="AG182" s="68" t="str" cm="1">
        <f t="array" ref="AG182">CalculerNouvelleDate(Q182,AF182)</f>
        <v/>
      </c>
      <c r="AH182" s="68" t="str" cm="1">
        <f t="array" ref="AH182">CalculerNouvelleDate(R182,AG182)</f>
        <v/>
      </c>
      <c r="AI182" s="68" t="str" cm="1">
        <f t="array" ref="AI182">CalculerNouvelleDate(S182,AH182)</f>
        <v/>
      </c>
      <c r="AJ182" s="68" t="str" cm="1">
        <f t="array" ref="AJ182">CalculerNouvelleDate(T182,AI182)</f>
        <v/>
      </c>
      <c r="AK182" s="68" t="str" cm="1">
        <f t="array" ref="AK182">CalculerNouvelleDate(U182,AJ182)</f>
        <v/>
      </c>
      <c r="AL182" s="68" t="str" cm="1">
        <f t="array" ref="AL182">CalculerNouvelleDate(V182,AK182)</f>
        <v/>
      </c>
      <c r="AM182" s="83" t="str" cm="1">
        <f t="array" ref="AM182">CorrespondanceDAte(X182:AL182,D183)</f>
        <v>0</v>
      </c>
      <c r="AN182" s="1"/>
      <c r="AO182" s="1"/>
      <c r="AP182" s="1"/>
      <c r="AQ182" s="1"/>
      <c r="AR182" s="1"/>
      <c r="AS182" s="1"/>
      <c r="AT182" s="1"/>
      <c r="AU182" s="1"/>
      <c r="AV182" s="1"/>
      <c r="AW182" s="1"/>
      <c r="AX182" s="1"/>
      <c r="AY182" s="1"/>
      <c r="AZ182" s="1"/>
      <c r="BA182" s="1"/>
    </row>
    <row r="183" spans="1:53" x14ac:dyDescent="0.3">
      <c r="A183" s="1"/>
      <c r="B183" s="11"/>
      <c r="C183" s="1" t="s">
        <v>562</v>
      </c>
      <c r="D183" s="1"/>
      <c r="E183" s="1"/>
      <c r="F183" s="1"/>
      <c r="G183" s="1"/>
      <c r="H183" s="43"/>
      <c r="I183" s="46"/>
      <c r="J183" s="46"/>
      <c r="K183" s="46"/>
      <c r="L183" s="46"/>
      <c r="M183" s="46"/>
      <c r="N183" s="46"/>
      <c r="O183" s="46"/>
      <c r="P183" s="46"/>
      <c r="Q183" s="46"/>
      <c r="R183" s="46"/>
      <c r="S183" s="46"/>
      <c r="T183" s="46"/>
      <c r="U183" s="46"/>
      <c r="V183" s="46"/>
      <c r="W183" s="62"/>
      <c r="X183" s="67"/>
      <c r="Y183" s="68" t="str" cm="1">
        <f t="array" ref="Y183">CalculerNouvelleDate(I183,X183)</f>
        <v/>
      </c>
      <c r="Z183" s="68" t="str" cm="1">
        <f t="array" ref="Z183">CalculerNouvelleDate(J183,Y183)</f>
        <v/>
      </c>
      <c r="AA183" s="68" t="str" cm="1">
        <f t="array" ref="AA183">CalculerNouvelleDate(K183,Z183)</f>
        <v/>
      </c>
      <c r="AB183" s="68" t="str" cm="1">
        <f t="array" ref="AB183">CalculerNouvelleDate(L183,AA183)</f>
        <v/>
      </c>
      <c r="AC183" s="68" t="str" cm="1">
        <f t="array" ref="AC183">CalculerNouvelleDate(M183,AB183)</f>
        <v/>
      </c>
      <c r="AD183" s="68" t="str" cm="1">
        <f t="array" ref="AD183">CalculerNouvelleDate(N183,AC183)</f>
        <v/>
      </c>
      <c r="AE183" s="68" t="str" cm="1">
        <f t="array" ref="AE183">CalculerNouvelleDate(O183,AD183)</f>
        <v/>
      </c>
      <c r="AF183" s="68" t="str" cm="1">
        <f t="array" ref="AF183">CalculerNouvelleDate(P183,AE183)</f>
        <v/>
      </c>
      <c r="AG183" s="68" t="str" cm="1">
        <f t="array" ref="AG183">CalculerNouvelleDate(Q183,AF183)</f>
        <v/>
      </c>
      <c r="AH183" s="68" t="str" cm="1">
        <f t="array" ref="AH183">CalculerNouvelleDate(R183,AG183)</f>
        <v/>
      </c>
      <c r="AI183" s="68" t="str" cm="1">
        <f t="array" ref="AI183">CalculerNouvelleDate(S183,AH183)</f>
        <v/>
      </c>
      <c r="AJ183" s="68" t="str" cm="1">
        <f t="array" ref="AJ183">CalculerNouvelleDate(T183,AI183)</f>
        <v/>
      </c>
      <c r="AK183" s="68" t="str" cm="1">
        <f t="array" ref="AK183">CalculerNouvelleDate(U183,AJ183)</f>
        <v/>
      </c>
      <c r="AL183" s="68" t="str" cm="1">
        <f t="array" ref="AL183">CalculerNouvelleDate(V183,AK183)</f>
        <v/>
      </c>
      <c r="AM183" s="83" t="str" cm="1">
        <f t="array" ref="AM183">CorrespondanceDAte(X183:AL183,D184)</f>
        <v>0</v>
      </c>
      <c r="AN183" s="1"/>
      <c r="AO183" s="1"/>
      <c r="AP183" s="1"/>
      <c r="AQ183" s="1"/>
      <c r="AR183" s="1"/>
      <c r="AS183" s="1"/>
      <c r="AT183" s="1"/>
      <c r="AU183" s="1"/>
      <c r="AV183" s="1"/>
      <c r="AW183" s="1"/>
      <c r="AX183" s="1"/>
      <c r="AY183" s="1"/>
      <c r="AZ183" s="1"/>
      <c r="BA183" s="1"/>
    </row>
    <row r="184" spans="1:53" x14ac:dyDescent="0.3">
      <c r="A184" s="1"/>
      <c r="B184" s="11"/>
      <c r="C184" s="1" t="s">
        <v>617</v>
      </c>
      <c r="D184" s="1"/>
      <c r="E184" s="1"/>
      <c r="F184" s="1"/>
      <c r="G184" s="1"/>
      <c r="H184" s="43"/>
      <c r="I184" s="46"/>
      <c r="J184" s="46"/>
      <c r="K184" s="46"/>
      <c r="L184" s="46"/>
      <c r="M184" s="46"/>
      <c r="N184" s="46"/>
      <c r="O184" s="46"/>
      <c r="P184" s="46"/>
      <c r="Q184" s="46"/>
      <c r="R184" s="46"/>
      <c r="S184" s="46"/>
      <c r="T184" s="46"/>
      <c r="U184" s="46"/>
      <c r="V184" s="46"/>
      <c r="W184" s="62"/>
      <c r="X184" s="67"/>
      <c r="Y184" s="68" t="str" cm="1">
        <f t="array" ref="Y184">CalculerNouvelleDate(I184,X184)</f>
        <v/>
      </c>
      <c r="Z184" s="68" t="str" cm="1">
        <f t="array" ref="Z184">CalculerNouvelleDate(J184,Y184)</f>
        <v/>
      </c>
      <c r="AA184" s="68" t="str" cm="1">
        <f t="array" ref="AA184">CalculerNouvelleDate(K184,Z184)</f>
        <v/>
      </c>
      <c r="AB184" s="68" t="str" cm="1">
        <f t="array" ref="AB184">CalculerNouvelleDate(L184,AA184)</f>
        <v/>
      </c>
      <c r="AC184" s="68" t="str" cm="1">
        <f t="array" ref="AC184">CalculerNouvelleDate(M184,AB184)</f>
        <v/>
      </c>
      <c r="AD184" s="68" t="str" cm="1">
        <f t="array" ref="AD184">CalculerNouvelleDate(N184,AC184)</f>
        <v/>
      </c>
      <c r="AE184" s="68" t="str" cm="1">
        <f t="array" ref="AE184">CalculerNouvelleDate(O184,AD184)</f>
        <v/>
      </c>
      <c r="AF184" s="68" t="str" cm="1">
        <f t="array" ref="AF184">CalculerNouvelleDate(P184,AE184)</f>
        <v/>
      </c>
      <c r="AG184" s="68" t="str" cm="1">
        <f t="array" ref="AG184">CalculerNouvelleDate(Q184,AF184)</f>
        <v/>
      </c>
      <c r="AH184" s="68" t="str" cm="1">
        <f t="array" ref="AH184">CalculerNouvelleDate(R184,AG184)</f>
        <v/>
      </c>
      <c r="AI184" s="68" t="str" cm="1">
        <f t="array" ref="AI184">CalculerNouvelleDate(S184,AH184)</f>
        <v/>
      </c>
      <c r="AJ184" s="68" t="str" cm="1">
        <f t="array" ref="AJ184">CalculerNouvelleDate(T184,AI184)</f>
        <v/>
      </c>
      <c r="AK184" s="68" t="str" cm="1">
        <f t="array" ref="AK184">CalculerNouvelleDate(U184,AJ184)</f>
        <v/>
      </c>
      <c r="AL184" s="68" t="str" cm="1">
        <f t="array" ref="AL184">CalculerNouvelleDate(V184,AK184)</f>
        <v/>
      </c>
      <c r="AM184" s="83" t="str" cm="1">
        <f t="array" ref="AM184">CorrespondanceDAte(X184:AL184,D185)</f>
        <v>0</v>
      </c>
      <c r="AN184" s="1"/>
      <c r="AO184" s="1"/>
      <c r="AP184" s="1"/>
      <c r="AQ184" s="1"/>
      <c r="AR184" s="1"/>
      <c r="AS184" s="1"/>
      <c r="AT184" s="1"/>
      <c r="AU184" s="1"/>
      <c r="AV184" s="1"/>
      <c r="AW184" s="1"/>
      <c r="AX184" s="1"/>
      <c r="AY184" s="1"/>
      <c r="AZ184" s="1"/>
      <c r="BA184" s="1"/>
    </row>
    <row r="185" spans="1:53" x14ac:dyDescent="0.3">
      <c r="A185" s="1"/>
      <c r="B185" s="11">
        <v>6</v>
      </c>
      <c r="C185" s="1" t="s">
        <v>50</v>
      </c>
      <c r="D185" s="1"/>
      <c r="E185" s="1"/>
      <c r="F185" s="1"/>
      <c r="G185" s="1"/>
      <c r="H185" s="43"/>
      <c r="I185" s="1"/>
      <c r="J185" s="1"/>
      <c r="K185" s="1"/>
      <c r="L185" s="1"/>
      <c r="M185" s="1"/>
      <c r="N185" s="1"/>
      <c r="O185" s="1"/>
      <c r="P185" s="1"/>
      <c r="Q185" s="1"/>
      <c r="R185" s="1"/>
      <c r="S185" s="1"/>
      <c r="T185" s="1"/>
      <c r="U185" s="1"/>
      <c r="V185" s="1"/>
      <c r="W185" s="11"/>
      <c r="X185" s="67"/>
      <c r="Y185" s="68" t="str" cm="1">
        <f t="array" ref="Y185">CalculerNouvelleDate(I185,X185)</f>
        <v/>
      </c>
      <c r="Z185" s="68" t="str" cm="1">
        <f t="array" ref="Z185">CalculerNouvelleDate(J185,Y185)</f>
        <v/>
      </c>
      <c r="AA185" s="68" t="str" cm="1">
        <f t="array" ref="AA185">CalculerNouvelleDate(K185,Z185)</f>
        <v/>
      </c>
      <c r="AB185" s="68" t="str" cm="1">
        <f t="array" ref="AB185">CalculerNouvelleDate(L185,AA185)</f>
        <v/>
      </c>
      <c r="AC185" s="68" t="str" cm="1">
        <f t="array" ref="AC185">CalculerNouvelleDate(M185,AB185)</f>
        <v/>
      </c>
      <c r="AD185" s="68" t="str" cm="1">
        <f t="array" ref="AD185">CalculerNouvelleDate(N185,AC185)</f>
        <v/>
      </c>
      <c r="AE185" s="68" t="str" cm="1">
        <f t="array" ref="AE185">CalculerNouvelleDate(O185,AD185)</f>
        <v/>
      </c>
      <c r="AF185" s="68" t="str" cm="1">
        <f t="array" ref="AF185">CalculerNouvelleDate(P185,AE185)</f>
        <v/>
      </c>
      <c r="AG185" s="68" t="str" cm="1">
        <f t="array" ref="AG185">CalculerNouvelleDate(Q185,AF185)</f>
        <v/>
      </c>
      <c r="AH185" s="68" t="str" cm="1">
        <f t="array" ref="AH185">CalculerNouvelleDate(R185,AG185)</f>
        <v/>
      </c>
      <c r="AI185" s="68" t="str" cm="1">
        <f t="array" ref="AI185">CalculerNouvelleDate(S185,AH185)</f>
        <v/>
      </c>
      <c r="AJ185" s="68" t="str" cm="1">
        <f t="array" ref="AJ185">CalculerNouvelleDate(T185,AI185)</f>
        <v/>
      </c>
      <c r="AK185" s="68" t="str" cm="1">
        <f t="array" ref="AK185">CalculerNouvelleDate(U185,AJ185)</f>
        <v/>
      </c>
      <c r="AL185" s="68" t="str" cm="1">
        <f t="array" ref="AL185">CalculerNouvelleDate(V185,AK185)</f>
        <v/>
      </c>
      <c r="AM185" s="83" t="str" cm="1">
        <f t="array" ref="AM185">CorrespondanceDAte(X185:AL185,D186)</f>
        <v>0</v>
      </c>
      <c r="AN185" s="1"/>
      <c r="AO185" s="1"/>
      <c r="AP185" s="1"/>
      <c r="AQ185" s="1"/>
      <c r="AR185" s="1"/>
      <c r="AS185" s="1"/>
      <c r="AT185" s="1"/>
      <c r="AU185" s="1"/>
      <c r="AV185" s="1"/>
      <c r="AW185" s="1"/>
      <c r="AX185" s="1"/>
      <c r="AY185" s="1"/>
      <c r="AZ185" s="1"/>
      <c r="BA185" s="1"/>
    </row>
    <row r="186" spans="1:53" x14ac:dyDescent="0.3">
      <c r="A186" s="1"/>
      <c r="B186" s="11"/>
      <c r="C186" s="1" t="s">
        <v>566</v>
      </c>
      <c r="D186" s="1"/>
      <c r="E186" s="1"/>
      <c r="F186" s="1"/>
      <c r="G186" s="1"/>
      <c r="H186" s="43"/>
      <c r="I186" s="46"/>
      <c r="J186" s="46"/>
      <c r="K186" s="46"/>
      <c r="L186" s="46"/>
      <c r="M186" s="46"/>
      <c r="N186" s="46"/>
      <c r="O186" s="46"/>
      <c r="P186" s="46"/>
      <c r="Q186" s="46"/>
      <c r="R186" s="46"/>
      <c r="S186" s="46"/>
      <c r="T186" s="46"/>
      <c r="U186" s="46"/>
      <c r="V186" s="46"/>
      <c r="W186" s="62"/>
      <c r="X186" s="67"/>
      <c r="Y186" s="68" t="str" cm="1">
        <f t="array" ref="Y186">CalculerNouvelleDate(I186,X186)</f>
        <v/>
      </c>
      <c r="Z186" s="68" t="str" cm="1">
        <f t="array" ref="Z186">CalculerNouvelleDate(J186,Y186)</f>
        <v/>
      </c>
      <c r="AA186" s="68" t="str" cm="1">
        <f t="array" ref="AA186">CalculerNouvelleDate(K186,Z186)</f>
        <v/>
      </c>
      <c r="AB186" s="68" t="str" cm="1">
        <f t="array" ref="AB186">CalculerNouvelleDate(L186,AA186)</f>
        <v/>
      </c>
      <c r="AC186" s="68" t="str" cm="1">
        <f t="array" ref="AC186">CalculerNouvelleDate(M186,AB186)</f>
        <v/>
      </c>
      <c r="AD186" s="68" t="str" cm="1">
        <f t="array" ref="AD186">CalculerNouvelleDate(N186,AC186)</f>
        <v/>
      </c>
      <c r="AE186" s="68" t="str" cm="1">
        <f t="array" ref="AE186">CalculerNouvelleDate(O186,AD186)</f>
        <v/>
      </c>
      <c r="AF186" s="68" t="str" cm="1">
        <f t="array" ref="AF186">CalculerNouvelleDate(P186,AE186)</f>
        <v/>
      </c>
      <c r="AG186" s="68" t="str" cm="1">
        <f t="array" ref="AG186">CalculerNouvelleDate(Q186,AF186)</f>
        <v/>
      </c>
      <c r="AH186" s="68" t="str" cm="1">
        <f t="array" ref="AH186">CalculerNouvelleDate(R186,AG186)</f>
        <v/>
      </c>
      <c r="AI186" s="68" t="str" cm="1">
        <f t="array" ref="AI186">CalculerNouvelleDate(S186,AH186)</f>
        <v/>
      </c>
      <c r="AJ186" s="68" t="str" cm="1">
        <f t="array" ref="AJ186">CalculerNouvelleDate(T186,AI186)</f>
        <v/>
      </c>
      <c r="AK186" s="68" t="str" cm="1">
        <f t="array" ref="AK186">CalculerNouvelleDate(U186,AJ186)</f>
        <v/>
      </c>
      <c r="AL186" s="68" t="str" cm="1">
        <f t="array" ref="AL186">CalculerNouvelleDate(V186,AK186)</f>
        <v/>
      </c>
      <c r="AM186" s="83" t="str" cm="1">
        <f t="array" ref="AM186">CorrespondanceDAte(X186:AL186,D187)</f>
        <v>0</v>
      </c>
      <c r="AN186" s="1"/>
      <c r="AO186" s="1"/>
      <c r="AP186" s="1"/>
      <c r="AQ186" s="1"/>
      <c r="AR186" s="1"/>
      <c r="AS186" s="1"/>
      <c r="AT186" s="1"/>
      <c r="AU186" s="1"/>
      <c r="AV186" s="1"/>
      <c r="AW186" s="1"/>
      <c r="AX186" s="1"/>
      <c r="AY186" s="1"/>
      <c r="AZ186" s="1"/>
      <c r="BA186" s="1"/>
    </row>
    <row r="187" spans="1:53" x14ac:dyDescent="0.3">
      <c r="A187" s="1"/>
      <c r="B187" s="11"/>
      <c r="C187" s="1" t="s">
        <v>626</v>
      </c>
      <c r="D187" s="1"/>
      <c r="E187" s="1"/>
      <c r="F187" s="1"/>
      <c r="G187" s="1"/>
      <c r="H187" s="43"/>
      <c r="I187" s="46"/>
      <c r="J187" s="46"/>
      <c r="K187" s="46"/>
      <c r="L187" s="46"/>
      <c r="M187" s="46"/>
      <c r="N187" s="46"/>
      <c r="O187" s="46"/>
      <c r="P187" s="46"/>
      <c r="Q187" s="46"/>
      <c r="R187" s="46"/>
      <c r="S187" s="46"/>
      <c r="T187" s="46"/>
      <c r="U187" s="46"/>
      <c r="V187" s="46"/>
      <c r="W187" s="62"/>
      <c r="X187" s="67"/>
      <c r="Y187" s="68" t="str" cm="1">
        <f t="array" ref="Y187">CalculerNouvelleDate(I187,X187)</f>
        <v/>
      </c>
      <c r="Z187" s="68" t="str" cm="1">
        <f t="array" ref="Z187">CalculerNouvelleDate(J187,Y187)</f>
        <v/>
      </c>
      <c r="AA187" s="68" t="str" cm="1">
        <f t="array" ref="AA187">CalculerNouvelleDate(K187,Z187)</f>
        <v/>
      </c>
      <c r="AB187" s="68" t="str" cm="1">
        <f t="array" ref="AB187">CalculerNouvelleDate(L187,AA187)</f>
        <v/>
      </c>
      <c r="AC187" s="68" t="str" cm="1">
        <f t="array" ref="AC187">CalculerNouvelleDate(M187,AB187)</f>
        <v/>
      </c>
      <c r="AD187" s="68" t="str" cm="1">
        <f t="array" ref="AD187">CalculerNouvelleDate(N187,AC187)</f>
        <v/>
      </c>
      <c r="AE187" s="68" t="str" cm="1">
        <f t="array" ref="AE187">CalculerNouvelleDate(O187,AD187)</f>
        <v/>
      </c>
      <c r="AF187" s="68" t="str" cm="1">
        <f t="array" ref="AF187">CalculerNouvelleDate(P187,AE187)</f>
        <v/>
      </c>
      <c r="AG187" s="68" t="str" cm="1">
        <f t="array" ref="AG187">CalculerNouvelleDate(Q187,AF187)</f>
        <v/>
      </c>
      <c r="AH187" s="68" t="str" cm="1">
        <f t="array" ref="AH187">CalculerNouvelleDate(R187,AG187)</f>
        <v/>
      </c>
      <c r="AI187" s="68" t="str" cm="1">
        <f t="array" ref="AI187">CalculerNouvelleDate(S187,AH187)</f>
        <v/>
      </c>
      <c r="AJ187" s="68" t="str" cm="1">
        <f t="array" ref="AJ187">CalculerNouvelleDate(T187,AI187)</f>
        <v/>
      </c>
      <c r="AK187" s="68" t="str" cm="1">
        <f t="array" ref="AK187">CalculerNouvelleDate(U187,AJ187)</f>
        <v/>
      </c>
      <c r="AL187" s="68" t="str" cm="1">
        <f t="array" ref="AL187">CalculerNouvelleDate(V187,AK187)</f>
        <v/>
      </c>
      <c r="AM187" s="83" t="str" cm="1">
        <f t="array" ref="AM187">CorrespondanceDAte(X187:AL187,D188)</f>
        <v>0</v>
      </c>
      <c r="AN187" s="1"/>
      <c r="AO187" s="1"/>
      <c r="AP187" s="1"/>
      <c r="AQ187" s="1"/>
      <c r="AR187" s="1"/>
      <c r="AS187" s="1"/>
      <c r="AT187" s="1"/>
      <c r="AU187" s="1"/>
      <c r="AV187" s="1"/>
      <c r="AW187" s="1"/>
      <c r="AX187" s="1"/>
      <c r="AY187" s="1"/>
      <c r="AZ187" s="1"/>
      <c r="BA187" s="1"/>
    </row>
    <row r="188" spans="1:53" x14ac:dyDescent="0.3">
      <c r="A188" s="1"/>
      <c r="B188" s="11"/>
      <c r="C188" s="1" t="s">
        <v>627</v>
      </c>
      <c r="D188" s="1"/>
      <c r="E188" s="1"/>
      <c r="F188" s="1"/>
      <c r="G188" s="1"/>
      <c r="H188" s="43"/>
      <c r="I188" s="46"/>
      <c r="J188" s="46"/>
      <c r="K188" s="46"/>
      <c r="L188" s="46"/>
      <c r="M188" s="46"/>
      <c r="N188" s="46"/>
      <c r="O188" s="46"/>
      <c r="P188" s="46"/>
      <c r="Q188" s="46"/>
      <c r="R188" s="46"/>
      <c r="S188" s="46"/>
      <c r="T188" s="46"/>
      <c r="U188" s="46"/>
      <c r="V188" s="46"/>
      <c r="W188" s="62"/>
      <c r="X188" s="67"/>
      <c r="Y188" s="68" t="str" cm="1">
        <f t="array" ref="Y188">CalculerNouvelleDate(I188,X188)</f>
        <v/>
      </c>
      <c r="Z188" s="68" t="str" cm="1">
        <f t="array" ref="Z188">CalculerNouvelleDate(J188,Y188)</f>
        <v/>
      </c>
      <c r="AA188" s="68" t="str" cm="1">
        <f t="array" ref="AA188">CalculerNouvelleDate(K188,Z188)</f>
        <v/>
      </c>
      <c r="AB188" s="68" t="str" cm="1">
        <f t="array" ref="AB188">CalculerNouvelleDate(L188,AA188)</f>
        <v/>
      </c>
      <c r="AC188" s="68" t="str" cm="1">
        <f t="array" ref="AC188">CalculerNouvelleDate(M188,AB188)</f>
        <v/>
      </c>
      <c r="AD188" s="68" t="str" cm="1">
        <f t="array" ref="AD188">CalculerNouvelleDate(N188,AC188)</f>
        <v/>
      </c>
      <c r="AE188" s="68" t="str" cm="1">
        <f t="array" ref="AE188">CalculerNouvelleDate(O188,AD188)</f>
        <v/>
      </c>
      <c r="AF188" s="68" t="str" cm="1">
        <f t="array" ref="AF188">CalculerNouvelleDate(P188,AE188)</f>
        <v/>
      </c>
      <c r="AG188" s="68" t="str" cm="1">
        <f t="array" ref="AG188">CalculerNouvelleDate(Q188,AF188)</f>
        <v/>
      </c>
      <c r="AH188" s="68" t="str" cm="1">
        <f t="array" ref="AH188">CalculerNouvelleDate(R188,AG188)</f>
        <v/>
      </c>
      <c r="AI188" s="68" t="str" cm="1">
        <f t="array" ref="AI188">CalculerNouvelleDate(S188,AH188)</f>
        <v/>
      </c>
      <c r="AJ188" s="68" t="str" cm="1">
        <f t="array" ref="AJ188">CalculerNouvelleDate(T188,AI188)</f>
        <v/>
      </c>
      <c r="AK188" s="68" t="str" cm="1">
        <f t="array" ref="AK188">CalculerNouvelleDate(U188,AJ188)</f>
        <v/>
      </c>
      <c r="AL188" s="68" t="str" cm="1">
        <f t="array" ref="AL188">CalculerNouvelleDate(V188,AK188)</f>
        <v/>
      </c>
      <c r="AM188" s="83" t="str" cm="1">
        <f t="array" ref="AM188">CorrespondanceDAte(X188:AL188,D189)</f>
        <v>0</v>
      </c>
      <c r="AN188" s="1"/>
      <c r="AO188" s="1"/>
      <c r="AP188" s="1"/>
      <c r="AQ188" s="1"/>
      <c r="AR188" s="1"/>
      <c r="AS188" s="1"/>
      <c r="AT188" s="1"/>
      <c r="AU188" s="1"/>
      <c r="AV188" s="1"/>
      <c r="AW188" s="1"/>
      <c r="AX188" s="1"/>
      <c r="AY188" s="1"/>
      <c r="AZ188" s="1"/>
      <c r="BA188" s="1"/>
    </row>
    <row r="189" spans="1:53" x14ac:dyDescent="0.3">
      <c r="A189" s="1"/>
      <c r="B189" s="11">
        <v>7</v>
      </c>
      <c r="C189" s="1" t="s">
        <v>51</v>
      </c>
      <c r="D189" s="1"/>
      <c r="E189" s="1"/>
      <c r="F189" s="1"/>
      <c r="G189" s="1"/>
      <c r="H189" s="43"/>
      <c r="I189" s="1"/>
      <c r="J189" s="1"/>
      <c r="K189" s="1"/>
      <c r="L189" s="1"/>
      <c r="M189" s="1"/>
      <c r="N189" s="1"/>
      <c r="O189" s="1"/>
      <c r="P189" s="1"/>
      <c r="Q189" s="1"/>
      <c r="R189" s="1"/>
      <c r="S189" s="1"/>
      <c r="T189" s="1"/>
      <c r="U189" s="1"/>
      <c r="V189" s="1"/>
      <c r="W189" s="11"/>
      <c r="X189" s="67"/>
      <c r="Y189" s="68" t="str" cm="1">
        <f t="array" ref="Y189">CalculerNouvelleDate(I189,X189)</f>
        <v/>
      </c>
      <c r="Z189" s="68" t="str" cm="1">
        <f t="array" ref="Z189">CalculerNouvelleDate(J189,Y189)</f>
        <v/>
      </c>
      <c r="AA189" s="68" t="str" cm="1">
        <f t="array" ref="AA189">CalculerNouvelleDate(K189,Z189)</f>
        <v/>
      </c>
      <c r="AB189" s="68" t="str" cm="1">
        <f t="array" ref="AB189">CalculerNouvelleDate(L189,AA189)</f>
        <v/>
      </c>
      <c r="AC189" s="68" t="str" cm="1">
        <f t="array" ref="AC189">CalculerNouvelleDate(M189,AB189)</f>
        <v/>
      </c>
      <c r="AD189" s="68" t="str" cm="1">
        <f t="array" ref="AD189">CalculerNouvelleDate(N189,AC189)</f>
        <v/>
      </c>
      <c r="AE189" s="68" t="str" cm="1">
        <f t="array" ref="AE189">CalculerNouvelleDate(O189,AD189)</f>
        <v/>
      </c>
      <c r="AF189" s="68" t="str" cm="1">
        <f t="array" ref="AF189">CalculerNouvelleDate(P189,AE189)</f>
        <v/>
      </c>
      <c r="AG189" s="68" t="str" cm="1">
        <f t="array" ref="AG189">CalculerNouvelleDate(Q189,AF189)</f>
        <v/>
      </c>
      <c r="AH189" s="68" t="str" cm="1">
        <f t="array" ref="AH189">CalculerNouvelleDate(R189,AG189)</f>
        <v/>
      </c>
      <c r="AI189" s="68" t="str" cm="1">
        <f t="array" ref="AI189">CalculerNouvelleDate(S189,AH189)</f>
        <v/>
      </c>
      <c r="AJ189" s="68" t="str" cm="1">
        <f t="array" ref="AJ189">CalculerNouvelleDate(T189,AI189)</f>
        <v/>
      </c>
      <c r="AK189" s="68" t="str" cm="1">
        <f t="array" ref="AK189">CalculerNouvelleDate(U189,AJ189)</f>
        <v/>
      </c>
      <c r="AL189" s="68" t="str" cm="1">
        <f t="array" ref="AL189">CalculerNouvelleDate(V189,AK189)</f>
        <v/>
      </c>
      <c r="AM189" s="83" t="str" cm="1">
        <f t="array" ref="AM189">CorrespondanceDAte(X189:AL189,D190)</f>
        <v>0</v>
      </c>
      <c r="AN189" s="1"/>
      <c r="AO189" s="1"/>
      <c r="AP189" s="1"/>
      <c r="AQ189" s="1"/>
      <c r="AR189" s="1"/>
      <c r="AS189" s="1"/>
      <c r="AT189" s="1"/>
      <c r="AU189" s="1"/>
      <c r="AV189" s="1"/>
      <c r="AW189" s="1"/>
      <c r="AX189" s="1"/>
      <c r="AY189" s="1"/>
      <c r="AZ189" s="1"/>
      <c r="BA189" s="1"/>
    </row>
    <row r="190" spans="1:53" x14ac:dyDescent="0.3">
      <c r="A190" s="1"/>
      <c r="B190" s="11"/>
      <c r="C190" s="1" t="s">
        <v>568</v>
      </c>
      <c r="D190" s="1"/>
      <c r="E190" s="1"/>
      <c r="F190" s="1"/>
      <c r="G190" s="1"/>
      <c r="H190" s="43"/>
      <c r="I190" s="46"/>
      <c r="J190" s="46"/>
      <c r="K190" s="46"/>
      <c r="L190" s="46"/>
      <c r="M190" s="46"/>
      <c r="N190" s="46"/>
      <c r="O190" s="46"/>
      <c r="P190" s="46"/>
      <c r="Q190" s="46"/>
      <c r="R190" s="46"/>
      <c r="S190" s="46"/>
      <c r="T190" s="46"/>
      <c r="U190" s="46"/>
      <c r="V190" s="46"/>
      <c r="W190" s="62"/>
      <c r="X190" s="67"/>
      <c r="Y190" s="68" t="str" cm="1">
        <f t="array" ref="Y190">CalculerNouvelleDate(I190,X190)</f>
        <v/>
      </c>
      <c r="Z190" s="68" t="str" cm="1">
        <f t="array" ref="Z190">CalculerNouvelleDate(J190,Y190)</f>
        <v/>
      </c>
      <c r="AA190" s="68" t="str" cm="1">
        <f t="array" ref="AA190">CalculerNouvelleDate(K190,Z190)</f>
        <v/>
      </c>
      <c r="AB190" s="68" t="str" cm="1">
        <f t="array" ref="AB190">CalculerNouvelleDate(L190,AA190)</f>
        <v/>
      </c>
      <c r="AC190" s="68" t="str" cm="1">
        <f t="array" ref="AC190">CalculerNouvelleDate(M190,AB190)</f>
        <v/>
      </c>
      <c r="AD190" s="68" t="str" cm="1">
        <f t="array" ref="AD190">CalculerNouvelleDate(N190,AC190)</f>
        <v/>
      </c>
      <c r="AE190" s="68" t="str" cm="1">
        <f t="array" ref="AE190">CalculerNouvelleDate(O190,AD190)</f>
        <v/>
      </c>
      <c r="AF190" s="68" t="str" cm="1">
        <f t="array" ref="AF190">CalculerNouvelleDate(P190,AE190)</f>
        <v/>
      </c>
      <c r="AG190" s="68" t="str" cm="1">
        <f t="array" ref="AG190">CalculerNouvelleDate(Q190,AF190)</f>
        <v/>
      </c>
      <c r="AH190" s="68" t="str" cm="1">
        <f t="array" ref="AH190">CalculerNouvelleDate(R190,AG190)</f>
        <v/>
      </c>
      <c r="AI190" s="68" t="str" cm="1">
        <f t="array" ref="AI190">CalculerNouvelleDate(S190,AH190)</f>
        <v/>
      </c>
      <c r="AJ190" s="68" t="str" cm="1">
        <f t="array" ref="AJ190">CalculerNouvelleDate(T190,AI190)</f>
        <v/>
      </c>
      <c r="AK190" s="68" t="str" cm="1">
        <f t="array" ref="AK190">CalculerNouvelleDate(U190,AJ190)</f>
        <v/>
      </c>
      <c r="AL190" s="68" t="str" cm="1">
        <f t="array" ref="AL190">CalculerNouvelleDate(V190,AK190)</f>
        <v/>
      </c>
      <c r="AM190" s="83" t="str" cm="1">
        <f t="array" ref="AM190">CorrespondanceDAte(X190:AL190,D191)</f>
        <v>0</v>
      </c>
      <c r="AN190" s="1"/>
      <c r="AO190" s="1"/>
      <c r="AP190" s="1"/>
      <c r="AQ190" s="1"/>
      <c r="AR190" s="1"/>
      <c r="AS190" s="1"/>
      <c r="AT190" s="1"/>
      <c r="AU190" s="1"/>
      <c r="AV190" s="1"/>
      <c r="AW190" s="1"/>
      <c r="AX190" s="1"/>
      <c r="AY190" s="1"/>
      <c r="AZ190" s="1"/>
      <c r="BA190" s="1"/>
    </row>
    <row r="191" spans="1:53" x14ac:dyDescent="0.3">
      <c r="A191" s="1"/>
      <c r="B191" s="11"/>
      <c r="C191" s="1" t="s">
        <v>569</v>
      </c>
      <c r="D191" s="1"/>
      <c r="E191" s="1"/>
      <c r="F191" s="1"/>
      <c r="G191" s="1"/>
      <c r="H191" s="43"/>
      <c r="I191" s="46"/>
      <c r="J191" s="46"/>
      <c r="K191" s="46"/>
      <c r="L191" s="46"/>
      <c r="M191" s="46"/>
      <c r="N191" s="46"/>
      <c r="O191" s="46"/>
      <c r="P191" s="46"/>
      <c r="Q191" s="46"/>
      <c r="R191" s="46"/>
      <c r="S191" s="46"/>
      <c r="T191" s="46"/>
      <c r="U191" s="46"/>
      <c r="V191" s="46"/>
      <c r="W191" s="62"/>
      <c r="X191" s="67"/>
      <c r="Y191" s="68" t="str" cm="1">
        <f t="array" ref="Y191">CalculerNouvelleDate(I191,X191)</f>
        <v/>
      </c>
      <c r="Z191" s="68" t="str" cm="1">
        <f t="array" ref="Z191">CalculerNouvelleDate(J191,Y191)</f>
        <v/>
      </c>
      <c r="AA191" s="68" t="str" cm="1">
        <f t="array" ref="AA191">CalculerNouvelleDate(K191,Z191)</f>
        <v/>
      </c>
      <c r="AB191" s="68" t="str" cm="1">
        <f t="array" ref="AB191">CalculerNouvelleDate(L191,AA191)</f>
        <v/>
      </c>
      <c r="AC191" s="68" t="str" cm="1">
        <f t="array" ref="AC191">CalculerNouvelleDate(M191,AB191)</f>
        <v/>
      </c>
      <c r="AD191" s="68" t="str" cm="1">
        <f t="array" ref="AD191">CalculerNouvelleDate(N191,AC191)</f>
        <v/>
      </c>
      <c r="AE191" s="68" t="str" cm="1">
        <f t="array" ref="AE191">CalculerNouvelleDate(O191,AD191)</f>
        <v/>
      </c>
      <c r="AF191" s="68" t="str" cm="1">
        <f t="array" ref="AF191">CalculerNouvelleDate(P191,AE191)</f>
        <v/>
      </c>
      <c r="AG191" s="68" t="str" cm="1">
        <f t="array" ref="AG191">CalculerNouvelleDate(Q191,AF191)</f>
        <v/>
      </c>
      <c r="AH191" s="68" t="str" cm="1">
        <f t="array" ref="AH191">CalculerNouvelleDate(R191,AG191)</f>
        <v/>
      </c>
      <c r="AI191" s="68" t="str" cm="1">
        <f t="array" ref="AI191">CalculerNouvelleDate(S191,AH191)</f>
        <v/>
      </c>
      <c r="AJ191" s="68" t="str" cm="1">
        <f t="array" ref="AJ191">CalculerNouvelleDate(T191,AI191)</f>
        <v/>
      </c>
      <c r="AK191" s="68" t="str" cm="1">
        <f t="array" ref="AK191">CalculerNouvelleDate(U191,AJ191)</f>
        <v/>
      </c>
      <c r="AL191" s="68" t="str" cm="1">
        <f t="array" ref="AL191">CalculerNouvelleDate(V191,AK191)</f>
        <v/>
      </c>
      <c r="AM191" s="83" t="str" cm="1">
        <f t="array" ref="AM191">CorrespondanceDAte(X191:AL191,D192)</f>
        <v>0</v>
      </c>
      <c r="AN191" s="1"/>
      <c r="AO191" s="1"/>
      <c r="AP191" s="1"/>
      <c r="AQ191" s="1"/>
      <c r="AR191" s="1"/>
      <c r="AS191" s="1"/>
      <c r="AT191" s="1"/>
      <c r="AU191" s="1"/>
      <c r="AV191" s="1"/>
      <c r="AW191" s="1"/>
      <c r="AX191" s="1"/>
      <c r="AY191" s="1"/>
      <c r="AZ191" s="1"/>
      <c r="BA191" s="1"/>
    </row>
    <row r="192" spans="1:53" x14ac:dyDescent="0.3">
      <c r="A192" s="1"/>
      <c r="B192" s="11"/>
      <c r="C192" s="1" t="s">
        <v>570</v>
      </c>
      <c r="D192" s="1"/>
      <c r="E192" s="1"/>
      <c r="F192" s="1"/>
      <c r="G192" s="1"/>
      <c r="H192" s="43"/>
      <c r="I192" s="46"/>
      <c r="J192" s="46"/>
      <c r="K192" s="46"/>
      <c r="L192" s="46"/>
      <c r="M192" s="46"/>
      <c r="N192" s="46"/>
      <c r="O192" s="46"/>
      <c r="P192" s="46"/>
      <c r="Q192" s="46"/>
      <c r="R192" s="46"/>
      <c r="S192" s="46"/>
      <c r="T192" s="46"/>
      <c r="U192" s="46"/>
      <c r="V192" s="46"/>
      <c r="W192" s="62"/>
      <c r="X192" s="67"/>
      <c r="Y192" s="68" t="str" cm="1">
        <f t="array" ref="Y192">CalculerNouvelleDate(I192,X192)</f>
        <v/>
      </c>
      <c r="Z192" s="68" t="str" cm="1">
        <f t="array" ref="Z192">CalculerNouvelleDate(J192,Y192)</f>
        <v/>
      </c>
      <c r="AA192" s="68" t="str" cm="1">
        <f t="array" ref="AA192">CalculerNouvelleDate(K192,Z192)</f>
        <v/>
      </c>
      <c r="AB192" s="68" t="str" cm="1">
        <f t="array" ref="AB192">CalculerNouvelleDate(L192,AA192)</f>
        <v/>
      </c>
      <c r="AC192" s="68" t="str" cm="1">
        <f t="array" ref="AC192">CalculerNouvelleDate(M192,AB192)</f>
        <v/>
      </c>
      <c r="AD192" s="68" t="str" cm="1">
        <f t="array" ref="AD192">CalculerNouvelleDate(N192,AC192)</f>
        <v/>
      </c>
      <c r="AE192" s="68" t="str" cm="1">
        <f t="array" ref="AE192">CalculerNouvelleDate(O192,AD192)</f>
        <v/>
      </c>
      <c r="AF192" s="68" t="str" cm="1">
        <f t="array" ref="AF192">CalculerNouvelleDate(P192,AE192)</f>
        <v/>
      </c>
      <c r="AG192" s="68" t="str" cm="1">
        <f t="array" ref="AG192">CalculerNouvelleDate(Q192,AF192)</f>
        <v/>
      </c>
      <c r="AH192" s="68" t="str" cm="1">
        <f t="array" ref="AH192">CalculerNouvelleDate(R192,AG192)</f>
        <v/>
      </c>
      <c r="AI192" s="68" t="str" cm="1">
        <f t="array" ref="AI192">CalculerNouvelleDate(S192,AH192)</f>
        <v/>
      </c>
      <c r="AJ192" s="68" t="str" cm="1">
        <f t="array" ref="AJ192">CalculerNouvelleDate(T192,AI192)</f>
        <v/>
      </c>
      <c r="AK192" s="68" t="str" cm="1">
        <f t="array" ref="AK192">CalculerNouvelleDate(U192,AJ192)</f>
        <v/>
      </c>
      <c r="AL192" s="68" t="str" cm="1">
        <f t="array" ref="AL192">CalculerNouvelleDate(V192,AK192)</f>
        <v/>
      </c>
      <c r="AM192" s="83" t="str" cm="1">
        <f t="array" ref="AM192">CorrespondanceDAte(X192:AL192,D193)</f>
        <v>0</v>
      </c>
      <c r="AN192" s="1"/>
      <c r="AO192" s="1"/>
      <c r="AP192" s="1"/>
      <c r="AQ192" s="1"/>
      <c r="AR192" s="1"/>
      <c r="AS192" s="1"/>
      <c r="AT192" s="1"/>
      <c r="AU192" s="1"/>
      <c r="AV192" s="1"/>
      <c r="AW192" s="1"/>
      <c r="AX192" s="1"/>
      <c r="AY192" s="1"/>
      <c r="AZ192" s="1"/>
      <c r="BA192" s="1"/>
    </row>
    <row r="193" spans="1:53" x14ac:dyDescent="0.3">
      <c r="A193" s="1"/>
      <c r="B193" s="11"/>
      <c r="C193" s="1" t="s">
        <v>709</v>
      </c>
      <c r="D193" s="1"/>
      <c r="E193" s="1"/>
      <c r="F193" s="1"/>
      <c r="G193" s="1"/>
      <c r="H193" s="43"/>
      <c r="I193" s="46"/>
      <c r="J193" s="46"/>
      <c r="K193" s="46"/>
      <c r="L193" s="46"/>
      <c r="M193" s="46"/>
      <c r="N193" s="46"/>
      <c r="O193" s="46"/>
      <c r="P193" s="46"/>
      <c r="Q193" s="46"/>
      <c r="R193" s="46"/>
      <c r="S193" s="46"/>
      <c r="T193" s="46"/>
      <c r="U193" s="46"/>
      <c r="V193" s="46"/>
      <c r="W193" s="62"/>
      <c r="X193" s="67"/>
      <c r="Y193" s="68" t="str" cm="1">
        <f t="array" ref="Y193">CalculerNouvelleDate(I193,X193)</f>
        <v/>
      </c>
      <c r="Z193" s="68" t="str" cm="1">
        <f t="array" ref="Z193">CalculerNouvelleDate(J193,Y193)</f>
        <v/>
      </c>
      <c r="AA193" s="68" t="str" cm="1">
        <f t="array" ref="AA193">CalculerNouvelleDate(K193,Z193)</f>
        <v/>
      </c>
      <c r="AB193" s="68" t="str" cm="1">
        <f t="array" ref="AB193">CalculerNouvelleDate(L193,AA193)</f>
        <v/>
      </c>
      <c r="AC193" s="68" t="str" cm="1">
        <f t="array" ref="AC193">CalculerNouvelleDate(M193,AB193)</f>
        <v/>
      </c>
      <c r="AD193" s="68" t="str" cm="1">
        <f t="array" ref="AD193">CalculerNouvelleDate(N193,AC193)</f>
        <v/>
      </c>
      <c r="AE193" s="68" t="str" cm="1">
        <f t="array" ref="AE193">CalculerNouvelleDate(O193,AD193)</f>
        <v/>
      </c>
      <c r="AF193" s="68" t="str" cm="1">
        <f t="array" ref="AF193">CalculerNouvelleDate(P193,AE193)</f>
        <v/>
      </c>
      <c r="AG193" s="68" t="str" cm="1">
        <f t="array" ref="AG193">CalculerNouvelleDate(Q193,AF193)</f>
        <v/>
      </c>
      <c r="AH193" s="68" t="str" cm="1">
        <f t="array" ref="AH193">CalculerNouvelleDate(R193,AG193)</f>
        <v/>
      </c>
      <c r="AI193" s="68" t="str" cm="1">
        <f t="array" ref="AI193">CalculerNouvelleDate(S193,AH193)</f>
        <v/>
      </c>
      <c r="AJ193" s="68" t="str" cm="1">
        <f t="array" ref="AJ193">CalculerNouvelleDate(T193,AI193)</f>
        <v/>
      </c>
      <c r="AK193" s="68" t="str" cm="1">
        <f t="array" ref="AK193">CalculerNouvelleDate(U193,AJ193)</f>
        <v/>
      </c>
      <c r="AL193" s="68" t="str" cm="1">
        <f t="array" ref="AL193">CalculerNouvelleDate(V193,AK193)</f>
        <v/>
      </c>
      <c r="AM193" s="83" t="str" cm="1">
        <f t="array" ref="AM193">CorrespondanceDAte(X193:AL193,D194)</f>
        <v>0</v>
      </c>
      <c r="AN193" s="1"/>
      <c r="AO193" s="1"/>
      <c r="AP193" s="1"/>
      <c r="AQ193" s="1"/>
      <c r="AR193" s="1"/>
      <c r="AS193" s="1"/>
      <c r="AT193" s="1"/>
      <c r="AU193" s="1"/>
      <c r="AV193" s="1"/>
      <c r="AW193" s="1"/>
      <c r="AX193" s="1"/>
      <c r="AY193" s="1"/>
      <c r="AZ193" s="1"/>
      <c r="BA193" s="1"/>
    </row>
    <row r="194" spans="1:53" x14ac:dyDescent="0.3">
      <c r="A194" s="1"/>
      <c r="B194" s="11">
        <v>8</v>
      </c>
      <c r="C194" s="1" t="s">
        <v>52</v>
      </c>
      <c r="D194" s="1"/>
      <c r="E194" s="1"/>
      <c r="F194" s="1"/>
      <c r="G194" s="1"/>
      <c r="H194" s="43"/>
      <c r="I194" s="1"/>
      <c r="J194" s="1"/>
      <c r="K194" s="1"/>
      <c r="L194" s="1"/>
      <c r="M194" s="1"/>
      <c r="N194" s="1"/>
      <c r="O194" s="1"/>
      <c r="P194" s="1"/>
      <c r="Q194" s="1"/>
      <c r="R194" s="1"/>
      <c r="S194" s="1"/>
      <c r="T194" s="1"/>
      <c r="U194" s="1"/>
      <c r="V194" s="1"/>
      <c r="W194" s="11"/>
      <c r="X194" s="67"/>
      <c r="Y194" s="68" t="str" cm="1">
        <f t="array" ref="Y194">CalculerNouvelleDate(I194,X194)</f>
        <v/>
      </c>
      <c r="Z194" s="68" t="str" cm="1">
        <f t="array" ref="Z194">CalculerNouvelleDate(J194,Y194)</f>
        <v/>
      </c>
      <c r="AA194" s="68" t="str" cm="1">
        <f t="array" ref="AA194">CalculerNouvelleDate(K194,Z194)</f>
        <v/>
      </c>
      <c r="AB194" s="68" t="str" cm="1">
        <f t="array" ref="AB194">CalculerNouvelleDate(L194,AA194)</f>
        <v/>
      </c>
      <c r="AC194" s="68" t="str" cm="1">
        <f t="array" ref="AC194">CalculerNouvelleDate(M194,AB194)</f>
        <v/>
      </c>
      <c r="AD194" s="68" t="str" cm="1">
        <f t="array" ref="AD194">CalculerNouvelleDate(N194,AC194)</f>
        <v/>
      </c>
      <c r="AE194" s="68" t="str" cm="1">
        <f t="array" ref="AE194">CalculerNouvelleDate(O194,AD194)</f>
        <v/>
      </c>
      <c r="AF194" s="68" t="str" cm="1">
        <f t="array" ref="AF194">CalculerNouvelleDate(P194,AE194)</f>
        <v/>
      </c>
      <c r="AG194" s="68" t="str" cm="1">
        <f t="array" ref="AG194">CalculerNouvelleDate(Q194,AF194)</f>
        <v/>
      </c>
      <c r="AH194" s="68" t="str" cm="1">
        <f t="array" ref="AH194">CalculerNouvelleDate(R194,AG194)</f>
        <v/>
      </c>
      <c r="AI194" s="68" t="str" cm="1">
        <f t="array" ref="AI194">CalculerNouvelleDate(S194,AH194)</f>
        <v/>
      </c>
      <c r="AJ194" s="68" t="str" cm="1">
        <f t="array" ref="AJ194">CalculerNouvelleDate(T194,AI194)</f>
        <v/>
      </c>
      <c r="AK194" s="68" t="str" cm="1">
        <f t="array" ref="AK194">CalculerNouvelleDate(U194,AJ194)</f>
        <v/>
      </c>
      <c r="AL194" s="68" t="str" cm="1">
        <f t="array" ref="AL194">CalculerNouvelleDate(V194,AK194)</f>
        <v/>
      </c>
      <c r="AM194" s="83" t="str" cm="1">
        <f t="array" ref="AM194">CorrespondanceDAte(X194:AL194,D195)</f>
        <v>0</v>
      </c>
      <c r="AN194" s="1"/>
      <c r="AO194" s="1"/>
      <c r="AP194" s="1"/>
      <c r="AQ194" s="1"/>
      <c r="AR194" s="1"/>
      <c r="AS194" s="1"/>
      <c r="AT194" s="1"/>
      <c r="AU194" s="1"/>
      <c r="AV194" s="1"/>
      <c r="AW194" s="1"/>
      <c r="AX194" s="1"/>
      <c r="AY194" s="1"/>
      <c r="AZ194" s="1"/>
      <c r="BA194" s="1"/>
    </row>
    <row r="195" spans="1:53" x14ac:dyDescent="0.3">
      <c r="A195" s="1"/>
      <c r="B195" s="11"/>
      <c r="C195" s="1" t="s">
        <v>574</v>
      </c>
      <c r="D195" s="1"/>
      <c r="E195" s="1"/>
      <c r="F195" s="1"/>
      <c r="G195" s="1"/>
      <c r="H195" s="43"/>
      <c r="I195" s="46"/>
      <c r="J195" s="46"/>
      <c r="K195" s="46"/>
      <c r="L195" s="46"/>
      <c r="M195" s="46"/>
      <c r="N195" s="46"/>
      <c r="O195" s="46"/>
      <c r="P195" s="46"/>
      <c r="Q195" s="46"/>
      <c r="R195" s="46"/>
      <c r="S195" s="46"/>
      <c r="T195" s="46"/>
      <c r="U195" s="46"/>
      <c r="V195" s="46"/>
      <c r="W195" s="62"/>
      <c r="X195" s="67"/>
      <c r="Y195" s="68" t="str" cm="1">
        <f t="array" ref="Y195">CalculerNouvelleDate(I195,X195)</f>
        <v/>
      </c>
      <c r="Z195" s="68" t="str" cm="1">
        <f t="array" ref="Z195">CalculerNouvelleDate(J195,Y195)</f>
        <v/>
      </c>
      <c r="AA195" s="68" t="str" cm="1">
        <f t="array" ref="AA195">CalculerNouvelleDate(K195,Z195)</f>
        <v/>
      </c>
      <c r="AB195" s="68" t="str" cm="1">
        <f t="array" ref="AB195">CalculerNouvelleDate(L195,AA195)</f>
        <v/>
      </c>
      <c r="AC195" s="68" t="str" cm="1">
        <f t="array" ref="AC195">CalculerNouvelleDate(M195,AB195)</f>
        <v/>
      </c>
      <c r="AD195" s="68" t="str" cm="1">
        <f t="array" ref="AD195">CalculerNouvelleDate(N195,AC195)</f>
        <v/>
      </c>
      <c r="AE195" s="68" t="str" cm="1">
        <f t="array" ref="AE195">CalculerNouvelleDate(O195,AD195)</f>
        <v/>
      </c>
      <c r="AF195" s="68" t="str" cm="1">
        <f t="array" ref="AF195">CalculerNouvelleDate(P195,AE195)</f>
        <v/>
      </c>
      <c r="AG195" s="68" t="str" cm="1">
        <f t="array" ref="AG195">CalculerNouvelleDate(Q195,AF195)</f>
        <v/>
      </c>
      <c r="AH195" s="68" t="str" cm="1">
        <f t="array" ref="AH195">CalculerNouvelleDate(R195,AG195)</f>
        <v/>
      </c>
      <c r="AI195" s="68" t="str" cm="1">
        <f t="array" ref="AI195">CalculerNouvelleDate(S195,AH195)</f>
        <v/>
      </c>
      <c r="AJ195" s="68" t="str" cm="1">
        <f t="array" ref="AJ195">CalculerNouvelleDate(T195,AI195)</f>
        <v/>
      </c>
      <c r="AK195" s="68" t="str" cm="1">
        <f t="array" ref="AK195">CalculerNouvelleDate(U195,AJ195)</f>
        <v/>
      </c>
      <c r="AL195" s="68" t="str" cm="1">
        <f t="array" ref="AL195">CalculerNouvelleDate(V195,AK195)</f>
        <v/>
      </c>
      <c r="AM195" s="83" t="str" cm="1">
        <f t="array" ref="AM195">CorrespondanceDAte(X195:AL195,D196)</f>
        <v>0</v>
      </c>
      <c r="AN195" s="1"/>
      <c r="AO195" s="1"/>
      <c r="AP195" s="1"/>
      <c r="AQ195" s="1"/>
      <c r="AR195" s="1"/>
      <c r="AS195" s="1"/>
      <c r="AT195" s="1"/>
      <c r="AU195" s="1"/>
      <c r="AV195" s="1"/>
      <c r="AW195" s="1"/>
      <c r="AX195" s="1"/>
      <c r="AY195" s="1"/>
      <c r="AZ195" s="1"/>
      <c r="BA195" s="1"/>
    </row>
    <row r="196" spans="1:53" x14ac:dyDescent="0.3">
      <c r="A196" s="1"/>
      <c r="B196" s="11"/>
      <c r="C196" s="1" t="s">
        <v>575</v>
      </c>
      <c r="D196" s="1"/>
      <c r="E196" s="1"/>
      <c r="F196" s="1"/>
      <c r="G196" s="1"/>
      <c r="H196" s="43"/>
      <c r="I196" s="46"/>
      <c r="J196" s="46"/>
      <c r="K196" s="46"/>
      <c r="L196" s="46"/>
      <c r="M196" s="46"/>
      <c r="N196" s="46"/>
      <c r="O196" s="46"/>
      <c r="P196" s="46"/>
      <c r="Q196" s="46"/>
      <c r="R196" s="46"/>
      <c r="S196" s="46"/>
      <c r="T196" s="46"/>
      <c r="U196" s="46"/>
      <c r="V196" s="46"/>
      <c r="W196" s="62"/>
      <c r="X196" s="67"/>
      <c r="Y196" s="68" t="str" cm="1">
        <f t="array" ref="Y196">CalculerNouvelleDate(I196,X196)</f>
        <v/>
      </c>
      <c r="Z196" s="68" t="str" cm="1">
        <f t="array" ref="Z196">CalculerNouvelleDate(J196,Y196)</f>
        <v/>
      </c>
      <c r="AA196" s="68" t="str" cm="1">
        <f t="array" ref="AA196">CalculerNouvelleDate(K196,Z196)</f>
        <v/>
      </c>
      <c r="AB196" s="68" t="str" cm="1">
        <f t="array" ref="AB196">CalculerNouvelleDate(L196,AA196)</f>
        <v/>
      </c>
      <c r="AC196" s="68" t="str" cm="1">
        <f t="array" ref="AC196">CalculerNouvelleDate(M196,AB196)</f>
        <v/>
      </c>
      <c r="AD196" s="68" t="str" cm="1">
        <f t="array" ref="AD196">CalculerNouvelleDate(N196,AC196)</f>
        <v/>
      </c>
      <c r="AE196" s="68" t="str" cm="1">
        <f t="array" ref="AE196">CalculerNouvelleDate(O196,AD196)</f>
        <v/>
      </c>
      <c r="AF196" s="68" t="str" cm="1">
        <f t="array" ref="AF196">CalculerNouvelleDate(P196,AE196)</f>
        <v/>
      </c>
      <c r="AG196" s="68" t="str" cm="1">
        <f t="array" ref="AG196">CalculerNouvelleDate(Q196,AF196)</f>
        <v/>
      </c>
      <c r="AH196" s="68" t="str" cm="1">
        <f t="array" ref="AH196">CalculerNouvelleDate(R196,AG196)</f>
        <v/>
      </c>
      <c r="AI196" s="68" t="str" cm="1">
        <f t="array" ref="AI196">CalculerNouvelleDate(S196,AH196)</f>
        <v/>
      </c>
      <c r="AJ196" s="68" t="str" cm="1">
        <f t="array" ref="AJ196">CalculerNouvelleDate(T196,AI196)</f>
        <v/>
      </c>
      <c r="AK196" s="68" t="str" cm="1">
        <f t="array" ref="AK196">CalculerNouvelleDate(U196,AJ196)</f>
        <v/>
      </c>
      <c r="AL196" s="68" t="str" cm="1">
        <f t="array" ref="AL196">CalculerNouvelleDate(V196,AK196)</f>
        <v/>
      </c>
      <c r="AM196" s="83" t="str" cm="1">
        <f t="array" ref="AM196">CorrespondanceDAte(X196:AL196,D197)</f>
        <v>0</v>
      </c>
      <c r="AN196" s="1"/>
      <c r="AO196" s="1"/>
      <c r="AP196" s="1"/>
      <c r="AQ196" s="1"/>
      <c r="AR196" s="1"/>
      <c r="AS196" s="1"/>
      <c r="AT196" s="1"/>
      <c r="AU196" s="1"/>
      <c r="AV196" s="1"/>
      <c r="AW196" s="1"/>
      <c r="AX196" s="1"/>
      <c r="AY196" s="1"/>
      <c r="AZ196" s="1"/>
      <c r="BA196" s="1"/>
    </row>
    <row r="197" spans="1:53" x14ac:dyDescent="0.3">
      <c r="A197" s="1"/>
      <c r="B197" s="11"/>
      <c r="C197" s="1"/>
      <c r="D197" s="1"/>
      <c r="E197" s="1"/>
      <c r="F197" s="1"/>
      <c r="G197" s="1"/>
      <c r="H197" s="43"/>
      <c r="I197" s="46"/>
      <c r="J197" s="46"/>
      <c r="K197" s="46"/>
      <c r="L197" s="46"/>
      <c r="M197" s="46"/>
      <c r="N197" s="46"/>
      <c r="O197" s="46"/>
      <c r="P197" s="46"/>
      <c r="Q197" s="46"/>
      <c r="R197" s="46"/>
      <c r="S197" s="46"/>
      <c r="T197" s="46"/>
      <c r="U197" s="46"/>
      <c r="V197" s="46"/>
      <c r="W197" s="62"/>
      <c r="X197" s="67"/>
      <c r="Y197" s="68" t="str" cm="1">
        <f t="array" ref="Y197">CalculerNouvelleDate(I197,X197)</f>
        <v/>
      </c>
      <c r="Z197" s="68" t="str" cm="1">
        <f t="array" ref="Z197">CalculerNouvelleDate(J197,Y197)</f>
        <v/>
      </c>
      <c r="AA197" s="68" t="str" cm="1">
        <f t="array" ref="AA197">CalculerNouvelleDate(K197,Z197)</f>
        <v/>
      </c>
      <c r="AB197" s="68" t="str" cm="1">
        <f t="array" ref="AB197">CalculerNouvelleDate(L197,AA197)</f>
        <v/>
      </c>
      <c r="AC197" s="68" t="str" cm="1">
        <f t="array" ref="AC197">CalculerNouvelleDate(M197,AB197)</f>
        <v/>
      </c>
      <c r="AD197" s="68" t="str" cm="1">
        <f t="array" ref="AD197">CalculerNouvelleDate(N197,AC197)</f>
        <v/>
      </c>
      <c r="AE197" s="68" t="str" cm="1">
        <f t="array" ref="AE197">CalculerNouvelleDate(O197,AD197)</f>
        <v/>
      </c>
      <c r="AF197" s="68" t="str" cm="1">
        <f t="array" ref="AF197">CalculerNouvelleDate(P197,AE197)</f>
        <v/>
      </c>
      <c r="AG197" s="68" t="str" cm="1">
        <f t="array" ref="AG197">CalculerNouvelleDate(Q197,AF197)</f>
        <v/>
      </c>
      <c r="AH197" s="68" t="str" cm="1">
        <f t="array" ref="AH197">CalculerNouvelleDate(R197,AG197)</f>
        <v/>
      </c>
      <c r="AI197" s="68" t="str" cm="1">
        <f t="array" ref="AI197">CalculerNouvelleDate(S197,AH197)</f>
        <v/>
      </c>
      <c r="AJ197" s="68" t="str" cm="1">
        <f t="array" ref="AJ197">CalculerNouvelleDate(T197,AI197)</f>
        <v/>
      </c>
      <c r="AK197" s="68" t="str" cm="1">
        <f t="array" ref="AK197">CalculerNouvelleDate(U197,AJ197)</f>
        <v/>
      </c>
      <c r="AL197" s="68" t="str" cm="1">
        <f t="array" ref="AL197">CalculerNouvelleDate(V197,AK197)</f>
        <v/>
      </c>
      <c r="AM197" s="83" t="str" cm="1">
        <f t="array" ref="AM197">CorrespondanceDAte(X197:AL197,D198)</f>
        <v>0</v>
      </c>
      <c r="AN197" s="1"/>
      <c r="AO197" s="1"/>
      <c r="AP197" s="1"/>
      <c r="AQ197" s="1"/>
      <c r="AR197" s="1"/>
      <c r="AS197" s="1"/>
      <c r="AT197" s="1"/>
      <c r="AU197" s="1"/>
      <c r="AV197" s="1"/>
      <c r="AW197" s="1"/>
      <c r="AX197" s="1"/>
      <c r="AY197" s="1"/>
      <c r="AZ197" s="1"/>
      <c r="BA197" s="1"/>
    </row>
    <row r="198" spans="1:53" x14ac:dyDescent="0.3">
      <c r="A198" s="20" t="s">
        <v>54</v>
      </c>
      <c r="B198" s="19"/>
      <c r="C198" s="19"/>
      <c r="D198" s="19"/>
      <c r="E198" s="19"/>
      <c r="F198" s="22"/>
      <c r="G198" s="22"/>
      <c r="H198" s="43"/>
      <c r="I198" s="1"/>
      <c r="J198" s="1"/>
      <c r="K198" s="1"/>
      <c r="L198" s="1"/>
      <c r="M198" s="1"/>
      <c r="N198" s="1"/>
      <c r="O198" s="1"/>
      <c r="P198" s="1"/>
      <c r="Q198" s="1"/>
      <c r="R198" s="1"/>
      <c r="S198" s="1"/>
      <c r="T198" s="1"/>
      <c r="U198" s="1"/>
      <c r="V198" s="1"/>
      <c r="W198" s="11"/>
      <c r="X198" s="67"/>
      <c r="Y198" s="68" t="str" cm="1">
        <f t="array" ref="Y198">CalculerNouvelleDate(I198,X198)</f>
        <v/>
      </c>
      <c r="Z198" s="68" t="str" cm="1">
        <f t="array" ref="Z198">CalculerNouvelleDate(J198,Y198)</f>
        <v/>
      </c>
      <c r="AA198" s="68" t="str" cm="1">
        <f t="array" ref="AA198">CalculerNouvelleDate(K198,Z198)</f>
        <v/>
      </c>
      <c r="AB198" s="68" t="str" cm="1">
        <f t="array" ref="AB198">CalculerNouvelleDate(L198,AA198)</f>
        <v/>
      </c>
      <c r="AC198" s="68" t="str" cm="1">
        <f t="array" ref="AC198">CalculerNouvelleDate(M198,AB198)</f>
        <v/>
      </c>
      <c r="AD198" s="68" t="str" cm="1">
        <f t="array" ref="AD198">CalculerNouvelleDate(N198,AC198)</f>
        <v/>
      </c>
      <c r="AE198" s="68" t="str" cm="1">
        <f t="array" ref="AE198">CalculerNouvelleDate(O198,AD198)</f>
        <v/>
      </c>
      <c r="AF198" s="68" t="str" cm="1">
        <f t="array" ref="AF198">CalculerNouvelleDate(P198,AE198)</f>
        <v/>
      </c>
      <c r="AG198" s="68" t="str" cm="1">
        <f t="array" ref="AG198">CalculerNouvelleDate(Q198,AF198)</f>
        <v/>
      </c>
      <c r="AH198" s="68" t="str" cm="1">
        <f t="array" ref="AH198">CalculerNouvelleDate(R198,AG198)</f>
        <v/>
      </c>
      <c r="AI198" s="68" t="str" cm="1">
        <f t="array" ref="AI198">CalculerNouvelleDate(S198,AH198)</f>
        <v/>
      </c>
      <c r="AJ198" s="68" t="str" cm="1">
        <f t="array" ref="AJ198">CalculerNouvelleDate(T198,AI198)</f>
        <v/>
      </c>
      <c r="AK198" s="68" t="str" cm="1">
        <f t="array" ref="AK198">CalculerNouvelleDate(U198,AJ198)</f>
        <v/>
      </c>
      <c r="AL198" s="68" t="str" cm="1">
        <f t="array" ref="AL198">CalculerNouvelleDate(V198,AK198)</f>
        <v/>
      </c>
      <c r="AM198" s="83" t="str" cm="1">
        <f t="array" ref="AM198">CorrespondanceDAte(X198:AL198,D199)</f>
        <v>0</v>
      </c>
      <c r="AN198" s="1"/>
      <c r="AO198" s="1"/>
      <c r="AP198" s="1"/>
      <c r="AQ198" s="1"/>
      <c r="AR198" s="1"/>
      <c r="AS198" s="1"/>
      <c r="AT198" s="1"/>
      <c r="AU198" s="1"/>
      <c r="AV198" s="1"/>
      <c r="AW198" s="1"/>
      <c r="AX198" s="1"/>
      <c r="AY198" s="1"/>
      <c r="AZ198" s="1"/>
      <c r="BA198" s="1"/>
    </row>
    <row r="199" spans="1:53" x14ac:dyDescent="0.3">
      <c r="A199" s="1"/>
      <c r="B199" s="11">
        <v>1</v>
      </c>
      <c r="C199" s="1" t="s">
        <v>55</v>
      </c>
      <c r="D199" s="1"/>
      <c r="E199" s="1"/>
      <c r="F199" s="1"/>
      <c r="G199" s="1"/>
      <c r="H199" s="43"/>
      <c r="I199" s="1"/>
      <c r="J199" s="1"/>
      <c r="K199" s="1"/>
      <c r="L199" s="1"/>
      <c r="M199" s="1"/>
      <c r="N199" s="1"/>
      <c r="O199" s="1"/>
      <c r="P199" s="1"/>
      <c r="Q199" s="1"/>
      <c r="R199" s="1"/>
      <c r="S199" s="1"/>
      <c r="T199" s="1"/>
      <c r="U199" s="1"/>
      <c r="V199" s="1"/>
      <c r="W199" s="11"/>
      <c r="X199" s="67"/>
      <c r="Y199" s="68" t="str" cm="1">
        <f t="array" ref="Y199">CalculerNouvelleDate(I199,X199)</f>
        <v/>
      </c>
      <c r="Z199" s="68" t="str" cm="1">
        <f t="array" ref="Z199">CalculerNouvelleDate(J199,Y199)</f>
        <v/>
      </c>
      <c r="AA199" s="68" t="str" cm="1">
        <f t="array" ref="AA199">CalculerNouvelleDate(K199,Z199)</f>
        <v/>
      </c>
      <c r="AB199" s="68" t="str" cm="1">
        <f t="array" ref="AB199">CalculerNouvelleDate(L199,AA199)</f>
        <v/>
      </c>
      <c r="AC199" s="68" t="str" cm="1">
        <f t="array" ref="AC199">CalculerNouvelleDate(M199,AB199)</f>
        <v/>
      </c>
      <c r="AD199" s="68" t="str" cm="1">
        <f t="array" ref="AD199">CalculerNouvelleDate(N199,AC199)</f>
        <v/>
      </c>
      <c r="AE199" s="68" t="str" cm="1">
        <f t="array" ref="AE199">CalculerNouvelleDate(O199,AD199)</f>
        <v/>
      </c>
      <c r="AF199" s="68" t="str" cm="1">
        <f t="array" ref="AF199">CalculerNouvelleDate(P199,AE199)</f>
        <v/>
      </c>
      <c r="AG199" s="68" t="str" cm="1">
        <f t="array" ref="AG199">CalculerNouvelleDate(Q199,AF199)</f>
        <v/>
      </c>
      <c r="AH199" s="68" t="str" cm="1">
        <f t="array" ref="AH199">CalculerNouvelleDate(R199,AG199)</f>
        <v/>
      </c>
      <c r="AI199" s="68" t="str" cm="1">
        <f t="array" ref="AI199">CalculerNouvelleDate(S199,AH199)</f>
        <v/>
      </c>
      <c r="AJ199" s="68" t="str" cm="1">
        <f t="array" ref="AJ199">CalculerNouvelleDate(T199,AI199)</f>
        <v/>
      </c>
      <c r="AK199" s="68" t="str" cm="1">
        <f t="array" ref="AK199">CalculerNouvelleDate(U199,AJ199)</f>
        <v/>
      </c>
      <c r="AL199" s="68" t="str" cm="1">
        <f t="array" ref="AL199">CalculerNouvelleDate(V199,AK199)</f>
        <v/>
      </c>
      <c r="AM199" s="83" t="str" cm="1">
        <f t="array" ref="AM199">CorrespondanceDAte(X199:AL199,D200)</f>
        <v>0</v>
      </c>
      <c r="AN199" s="1"/>
      <c r="AO199" s="1"/>
      <c r="AP199" s="1"/>
      <c r="AQ199" s="1"/>
      <c r="AR199" s="1"/>
      <c r="AS199" s="1"/>
      <c r="AT199" s="1"/>
      <c r="AU199" s="1"/>
      <c r="AV199" s="1"/>
      <c r="AW199" s="1"/>
      <c r="AX199" s="1"/>
      <c r="AY199" s="1"/>
      <c r="AZ199" s="1"/>
      <c r="BA199" s="1"/>
    </row>
    <row r="200" spans="1:53" x14ac:dyDescent="0.3">
      <c r="A200" s="1"/>
      <c r="B200" s="11"/>
      <c r="C200" s="69" t="s">
        <v>531</v>
      </c>
      <c r="D200" s="1"/>
      <c r="E200" s="1"/>
      <c r="F200" s="1"/>
      <c r="G200" s="1"/>
      <c r="H200" s="43"/>
      <c r="I200" s="46"/>
      <c r="J200" s="46"/>
      <c r="K200" s="46"/>
      <c r="L200" s="46"/>
      <c r="M200" s="46"/>
      <c r="N200" s="46"/>
      <c r="O200" s="46"/>
      <c r="P200" s="46"/>
      <c r="Q200" s="46"/>
      <c r="R200" s="46"/>
      <c r="S200" s="46"/>
      <c r="T200" s="46"/>
      <c r="U200" s="46"/>
      <c r="V200" s="46"/>
      <c r="W200" s="62"/>
      <c r="X200" s="67"/>
      <c r="Y200" s="68" t="str" cm="1">
        <f t="array" ref="Y200">CalculerNouvelleDate(I200,X200)</f>
        <v/>
      </c>
      <c r="Z200" s="68" t="str" cm="1">
        <f t="array" ref="Z200">CalculerNouvelleDate(J200,Y200)</f>
        <v/>
      </c>
      <c r="AA200" s="68" t="str" cm="1">
        <f t="array" ref="AA200">CalculerNouvelleDate(K200,Z200)</f>
        <v/>
      </c>
      <c r="AB200" s="68" t="str" cm="1">
        <f t="array" ref="AB200">CalculerNouvelleDate(L200,AA200)</f>
        <v/>
      </c>
      <c r="AC200" s="68" t="str" cm="1">
        <f t="array" ref="AC200">CalculerNouvelleDate(M200,AB200)</f>
        <v/>
      </c>
      <c r="AD200" s="68" t="str" cm="1">
        <f t="array" ref="AD200">CalculerNouvelleDate(N200,AC200)</f>
        <v/>
      </c>
      <c r="AE200" s="68" t="str" cm="1">
        <f t="array" ref="AE200">CalculerNouvelleDate(O200,AD200)</f>
        <v/>
      </c>
      <c r="AF200" s="68" t="str" cm="1">
        <f t="array" ref="AF200">CalculerNouvelleDate(P200,AE200)</f>
        <v/>
      </c>
      <c r="AG200" s="68" t="str" cm="1">
        <f t="array" ref="AG200">CalculerNouvelleDate(Q200,AF200)</f>
        <v/>
      </c>
      <c r="AH200" s="68" t="str" cm="1">
        <f t="array" ref="AH200">CalculerNouvelleDate(R200,AG200)</f>
        <v/>
      </c>
      <c r="AI200" s="68" t="str" cm="1">
        <f t="array" ref="AI200">CalculerNouvelleDate(S200,AH200)</f>
        <v/>
      </c>
      <c r="AJ200" s="68" t="str" cm="1">
        <f t="array" ref="AJ200">CalculerNouvelleDate(T200,AI200)</f>
        <v/>
      </c>
      <c r="AK200" s="68" t="str" cm="1">
        <f t="array" ref="AK200">CalculerNouvelleDate(U200,AJ200)</f>
        <v/>
      </c>
      <c r="AL200" s="68" t="str" cm="1">
        <f t="array" ref="AL200">CalculerNouvelleDate(V200,AK200)</f>
        <v/>
      </c>
      <c r="AM200" s="83" t="str" cm="1">
        <f t="array" ref="AM200">CorrespondanceDAte(X200:AL200,D201)</f>
        <v>0</v>
      </c>
      <c r="AN200" s="1"/>
      <c r="AO200" s="1"/>
      <c r="AP200" s="1"/>
      <c r="AQ200" s="1"/>
      <c r="AR200" s="1"/>
      <c r="AS200" s="1"/>
      <c r="AT200" s="1"/>
      <c r="AU200" s="1"/>
      <c r="AV200" s="1"/>
      <c r="AW200" s="1"/>
      <c r="AX200" s="1"/>
      <c r="AY200" s="1"/>
      <c r="AZ200" s="1"/>
      <c r="BA200" s="1"/>
    </row>
    <row r="201" spans="1:53" x14ac:dyDescent="0.3">
      <c r="A201" s="1"/>
      <c r="B201" s="11"/>
      <c r="C201" s="69" t="s">
        <v>534</v>
      </c>
      <c r="D201" s="1"/>
      <c r="E201" s="1"/>
      <c r="F201" s="1"/>
      <c r="G201" s="1"/>
      <c r="H201" s="43"/>
      <c r="I201" s="46"/>
      <c r="J201" s="46"/>
      <c r="K201" s="46"/>
      <c r="L201" s="46"/>
      <c r="M201" s="46"/>
      <c r="N201" s="46"/>
      <c r="O201" s="46"/>
      <c r="P201" s="46"/>
      <c r="Q201" s="46"/>
      <c r="R201" s="46"/>
      <c r="S201" s="46"/>
      <c r="T201" s="46"/>
      <c r="U201" s="46"/>
      <c r="V201" s="46"/>
      <c r="W201" s="62"/>
      <c r="X201" s="67"/>
      <c r="Y201" s="68" t="str" cm="1">
        <f t="array" ref="Y201">CalculerNouvelleDate(I201,X201)</f>
        <v/>
      </c>
      <c r="Z201" s="68" t="str" cm="1">
        <f t="array" ref="Z201">CalculerNouvelleDate(J201,Y201)</f>
        <v/>
      </c>
      <c r="AA201" s="68" t="str" cm="1">
        <f t="array" ref="AA201">CalculerNouvelleDate(K201,Z201)</f>
        <v/>
      </c>
      <c r="AB201" s="68" t="str" cm="1">
        <f t="array" ref="AB201">CalculerNouvelleDate(L201,AA201)</f>
        <v/>
      </c>
      <c r="AC201" s="68" t="str" cm="1">
        <f t="array" ref="AC201">CalculerNouvelleDate(M201,AB201)</f>
        <v/>
      </c>
      <c r="AD201" s="68" t="str" cm="1">
        <f t="array" ref="AD201">CalculerNouvelleDate(N201,AC201)</f>
        <v/>
      </c>
      <c r="AE201" s="68" t="str" cm="1">
        <f t="array" ref="AE201">CalculerNouvelleDate(O201,AD201)</f>
        <v/>
      </c>
      <c r="AF201" s="68" t="str" cm="1">
        <f t="array" ref="AF201">CalculerNouvelleDate(P201,AE201)</f>
        <v/>
      </c>
      <c r="AG201" s="68" t="str" cm="1">
        <f t="array" ref="AG201">CalculerNouvelleDate(Q201,AF201)</f>
        <v/>
      </c>
      <c r="AH201" s="68" t="str" cm="1">
        <f t="array" ref="AH201">CalculerNouvelleDate(R201,AG201)</f>
        <v/>
      </c>
      <c r="AI201" s="68" t="str" cm="1">
        <f t="array" ref="AI201">CalculerNouvelleDate(S201,AH201)</f>
        <v/>
      </c>
      <c r="AJ201" s="68" t="str" cm="1">
        <f t="array" ref="AJ201">CalculerNouvelleDate(T201,AI201)</f>
        <v/>
      </c>
      <c r="AK201" s="68" t="str" cm="1">
        <f t="array" ref="AK201">CalculerNouvelleDate(U201,AJ201)</f>
        <v/>
      </c>
      <c r="AL201" s="68" t="str" cm="1">
        <f t="array" ref="AL201">CalculerNouvelleDate(V201,AK201)</f>
        <v/>
      </c>
      <c r="AM201" s="83" t="str" cm="1">
        <f t="array" ref="AM201">CorrespondanceDAte(X201:AL201,D202)</f>
        <v>0</v>
      </c>
      <c r="AN201" s="1"/>
      <c r="AO201" s="1"/>
      <c r="AP201" s="1"/>
      <c r="AQ201" s="1"/>
      <c r="AR201" s="1"/>
      <c r="AS201" s="1"/>
      <c r="AT201" s="1"/>
      <c r="AU201" s="1"/>
      <c r="AV201" s="1"/>
      <c r="AW201" s="1"/>
      <c r="AX201" s="1"/>
      <c r="AY201" s="1"/>
      <c r="AZ201" s="1"/>
      <c r="BA201" s="1"/>
    </row>
    <row r="202" spans="1:53" x14ac:dyDescent="0.3">
      <c r="A202" s="1"/>
      <c r="B202" s="11"/>
      <c r="C202" s="69" t="s">
        <v>538</v>
      </c>
      <c r="D202" s="1"/>
      <c r="E202" s="1"/>
      <c r="F202" s="1"/>
      <c r="G202" s="1"/>
      <c r="H202" s="43"/>
      <c r="I202" s="46"/>
      <c r="J202" s="46"/>
      <c r="K202" s="46"/>
      <c r="L202" s="46"/>
      <c r="M202" s="46"/>
      <c r="N202" s="46"/>
      <c r="O202" s="46"/>
      <c r="P202" s="46"/>
      <c r="Q202" s="46"/>
      <c r="R202" s="46"/>
      <c r="S202" s="46"/>
      <c r="T202" s="46"/>
      <c r="U202" s="46"/>
      <c r="V202" s="46"/>
      <c r="W202" s="62"/>
      <c r="X202" s="67"/>
      <c r="Y202" s="68" t="str" cm="1">
        <f t="array" ref="Y202">CalculerNouvelleDate(I202,X202)</f>
        <v/>
      </c>
      <c r="Z202" s="68" t="str" cm="1">
        <f t="array" ref="Z202">CalculerNouvelleDate(J202,Y202)</f>
        <v/>
      </c>
      <c r="AA202" s="68" t="str" cm="1">
        <f t="array" ref="AA202">CalculerNouvelleDate(K202,Z202)</f>
        <v/>
      </c>
      <c r="AB202" s="68" t="str" cm="1">
        <f t="array" ref="AB202">CalculerNouvelleDate(L202,AA202)</f>
        <v/>
      </c>
      <c r="AC202" s="68" t="str" cm="1">
        <f t="array" ref="AC202">CalculerNouvelleDate(M202,AB202)</f>
        <v/>
      </c>
      <c r="AD202" s="68" t="str" cm="1">
        <f t="array" ref="AD202">CalculerNouvelleDate(N202,AC202)</f>
        <v/>
      </c>
      <c r="AE202" s="68" t="str" cm="1">
        <f t="array" ref="AE202">CalculerNouvelleDate(O202,AD202)</f>
        <v/>
      </c>
      <c r="AF202" s="68" t="str" cm="1">
        <f t="array" ref="AF202">CalculerNouvelleDate(P202,AE202)</f>
        <v/>
      </c>
      <c r="AG202" s="68" t="str" cm="1">
        <f t="array" ref="AG202">CalculerNouvelleDate(Q202,AF202)</f>
        <v/>
      </c>
      <c r="AH202" s="68" t="str" cm="1">
        <f t="array" ref="AH202">CalculerNouvelleDate(R202,AG202)</f>
        <v/>
      </c>
      <c r="AI202" s="68" t="str" cm="1">
        <f t="array" ref="AI202">CalculerNouvelleDate(S202,AH202)</f>
        <v/>
      </c>
      <c r="AJ202" s="68" t="str" cm="1">
        <f t="array" ref="AJ202">CalculerNouvelleDate(T202,AI202)</f>
        <v/>
      </c>
      <c r="AK202" s="68" t="str" cm="1">
        <f t="array" ref="AK202">CalculerNouvelleDate(U202,AJ202)</f>
        <v/>
      </c>
      <c r="AL202" s="68" t="str" cm="1">
        <f t="array" ref="AL202">CalculerNouvelleDate(V202,AK202)</f>
        <v/>
      </c>
      <c r="AM202" s="83" t="str" cm="1">
        <f t="array" ref="AM202">CorrespondanceDAte(X202:AL202,D203)</f>
        <v>0</v>
      </c>
      <c r="AN202" s="1"/>
      <c r="AO202" s="1"/>
      <c r="AP202" s="1"/>
      <c r="AQ202" s="1"/>
      <c r="AR202" s="1"/>
      <c r="AS202" s="1"/>
      <c r="AT202" s="1"/>
      <c r="AU202" s="1"/>
      <c r="AV202" s="1"/>
      <c r="AW202" s="1"/>
      <c r="AX202" s="1"/>
      <c r="AY202" s="1"/>
      <c r="AZ202" s="1"/>
      <c r="BA202" s="1"/>
    </row>
    <row r="203" spans="1:53" x14ac:dyDescent="0.3">
      <c r="A203" s="1"/>
      <c r="B203" s="11"/>
      <c r="C203" s="69" t="s">
        <v>539</v>
      </c>
      <c r="D203" s="1"/>
      <c r="E203" s="1"/>
      <c r="F203" s="1"/>
      <c r="G203" s="1"/>
      <c r="H203" s="43"/>
      <c r="I203" s="46"/>
      <c r="J203" s="46"/>
      <c r="K203" s="46"/>
      <c r="L203" s="46"/>
      <c r="M203" s="46"/>
      <c r="N203" s="46"/>
      <c r="O203" s="46"/>
      <c r="P203" s="46"/>
      <c r="Q203" s="46"/>
      <c r="R203" s="46"/>
      <c r="S203" s="46"/>
      <c r="T203" s="46"/>
      <c r="U203" s="46"/>
      <c r="V203" s="46"/>
      <c r="W203" s="62"/>
      <c r="X203" s="67"/>
      <c r="Y203" s="68" t="str" cm="1">
        <f t="array" ref="Y203">CalculerNouvelleDate(I203,X203)</f>
        <v/>
      </c>
      <c r="Z203" s="68" t="str" cm="1">
        <f t="array" ref="Z203">CalculerNouvelleDate(J203,Y203)</f>
        <v/>
      </c>
      <c r="AA203" s="68" t="str" cm="1">
        <f t="array" ref="AA203">CalculerNouvelleDate(K203,Z203)</f>
        <v/>
      </c>
      <c r="AB203" s="68" t="str" cm="1">
        <f t="array" ref="AB203">CalculerNouvelleDate(L203,AA203)</f>
        <v/>
      </c>
      <c r="AC203" s="68" t="str" cm="1">
        <f t="array" ref="AC203">CalculerNouvelleDate(M203,AB203)</f>
        <v/>
      </c>
      <c r="AD203" s="68" t="str" cm="1">
        <f t="array" ref="AD203">CalculerNouvelleDate(N203,AC203)</f>
        <v/>
      </c>
      <c r="AE203" s="68" t="str" cm="1">
        <f t="array" ref="AE203">CalculerNouvelleDate(O203,AD203)</f>
        <v/>
      </c>
      <c r="AF203" s="68" t="str" cm="1">
        <f t="array" ref="AF203">CalculerNouvelleDate(P203,AE203)</f>
        <v/>
      </c>
      <c r="AG203" s="68" t="str" cm="1">
        <f t="array" ref="AG203">CalculerNouvelleDate(Q203,AF203)</f>
        <v/>
      </c>
      <c r="AH203" s="68" t="str" cm="1">
        <f t="array" ref="AH203">CalculerNouvelleDate(R203,AG203)</f>
        <v/>
      </c>
      <c r="AI203" s="68" t="str" cm="1">
        <f t="array" ref="AI203">CalculerNouvelleDate(S203,AH203)</f>
        <v/>
      </c>
      <c r="AJ203" s="68" t="str" cm="1">
        <f t="array" ref="AJ203">CalculerNouvelleDate(T203,AI203)</f>
        <v/>
      </c>
      <c r="AK203" s="68" t="str" cm="1">
        <f t="array" ref="AK203">CalculerNouvelleDate(U203,AJ203)</f>
        <v/>
      </c>
      <c r="AL203" s="68" t="str" cm="1">
        <f t="array" ref="AL203">CalculerNouvelleDate(V203,AK203)</f>
        <v/>
      </c>
      <c r="AM203" s="83" t="str" cm="1">
        <f t="array" ref="AM203">CorrespondanceDAte(X203:AL203,D204)</f>
        <v>0</v>
      </c>
      <c r="AN203" s="1"/>
      <c r="AO203" s="1"/>
      <c r="AP203" s="1"/>
      <c r="AQ203" s="1"/>
      <c r="AR203" s="1"/>
      <c r="AS203" s="1"/>
      <c r="AT203" s="1"/>
      <c r="AU203" s="1"/>
      <c r="AV203" s="1"/>
      <c r="AW203" s="1"/>
      <c r="AX203" s="1"/>
      <c r="AY203" s="1"/>
      <c r="AZ203" s="1"/>
      <c r="BA203" s="1"/>
    </row>
    <row r="204" spans="1:53" x14ac:dyDescent="0.3">
      <c r="A204" s="1"/>
      <c r="B204" s="11">
        <v>2</v>
      </c>
      <c r="C204" s="1" t="s">
        <v>56</v>
      </c>
      <c r="D204" s="1"/>
      <c r="E204" s="1"/>
      <c r="F204" s="1"/>
      <c r="G204" s="1"/>
      <c r="H204" s="43"/>
      <c r="I204" s="1"/>
      <c r="J204" s="1"/>
      <c r="K204" s="1"/>
      <c r="L204" s="1"/>
      <c r="M204" s="1"/>
      <c r="N204" s="1"/>
      <c r="O204" s="1"/>
      <c r="P204" s="1"/>
      <c r="Q204" s="1"/>
      <c r="R204" s="1"/>
      <c r="S204" s="1"/>
      <c r="T204" s="1"/>
      <c r="U204" s="1"/>
      <c r="V204" s="1"/>
      <c r="W204" s="11"/>
      <c r="X204" s="67"/>
      <c r="Y204" s="68" t="str" cm="1">
        <f t="array" ref="Y204">CalculerNouvelleDate(I204,X204)</f>
        <v/>
      </c>
      <c r="Z204" s="68" t="str" cm="1">
        <f t="array" ref="Z204">CalculerNouvelleDate(J204,Y204)</f>
        <v/>
      </c>
      <c r="AA204" s="68" t="str" cm="1">
        <f t="array" ref="AA204">CalculerNouvelleDate(K204,Z204)</f>
        <v/>
      </c>
      <c r="AB204" s="68" t="str" cm="1">
        <f t="array" ref="AB204">CalculerNouvelleDate(L204,AA204)</f>
        <v/>
      </c>
      <c r="AC204" s="68" t="str" cm="1">
        <f t="array" ref="AC204">CalculerNouvelleDate(M204,AB204)</f>
        <v/>
      </c>
      <c r="AD204" s="68" t="str" cm="1">
        <f t="array" ref="AD204">CalculerNouvelleDate(N204,AC204)</f>
        <v/>
      </c>
      <c r="AE204" s="68" t="str" cm="1">
        <f t="array" ref="AE204">CalculerNouvelleDate(O204,AD204)</f>
        <v/>
      </c>
      <c r="AF204" s="68" t="str" cm="1">
        <f t="array" ref="AF204">CalculerNouvelleDate(P204,AE204)</f>
        <v/>
      </c>
      <c r="AG204" s="68" t="str" cm="1">
        <f t="array" ref="AG204">CalculerNouvelleDate(Q204,AF204)</f>
        <v/>
      </c>
      <c r="AH204" s="68" t="str" cm="1">
        <f t="array" ref="AH204">CalculerNouvelleDate(R204,AG204)</f>
        <v/>
      </c>
      <c r="AI204" s="68" t="str" cm="1">
        <f t="array" ref="AI204">CalculerNouvelleDate(S204,AH204)</f>
        <v/>
      </c>
      <c r="AJ204" s="68" t="str" cm="1">
        <f t="array" ref="AJ204">CalculerNouvelleDate(T204,AI204)</f>
        <v/>
      </c>
      <c r="AK204" s="68" t="str" cm="1">
        <f t="array" ref="AK204">CalculerNouvelleDate(U204,AJ204)</f>
        <v/>
      </c>
      <c r="AL204" s="68" t="str" cm="1">
        <f t="array" ref="AL204">CalculerNouvelleDate(V204,AK204)</f>
        <v/>
      </c>
      <c r="AM204" s="83" t="str" cm="1">
        <f t="array" ref="AM204">CorrespondanceDAte(X204:AL204,D205)</f>
        <v>0</v>
      </c>
      <c r="AN204" s="1"/>
      <c r="AO204" s="1"/>
      <c r="AP204" s="1"/>
      <c r="AQ204" s="1"/>
      <c r="AR204" s="1"/>
      <c r="AS204" s="1"/>
      <c r="AT204" s="1"/>
      <c r="AU204" s="1"/>
      <c r="AV204" s="1"/>
      <c r="AW204" s="1"/>
      <c r="AX204" s="1"/>
      <c r="AY204" s="1"/>
      <c r="AZ204" s="1"/>
      <c r="BA204" s="1"/>
    </row>
    <row r="205" spans="1:53" x14ac:dyDescent="0.3">
      <c r="A205" s="1"/>
      <c r="B205" s="11"/>
      <c r="C205" s="69" t="s">
        <v>533</v>
      </c>
      <c r="D205" s="1"/>
      <c r="E205" s="1"/>
      <c r="F205" s="1"/>
      <c r="G205" s="1"/>
      <c r="H205" s="43"/>
      <c r="I205" s="46"/>
      <c r="J205" s="46"/>
      <c r="K205" s="46"/>
      <c r="L205" s="46"/>
      <c r="M205" s="46"/>
      <c r="N205" s="46"/>
      <c r="O205" s="46"/>
      <c r="P205" s="46"/>
      <c r="Q205" s="46"/>
      <c r="R205" s="46"/>
      <c r="S205" s="46"/>
      <c r="T205" s="46"/>
      <c r="U205" s="46"/>
      <c r="V205" s="46"/>
      <c r="W205" s="62"/>
      <c r="X205" s="67"/>
      <c r="Y205" s="68" t="str" cm="1">
        <f t="array" ref="Y205">CalculerNouvelleDate(I205,X205)</f>
        <v/>
      </c>
      <c r="Z205" s="68" t="str" cm="1">
        <f t="array" ref="Z205">CalculerNouvelleDate(J205,Y205)</f>
        <v/>
      </c>
      <c r="AA205" s="68" t="str" cm="1">
        <f t="array" ref="AA205">CalculerNouvelleDate(K205,Z205)</f>
        <v/>
      </c>
      <c r="AB205" s="68" t="str" cm="1">
        <f t="array" ref="AB205">CalculerNouvelleDate(L205,AA205)</f>
        <v/>
      </c>
      <c r="AC205" s="68" t="str" cm="1">
        <f t="array" ref="AC205">CalculerNouvelleDate(M205,AB205)</f>
        <v/>
      </c>
      <c r="AD205" s="68" t="str" cm="1">
        <f t="array" ref="AD205">CalculerNouvelleDate(N205,AC205)</f>
        <v/>
      </c>
      <c r="AE205" s="68" t="str" cm="1">
        <f t="array" ref="AE205">CalculerNouvelleDate(O205,AD205)</f>
        <v/>
      </c>
      <c r="AF205" s="68" t="str" cm="1">
        <f t="array" ref="AF205">CalculerNouvelleDate(P205,AE205)</f>
        <v/>
      </c>
      <c r="AG205" s="68" t="str" cm="1">
        <f t="array" ref="AG205">CalculerNouvelleDate(Q205,AF205)</f>
        <v/>
      </c>
      <c r="AH205" s="68" t="str" cm="1">
        <f t="array" ref="AH205">CalculerNouvelleDate(R205,AG205)</f>
        <v/>
      </c>
      <c r="AI205" s="68" t="str" cm="1">
        <f t="array" ref="AI205">CalculerNouvelleDate(S205,AH205)</f>
        <v/>
      </c>
      <c r="AJ205" s="68" t="str" cm="1">
        <f t="array" ref="AJ205">CalculerNouvelleDate(T205,AI205)</f>
        <v/>
      </c>
      <c r="AK205" s="68" t="str" cm="1">
        <f t="array" ref="AK205">CalculerNouvelleDate(U205,AJ205)</f>
        <v/>
      </c>
      <c r="AL205" s="68" t="str" cm="1">
        <f t="array" ref="AL205">CalculerNouvelleDate(V205,AK205)</f>
        <v/>
      </c>
      <c r="AM205" s="83" t="str" cm="1">
        <f t="array" ref="AM205">CorrespondanceDAte(X205:AL205,D206)</f>
        <v>0</v>
      </c>
      <c r="AN205" s="1"/>
      <c r="AO205" s="1"/>
      <c r="AP205" s="1"/>
      <c r="AQ205" s="1"/>
      <c r="AR205" s="1"/>
      <c r="AS205" s="1"/>
      <c r="AT205" s="1"/>
      <c r="AU205" s="1"/>
      <c r="AV205" s="1"/>
      <c r="AW205" s="1"/>
      <c r="AX205" s="1"/>
      <c r="AY205" s="1"/>
      <c r="AZ205" s="1"/>
      <c r="BA205" s="1"/>
    </row>
    <row r="206" spans="1:53" x14ac:dyDescent="0.3">
      <c r="A206" s="1"/>
      <c r="B206" s="11"/>
      <c r="C206" s="69" t="s">
        <v>535</v>
      </c>
      <c r="D206" s="1"/>
      <c r="E206" s="1"/>
      <c r="F206" s="1"/>
      <c r="G206" s="1"/>
      <c r="H206" s="43"/>
      <c r="I206" s="46"/>
      <c r="J206" s="46"/>
      <c r="K206" s="46"/>
      <c r="L206" s="46"/>
      <c r="M206" s="46"/>
      <c r="N206" s="46"/>
      <c r="O206" s="46"/>
      <c r="P206" s="46"/>
      <c r="Q206" s="46"/>
      <c r="R206" s="46"/>
      <c r="S206" s="46"/>
      <c r="T206" s="46"/>
      <c r="U206" s="46"/>
      <c r="V206" s="46"/>
      <c r="W206" s="62"/>
      <c r="X206" s="67"/>
      <c r="Y206" s="68" t="str" cm="1">
        <f t="array" ref="Y206">CalculerNouvelleDate(I206,X206)</f>
        <v/>
      </c>
      <c r="Z206" s="68" t="str" cm="1">
        <f t="array" ref="Z206">CalculerNouvelleDate(J206,Y206)</f>
        <v/>
      </c>
      <c r="AA206" s="68" t="str" cm="1">
        <f t="array" ref="AA206">CalculerNouvelleDate(K206,Z206)</f>
        <v/>
      </c>
      <c r="AB206" s="68" t="str" cm="1">
        <f t="array" ref="AB206">CalculerNouvelleDate(L206,AA206)</f>
        <v/>
      </c>
      <c r="AC206" s="68" t="str" cm="1">
        <f t="array" ref="AC206">CalculerNouvelleDate(M206,AB206)</f>
        <v/>
      </c>
      <c r="AD206" s="68" t="str" cm="1">
        <f t="array" ref="AD206">CalculerNouvelleDate(N206,AC206)</f>
        <v/>
      </c>
      <c r="AE206" s="68" t="str" cm="1">
        <f t="array" ref="AE206">CalculerNouvelleDate(O206,AD206)</f>
        <v/>
      </c>
      <c r="AF206" s="68" t="str" cm="1">
        <f t="array" ref="AF206">CalculerNouvelleDate(P206,AE206)</f>
        <v/>
      </c>
      <c r="AG206" s="68" t="str" cm="1">
        <f t="array" ref="AG206">CalculerNouvelleDate(Q206,AF206)</f>
        <v/>
      </c>
      <c r="AH206" s="68" t="str" cm="1">
        <f t="array" ref="AH206">CalculerNouvelleDate(R206,AG206)</f>
        <v/>
      </c>
      <c r="AI206" s="68" t="str" cm="1">
        <f t="array" ref="AI206">CalculerNouvelleDate(S206,AH206)</f>
        <v/>
      </c>
      <c r="AJ206" s="68" t="str" cm="1">
        <f t="array" ref="AJ206">CalculerNouvelleDate(T206,AI206)</f>
        <v/>
      </c>
      <c r="AK206" s="68" t="str" cm="1">
        <f t="array" ref="AK206">CalculerNouvelleDate(U206,AJ206)</f>
        <v/>
      </c>
      <c r="AL206" s="68" t="str" cm="1">
        <f t="array" ref="AL206">CalculerNouvelleDate(V206,AK206)</f>
        <v/>
      </c>
      <c r="AM206" s="83" t="str" cm="1">
        <f t="array" ref="AM206">CorrespondanceDAte(X206:AL206,D207)</f>
        <v>0</v>
      </c>
      <c r="AN206" s="1"/>
      <c r="AO206" s="1"/>
      <c r="AP206" s="1"/>
      <c r="AQ206" s="1"/>
      <c r="AR206" s="1"/>
      <c r="AS206" s="1"/>
      <c r="AT206" s="1"/>
      <c r="AU206" s="1"/>
      <c r="AV206" s="1"/>
      <c r="AW206" s="1"/>
      <c r="AX206" s="1"/>
      <c r="AY206" s="1"/>
      <c r="AZ206" s="1"/>
      <c r="BA206" s="1"/>
    </row>
    <row r="207" spans="1:53" x14ac:dyDescent="0.3">
      <c r="A207" s="1"/>
      <c r="B207" s="11"/>
      <c r="C207" s="69" t="s">
        <v>545</v>
      </c>
      <c r="D207" s="1"/>
      <c r="E207" s="1"/>
      <c r="F207" s="1"/>
      <c r="G207" s="1"/>
      <c r="H207" s="43"/>
      <c r="I207" s="46"/>
      <c r="J207" s="46"/>
      <c r="K207" s="46"/>
      <c r="L207" s="46"/>
      <c r="M207" s="46"/>
      <c r="N207" s="46"/>
      <c r="O207" s="46"/>
      <c r="P207" s="46"/>
      <c r="Q207" s="46"/>
      <c r="R207" s="46"/>
      <c r="S207" s="46"/>
      <c r="T207" s="46"/>
      <c r="U207" s="46"/>
      <c r="V207" s="46"/>
      <c r="W207" s="62"/>
      <c r="X207" s="67"/>
      <c r="Y207" s="68" t="str" cm="1">
        <f t="array" ref="Y207">CalculerNouvelleDate(I207,X207)</f>
        <v/>
      </c>
      <c r="Z207" s="68" t="str" cm="1">
        <f t="array" ref="Z207">CalculerNouvelleDate(J207,Y207)</f>
        <v/>
      </c>
      <c r="AA207" s="68" t="str" cm="1">
        <f t="array" ref="AA207">CalculerNouvelleDate(K207,Z207)</f>
        <v/>
      </c>
      <c r="AB207" s="68" t="str" cm="1">
        <f t="array" ref="AB207">CalculerNouvelleDate(L207,AA207)</f>
        <v/>
      </c>
      <c r="AC207" s="68" t="str" cm="1">
        <f t="array" ref="AC207">CalculerNouvelleDate(M207,AB207)</f>
        <v/>
      </c>
      <c r="AD207" s="68" t="str" cm="1">
        <f t="array" ref="AD207">CalculerNouvelleDate(N207,AC207)</f>
        <v/>
      </c>
      <c r="AE207" s="68" t="str" cm="1">
        <f t="array" ref="AE207">CalculerNouvelleDate(O207,AD207)</f>
        <v/>
      </c>
      <c r="AF207" s="68" t="str" cm="1">
        <f t="array" ref="AF207">CalculerNouvelleDate(P207,AE207)</f>
        <v/>
      </c>
      <c r="AG207" s="68" t="str" cm="1">
        <f t="array" ref="AG207">CalculerNouvelleDate(Q207,AF207)</f>
        <v/>
      </c>
      <c r="AH207" s="68" t="str" cm="1">
        <f t="array" ref="AH207">CalculerNouvelleDate(R207,AG207)</f>
        <v/>
      </c>
      <c r="AI207" s="68" t="str" cm="1">
        <f t="array" ref="AI207">CalculerNouvelleDate(S207,AH207)</f>
        <v/>
      </c>
      <c r="AJ207" s="68" t="str" cm="1">
        <f t="array" ref="AJ207">CalculerNouvelleDate(T207,AI207)</f>
        <v/>
      </c>
      <c r="AK207" s="68" t="str" cm="1">
        <f t="array" ref="AK207">CalculerNouvelleDate(U207,AJ207)</f>
        <v/>
      </c>
      <c r="AL207" s="68" t="str" cm="1">
        <f t="array" ref="AL207">CalculerNouvelleDate(V207,AK207)</f>
        <v/>
      </c>
      <c r="AM207" s="83" t="str" cm="1">
        <f t="array" ref="AM207">CorrespondanceDAte(X207:AL207,D208)</f>
        <v>0</v>
      </c>
      <c r="AN207" s="1"/>
      <c r="AO207" s="1"/>
      <c r="AP207" s="1"/>
      <c r="AQ207" s="1"/>
      <c r="AR207" s="1"/>
      <c r="AS207" s="1"/>
      <c r="AT207" s="1"/>
      <c r="AU207" s="1"/>
      <c r="AV207" s="1"/>
      <c r="AW207" s="1"/>
      <c r="AX207" s="1"/>
      <c r="AY207" s="1"/>
      <c r="AZ207" s="1"/>
      <c r="BA207" s="1"/>
    </row>
    <row r="208" spans="1:53" x14ac:dyDescent="0.3">
      <c r="A208" s="1"/>
      <c r="B208" s="11"/>
      <c r="C208" s="69" t="s">
        <v>653</v>
      </c>
      <c r="D208" s="1"/>
      <c r="E208" s="1"/>
      <c r="F208" s="1"/>
      <c r="G208" s="1"/>
      <c r="H208" s="43"/>
      <c r="I208" s="46"/>
      <c r="J208" s="46"/>
      <c r="K208" s="46"/>
      <c r="L208" s="46"/>
      <c r="M208" s="46"/>
      <c r="N208" s="46"/>
      <c r="O208" s="46"/>
      <c r="P208" s="46"/>
      <c r="Q208" s="46"/>
      <c r="R208" s="46"/>
      <c r="S208" s="46"/>
      <c r="T208" s="46"/>
      <c r="U208" s="46"/>
      <c r="V208" s="46"/>
      <c r="W208" s="62"/>
      <c r="X208" s="67"/>
      <c r="Y208" s="68" t="str" cm="1">
        <f t="array" ref="Y208">CalculerNouvelleDate(I208,X208)</f>
        <v/>
      </c>
      <c r="Z208" s="68" t="str" cm="1">
        <f t="array" ref="Z208">CalculerNouvelleDate(J208,Y208)</f>
        <v/>
      </c>
      <c r="AA208" s="68" t="str" cm="1">
        <f t="array" ref="AA208">CalculerNouvelleDate(K208,Z208)</f>
        <v/>
      </c>
      <c r="AB208" s="68" t="str" cm="1">
        <f t="array" ref="AB208">CalculerNouvelleDate(L208,AA208)</f>
        <v/>
      </c>
      <c r="AC208" s="68" t="str" cm="1">
        <f t="array" ref="AC208">CalculerNouvelleDate(M208,AB208)</f>
        <v/>
      </c>
      <c r="AD208" s="68" t="str" cm="1">
        <f t="array" ref="AD208">CalculerNouvelleDate(N208,AC208)</f>
        <v/>
      </c>
      <c r="AE208" s="68" t="str" cm="1">
        <f t="array" ref="AE208">CalculerNouvelleDate(O208,AD208)</f>
        <v/>
      </c>
      <c r="AF208" s="68" t="str" cm="1">
        <f t="array" ref="AF208">CalculerNouvelleDate(P208,AE208)</f>
        <v/>
      </c>
      <c r="AG208" s="68" t="str" cm="1">
        <f t="array" ref="AG208">CalculerNouvelleDate(Q208,AF208)</f>
        <v/>
      </c>
      <c r="AH208" s="68" t="str" cm="1">
        <f t="array" ref="AH208">CalculerNouvelleDate(R208,AG208)</f>
        <v/>
      </c>
      <c r="AI208" s="68" t="str" cm="1">
        <f t="array" ref="AI208">CalculerNouvelleDate(S208,AH208)</f>
        <v/>
      </c>
      <c r="AJ208" s="68" t="str" cm="1">
        <f t="array" ref="AJ208">CalculerNouvelleDate(T208,AI208)</f>
        <v/>
      </c>
      <c r="AK208" s="68" t="str" cm="1">
        <f t="array" ref="AK208">CalculerNouvelleDate(U208,AJ208)</f>
        <v/>
      </c>
      <c r="AL208" s="68" t="str" cm="1">
        <f t="array" ref="AL208">CalculerNouvelleDate(V208,AK208)</f>
        <v/>
      </c>
      <c r="AM208" s="83" t="str" cm="1">
        <f t="array" ref="AM208">CorrespondanceDAte(X208:AL208,D209)</f>
        <v>0</v>
      </c>
      <c r="AN208" s="1"/>
      <c r="AO208" s="1"/>
      <c r="AP208" s="1"/>
      <c r="AQ208" s="1"/>
      <c r="AR208" s="1"/>
      <c r="AS208" s="1"/>
      <c r="AT208" s="1"/>
      <c r="AU208" s="1"/>
      <c r="AV208" s="1"/>
      <c r="AW208" s="1"/>
      <c r="AX208" s="1"/>
      <c r="AY208" s="1"/>
      <c r="AZ208" s="1"/>
      <c r="BA208" s="1"/>
    </row>
    <row r="209" spans="1:53" x14ac:dyDescent="0.3">
      <c r="A209" s="1"/>
      <c r="B209" s="11"/>
      <c r="C209" s="69" t="s">
        <v>654</v>
      </c>
      <c r="D209" s="1"/>
      <c r="E209" s="1"/>
      <c r="F209" s="1"/>
      <c r="G209" s="1"/>
      <c r="H209" s="43"/>
      <c r="I209" s="46"/>
      <c r="J209" s="46"/>
      <c r="K209" s="46"/>
      <c r="L209" s="46"/>
      <c r="M209" s="46"/>
      <c r="N209" s="46"/>
      <c r="O209" s="46"/>
      <c r="P209" s="46"/>
      <c r="Q209" s="46"/>
      <c r="R209" s="46"/>
      <c r="S209" s="46"/>
      <c r="T209" s="46"/>
      <c r="U209" s="46"/>
      <c r="V209" s="46"/>
      <c r="W209" s="62"/>
      <c r="X209" s="67"/>
      <c r="Y209" s="68" t="str" cm="1">
        <f t="array" ref="Y209">CalculerNouvelleDate(I209,X209)</f>
        <v/>
      </c>
      <c r="Z209" s="68" t="str" cm="1">
        <f t="array" ref="Z209">CalculerNouvelleDate(J209,Y209)</f>
        <v/>
      </c>
      <c r="AA209" s="68" t="str" cm="1">
        <f t="array" ref="AA209">CalculerNouvelleDate(K209,Z209)</f>
        <v/>
      </c>
      <c r="AB209" s="68" t="str" cm="1">
        <f t="array" ref="AB209">CalculerNouvelleDate(L209,AA209)</f>
        <v/>
      </c>
      <c r="AC209" s="68" t="str" cm="1">
        <f t="array" ref="AC209">CalculerNouvelleDate(M209,AB209)</f>
        <v/>
      </c>
      <c r="AD209" s="68" t="str" cm="1">
        <f t="array" ref="AD209">CalculerNouvelleDate(N209,AC209)</f>
        <v/>
      </c>
      <c r="AE209" s="68" t="str" cm="1">
        <f t="array" ref="AE209">CalculerNouvelleDate(O209,AD209)</f>
        <v/>
      </c>
      <c r="AF209" s="68" t="str" cm="1">
        <f t="array" ref="AF209">CalculerNouvelleDate(P209,AE209)</f>
        <v/>
      </c>
      <c r="AG209" s="68" t="str" cm="1">
        <f t="array" ref="AG209">CalculerNouvelleDate(Q209,AF209)</f>
        <v/>
      </c>
      <c r="AH209" s="68" t="str" cm="1">
        <f t="array" ref="AH209">CalculerNouvelleDate(R209,AG209)</f>
        <v/>
      </c>
      <c r="AI209" s="68" t="str" cm="1">
        <f t="array" ref="AI209">CalculerNouvelleDate(S209,AH209)</f>
        <v/>
      </c>
      <c r="AJ209" s="68" t="str" cm="1">
        <f t="array" ref="AJ209">CalculerNouvelleDate(T209,AI209)</f>
        <v/>
      </c>
      <c r="AK209" s="68" t="str" cm="1">
        <f t="array" ref="AK209">CalculerNouvelleDate(U209,AJ209)</f>
        <v/>
      </c>
      <c r="AL209" s="68" t="str" cm="1">
        <f t="array" ref="AL209">CalculerNouvelleDate(V209,AK209)</f>
        <v/>
      </c>
      <c r="AM209" s="83" t="str" cm="1">
        <f t="array" ref="AM209">CorrespondanceDAte(X209:AL209,D210)</f>
        <v>0</v>
      </c>
      <c r="AN209" s="1"/>
      <c r="AO209" s="1"/>
      <c r="AP209" s="1"/>
      <c r="AQ209" s="1"/>
      <c r="AR209" s="1"/>
      <c r="AS209" s="1"/>
      <c r="AT209" s="1"/>
      <c r="AU209" s="1"/>
      <c r="AV209" s="1"/>
      <c r="AW209" s="1"/>
      <c r="AX209" s="1"/>
      <c r="AY209" s="1"/>
      <c r="AZ209" s="1"/>
      <c r="BA209" s="1"/>
    </row>
    <row r="210" spans="1:53" x14ac:dyDescent="0.3">
      <c r="A210" s="1"/>
      <c r="B210" s="11"/>
      <c r="C210" s="69" t="s">
        <v>655</v>
      </c>
      <c r="D210" s="1"/>
      <c r="E210" s="1"/>
      <c r="F210" s="1"/>
      <c r="G210" s="1"/>
      <c r="H210" s="43"/>
      <c r="I210" s="46"/>
      <c r="J210" s="46"/>
      <c r="K210" s="46"/>
      <c r="L210" s="46"/>
      <c r="M210" s="46"/>
      <c r="N210" s="46"/>
      <c r="O210" s="46"/>
      <c r="P210" s="46"/>
      <c r="Q210" s="46"/>
      <c r="R210" s="46"/>
      <c r="S210" s="46"/>
      <c r="T210" s="46"/>
      <c r="U210" s="46"/>
      <c r="V210" s="46"/>
      <c r="W210" s="62"/>
      <c r="X210" s="67"/>
      <c r="Y210" s="68" t="str" cm="1">
        <f t="array" ref="Y210">CalculerNouvelleDate(I210,X210)</f>
        <v/>
      </c>
      <c r="Z210" s="68" t="str" cm="1">
        <f t="array" ref="Z210">CalculerNouvelleDate(J210,Y210)</f>
        <v/>
      </c>
      <c r="AA210" s="68" t="str" cm="1">
        <f t="array" ref="AA210">CalculerNouvelleDate(K210,Z210)</f>
        <v/>
      </c>
      <c r="AB210" s="68" t="str" cm="1">
        <f t="array" ref="AB210">CalculerNouvelleDate(L210,AA210)</f>
        <v/>
      </c>
      <c r="AC210" s="68" t="str" cm="1">
        <f t="array" ref="AC210">CalculerNouvelleDate(M210,AB210)</f>
        <v/>
      </c>
      <c r="AD210" s="68" t="str" cm="1">
        <f t="array" ref="AD210">CalculerNouvelleDate(N210,AC210)</f>
        <v/>
      </c>
      <c r="AE210" s="68" t="str" cm="1">
        <f t="array" ref="AE210">CalculerNouvelleDate(O210,AD210)</f>
        <v/>
      </c>
      <c r="AF210" s="68" t="str" cm="1">
        <f t="array" ref="AF210">CalculerNouvelleDate(P210,AE210)</f>
        <v/>
      </c>
      <c r="AG210" s="68" t="str" cm="1">
        <f t="array" ref="AG210">CalculerNouvelleDate(Q210,AF210)</f>
        <v/>
      </c>
      <c r="AH210" s="68" t="str" cm="1">
        <f t="array" ref="AH210">CalculerNouvelleDate(R210,AG210)</f>
        <v/>
      </c>
      <c r="AI210" s="68" t="str" cm="1">
        <f t="array" ref="AI210">CalculerNouvelleDate(S210,AH210)</f>
        <v/>
      </c>
      <c r="AJ210" s="68" t="str" cm="1">
        <f t="array" ref="AJ210">CalculerNouvelleDate(T210,AI210)</f>
        <v/>
      </c>
      <c r="AK210" s="68" t="str" cm="1">
        <f t="array" ref="AK210">CalculerNouvelleDate(U210,AJ210)</f>
        <v/>
      </c>
      <c r="AL210" s="68" t="str" cm="1">
        <f t="array" ref="AL210">CalculerNouvelleDate(V210,AK210)</f>
        <v/>
      </c>
      <c r="AM210" s="83" t="str" cm="1">
        <f t="array" ref="AM210">CorrespondanceDAte(X210:AL210,D211)</f>
        <v>0</v>
      </c>
      <c r="AN210" s="1"/>
      <c r="AO210" s="1"/>
      <c r="AP210" s="1"/>
      <c r="AQ210" s="1"/>
      <c r="AR210" s="1"/>
      <c r="AS210" s="1"/>
      <c r="AT210" s="1"/>
      <c r="AU210" s="1"/>
      <c r="AV210" s="1"/>
      <c r="AW210" s="1"/>
      <c r="AX210" s="1"/>
      <c r="AY210" s="1"/>
      <c r="AZ210" s="1"/>
      <c r="BA210" s="1"/>
    </row>
    <row r="211" spans="1:53" x14ac:dyDescent="0.3">
      <c r="A211" s="1"/>
      <c r="B211" s="11"/>
      <c r="C211" s="69" t="s">
        <v>656</v>
      </c>
      <c r="D211" s="1"/>
      <c r="E211" s="1"/>
      <c r="F211" s="1"/>
      <c r="G211" s="1"/>
      <c r="H211" s="43"/>
      <c r="I211" s="46"/>
      <c r="J211" s="46"/>
      <c r="K211" s="46"/>
      <c r="L211" s="46"/>
      <c r="M211" s="46"/>
      <c r="N211" s="46"/>
      <c r="O211" s="46"/>
      <c r="P211" s="46"/>
      <c r="Q211" s="46"/>
      <c r="R211" s="46"/>
      <c r="S211" s="46"/>
      <c r="T211" s="46"/>
      <c r="U211" s="46"/>
      <c r="V211" s="46"/>
      <c r="W211" s="62"/>
      <c r="X211" s="67"/>
      <c r="Y211" s="68" t="str" cm="1">
        <f t="array" ref="Y211">CalculerNouvelleDate(I211,X211)</f>
        <v/>
      </c>
      <c r="Z211" s="68" t="str" cm="1">
        <f t="array" ref="Z211">CalculerNouvelleDate(J211,Y211)</f>
        <v/>
      </c>
      <c r="AA211" s="68" t="str" cm="1">
        <f t="array" ref="AA211">CalculerNouvelleDate(K211,Z211)</f>
        <v/>
      </c>
      <c r="AB211" s="68" t="str" cm="1">
        <f t="array" ref="AB211">CalculerNouvelleDate(L211,AA211)</f>
        <v/>
      </c>
      <c r="AC211" s="68" t="str" cm="1">
        <f t="array" ref="AC211">CalculerNouvelleDate(M211,AB211)</f>
        <v/>
      </c>
      <c r="AD211" s="68" t="str" cm="1">
        <f t="array" ref="AD211">CalculerNouvelleDate(N211,AC211)</f>
        <v/>
      </c>
      <c r="AE211" s="68" t="str" cm="1">
        <f t="array" ref="AE211">CalculerNouvelleDate(O211,AD211)</f>
        <v/>
      </c>
      <c r="AF211" s="68" t="str" cm="1">
        <f t="array" ref="AF211">CalculerNouvelleDate(P211,AE211)</f>
        <v/>
      </c>
      <c r="AG211" s="68" t="str" cm="1">
        <f t="array" ref="AG211">CalculerNouvelleDate(Q211,AF211)</f>
        <v/>
      </c>
      <c r="AH211" s="68" t="str" cm="1">
        <f t="array" ref="AH211">CalculerNouvelleDate(R211,AG211)</f>
        <v/>
      </c>
      <c r="AI211" s="68" t="str" cm="1">
        <f t="array" ref="AI211">CalculerNouvelleDate(S211,AH211)</f>
        <v/>
      </c>
      <c r="AJ211" s="68" t="str" cm="1">
        <f t="array" ref="AJ211">CalculerNouvelleDate(T211,AI211)</f>
        <v/>
      </c>
      <c r="AK211" s="68" t="str" cm="1">
        <f t="array" ref="AK211">CalculerNouvelleDate(U211,AJ211)</f>
        <v/>
      </c>
      <c r="AL211" s="68" t="str" cm="1">
        <f t="array" ref="AL211">CalculerNouvelleDate(V211,AK211)</f>
        <v/>
      </c>
      <c r="AM211" s="83" t="str" cm="1">
        <f t="array" ref="AM211">CorrespondanceDAte(X211:AL211,D212)</f>
        <v>0</v>
      </c>
      <c r="AN211" s="1"/>
      <c r="AO211" s="1"/>
      <c r="AP211" s="1"/>
      <c r="AQ211" s="1"/>
      <c r="AR211" s="1"/>
      <c r="AS211" s="1"/>
      <c r="AT211" s="1"/>
      <c r="AU211" s="1"/>
      <c r="AV211" s="1"/>
      <c r="AW211" s="1"/>
      <c r="AX211" s="1"/>
      <c r="AY211" s="1"/>
      <c r="AZ211" s="1"/>
      <c r="BA211" s="1"/>
    </row>
    <row r="212" spans="1:53" x14ac:dyDescent="0.3">
      <c r="A212" s="1"/>
      <c r="B212" s="11"/>
      <c r="C212" s="69" t="s">
        <v>657</v>
      </c>
      <c r="D212" s="1"/>
      <c r="E212" s="1"/>
      <c r="F212" s="1"/>
      <c r="G212" s="1"/>
      <c r="H212" s="43"/>
      <c r="I212" s="46"/>
      <c r="J212" s="46"/>
      <c r="K212" s="46"/>
      <c r="L212" s="46"/>
      <c r="M212" s="46"/>
      <c r="N212" s="46"/>
      <c r="O212" s="46"/>
      <c r="P212" s="46"/>
      <c r="Q212" s="46"/>
      <c r="R212" s="46"/>
      <c r="S212" s="46"/>
      <c r="T212" s="46"/>
      <c r="U212" s="46"/>
      <c r="V212" s="46"/>
      <c r="W212" s="62"/>
      <c r="X212" s="67"/>
      <c r="Y212" s="68" t="str" cm="1">
        <f t="array" ref="Y212">CalculerNouvelleDate(I212,X212)</f>
        <v/>
      </c>
      <c r="Z212" s="68" t="str" cm="1">
        <f t="array" ref="Z212">CalculerNouvelleDate(J212,Y212)</f>
        <v/>
      </c>
      <c r="AA212" s="68" t="str" cm="1">
        <f t="array" ref="AA212">CalculerNouvelleDate(K212,Z212)</f>
        <v/>
      </c>
      <c r="AB212" s="68" t="str" cm="1">
        <f t="array" ref="AB212">CalculerNouvelleDate(L212,AA212)</f>
        <v/>
      </c>
      <c r="AC212" s="68" t="str" cm="1">
        <f t="array" ref="AC212">CalculerNouvelleDate(M212,AB212)</f>
        <v/>
      </c>
      <c r="AD212" s="68" t="str" cm="1">
        <f t="array" ref="AD212">CalculerNouvelleDate(N212,AC212)</f>
        <v/>
      </c>
      <c r="AE212" s="68" t="str" cm="1">
        <f t="array" ref="AE212">CalculerNouvelleDate(O212,AD212)</f>
        <v/>
      </c>
      <c r="AF212" s="68" t="str" cm="1">
        <f t="array" ref="AF212">CalculerNouvelleDate(P212,AE212)</f>
        <v/>
      </c>
      <c r="AG212" s="68" t="str" cm="1">
        <f t="array" ref="AG212">CalculerNouvelleDate(Q212,AF212)</f>
        <v/>
      </c>
      <c r="AH212" s="68" t="str" cm="1">
        <f t="array" ref="AH212">CalculerNouvelleDate(R212,AG212)</f>
        <v/>
      </c>
      <c r="AI212" s="68" t="str" cm="1">
        <f t="array" ref="AI212">CalculerNouvelleDate(S212,AH212)</f>
        <v/>
      </c>
      <c r="AJ212" s="68" t="str" cm="1">
        <f t="array" ref="AJ212">CalculerNouvelleDate(T212,AI212)</f>
        <v/>
      </c>
      <c r="AK212" s="68" t="str" cm="1">
        <f t="array" ref="AK212">CalculerNouvelleDate(U212,AJ212)</f>
        <v/>
      </c>
      <c r="AL212" s="68" t="str" cm="1">
        <f t="array" ref="AL212">CalculerNouvelleDate(V212,AK212)</f>
        <v/>
      </c>
      <c r="AM212" s="83" t="str" cm="1">
        <f t="array" ref="AM212">CorrespondanceDAte(X212:AL212,D213)</f>
        <v>0</v>
      </c>
      <c r="AN212" s="1"/>
      <c r="AO212" s="1"/>
      <c r="AP212" s="1"/>
      <c r="AQ212" s="1"/>
      <c r="AR212" s="1"/>
      <c r="AS212" s="1"/>
      <c r="AT212" s="1"/>
      <c r="AU212" s="1"/>
      <c r="AV212" s="1"/>
      <c r="AW212" s="1"/>
      <c r="AX212" s="1"/>
      <c r="AY212" s="1"/>
      <c r="AZ212" s="1"/>
      <c r="BA212" s="1"/>
    </row>
    <row r="213" spans="1:53" x14ac:dyDescent="0.3">
      <c r="A213" s="1"/>
      <c r="B213" s="11"/>
      <c r="C213" s="69" t="s">
        <v>658</v>
      </c>
      <c r="D213" s="1"/>
      <c r="E213" s="1"/>
      <c r="F213" s="1"/>
      <c r="G213" s="1"/>
      <c r="H213" s="43"/>
      <c r="I213" s="46"/>
      <c r="J213" s="46"/>
      <c r="K213" s="46"/>
      <c r="L213" s="46"/>
      <c r="M213" s="46"/>
      <c r="N213" s="46"/>
      <c r="O213" s="46"/>
      <c r="P213" s="46"/>
      <c r="Q213" s="46"/>
      <c r="R213" s="46"/>
      <c r="S213" s="46"/>
      <c r="T213" s="46"/>
      <c r="U213" s="46"/>
      <c r="V213" s="46"/>
      <c r="W213" s="62"/>
      <c r="X213" s="67"/>
      <c r="Y213" s="68" t="str" cm="1">
        <f t="array" ref="Y213">CalculerNouvelleDate(I213,X213)</f>
        <v/>
      </c>
      <c r="Z213" s="68" t="str" cm="1">
        <f t="array" ref="Z213">CalculerNouvelleDate(J213,Y213)</f>
        <v/>
      </c>
      <c r="AA213" s="68" t="str" cm="1">
        <f t="array" ref="AA213">CalculerNouvelleDate(K213,Z213)</f>
        <v/>
      </c>
      <c r="AB213" s="68" t="str" cm="1">
        <f t="array" ref="AB213">CalculerNouvelleDate(L213,AA213)</f>
        <v/>
      </c>
      <c r="AC213" s="68" t="str" cm="1">
        <f t="array" ref="AC213">CalculerNouvelleDate(M213,AB213)</f>
        <v/>
      </c>
      <c r="AD213" s="68" t="str" cm="1">
        <f t="array" ref="AD213">CalculerNouvelleDate(N213,AC213)</f>
        <v/>
      </c>
      <c r="AE213" s="68" t="str" cm="1">
        <f t="array" ref="AE213">CalculerNouvelleDate(O213,AD213)</f>
        <v/>
      </c>
      <c r="AF213" s="68" t="str" cm="1">
        <f t="array" ref="AF213">CalculerNouvelleDate(P213,AE213)</f>
        <v/>
      </c>
      <c r="AG213" s="68" t="str" cm="1">
        <f t="array" ref="AG213">CalculerNouvelleDate(Q213,AF213)</f>
        <v/>
      </c>
      <c r="AH213" s="68" t="str" cm="1">
        <f t="array" ref="AH213">CalculerNouvelleDate(R213,AG213)</f>
        <v/>
      </c>
      <c r="AI213" s="68" t="str" cm="1">
        <f t="array" ref="AI213">CalculerNouvelleDate(S213,AH213)</f>
        <v/>
      </c>
      <c r="AJ213" s="68" t="str" cm="1">
        <f t="array" ref="AJ213">CalculerNouvelleDate(T213,AI213)</f>
        <v/>
      </c>
      <c r="AK213" s="68" t="str" cm="1">
        <f t="array" ref="AK213">CalculerNouvelleDate(U213,AJ213)</f>
        <v/>
      </c>
      <c r="AL213" s="68" t="str" cm="1">
        <f t="array" ref="AL213">CalculerNouvelleDate(V213,AK213)</f>
        <v/>
      </c>
      <c r="AM213" s="83" t="str" cm="1">
        <f t="array" ref="AM213">CorrespondanceDAte(X213:AL213,D214)</f>
        <v>0</v>
      </c>
      <c r="AN213" s="1"/>
      <c r="AO213" s="1"/>
      <c r="AP213" s="1"/>
      <c r="AQ213" s="1"/>
      <c r="AR213" s="1"/>
      <c r="AS213" s="1"/>
      <c r="AT213" s="1"/>
      <c r="AU213" s="1"/>
      <c r="AV213" s="1"/>
      <c r="AW213" s="1"/>
      <c r="AX213" s="1"/>
      <c r="AY213" s="1"/>
      <c r="AZ213" s="1"/>
      <c r="BA213" s="1"/>
    </row>
    <row r="214" spans="1:53" x14ac:dyDescent="0.3">
      <c r="A214" s="1"/>
      <c r="B214" s="11"/>
      <c r="C214" s="69" t="s">
        <v>659</v>
      </c>
      <c r="D214" s="1"/>
      <c r="E214" s="1"/>
      <c r="F214" s="1"/>
      <c r="G214" s="1"/>
      <c r="H214" s="43"/>
      <c r="I214" s="46"/>
      <c r="J214" s="46"/>
      <c r="K214" s="46"/>
      <c r="L214" s="46"/>
      <c r="M214" s="46"/>
      <c r="N214" s="46"/>
      <c r="O214" s="46"/>
      <c r="P214" s="46"/>
      <c r="Q214" s="46"/>
      <c r="R214" s="46"/>
      <c r="S214" s="46"/>
      <c r="T214" s="46"/>
      <c r="U214" s="46"/>
      <c r="V214" s="46"/>
      <c r="W214" s="62"/>
      <c r="X214" s="67"/>
      <c r="Y214" s="68" t="str" cm="1">
        <f t="array" ref="Y214">CalculerNouvelleDate(I214,X214)</f>
        <v/>
      </c>
      <c r="Z214" s="68" t="str" cm="1">
        <f t="array" ref="Z214">CalculerNouvelleDate(J214,Y214)</f>
        <v/>
      </c>
      <c r="AA214" s="68" t="str" cm="1">
        <f t="array" ref="AA214">CalculerNouvelleDate(K214,Z214)</f>
        <v/>
      </c>
      <c r="AB214" s="68" t="str" cm="1">
        <f t="array" ref="AB214">CalculerNouvelleDate(L214,AA214)</f>
        <v/>
      </c>
      <c r="AC214" s="68" t="str" cm="1">
        <f t="array" ref="AC214">CalculerNouvelleDate(M214,AB214)</f>
        <v/>
      </c>
      <c r="AD214" s="68" t="str" cm="1">
        <f t="array" ref="AD214">CalculerNouvelleDate(N214,AC214)</f>
        <v/>
      </c>
      <c r="AE214" s="68" t="str" cm="1">
        <f t="array" ref="AE214">CalculerNouvelleDate(O214,AD214)</f>
        <v/>
      </c>
      <c r="AF214" s="68" t="str" cm="1">
        <f t="array" ref="AF214">CalculerNouvelleDate(P214,AE214)</f>
        <v/>
      </c>
      <c r="AG214" s="68" t="str" cm="1">
        <f t="array" ref="AG214">CalculerNouvelleDate(Q214,AF214)</f>
        <v/>
      </c>
      <c r="AH214" s="68" t="str" cm="1">
        <f t="array" ref="AH214">CalculerNouvelleDate(R214,AG214)</f>
        <v/>
      </c>
      <c r="AI214" s="68" t="str" cm="1">
        <f t="array" ref="AI214">CalculerNouvelleDate(S214,AH214)</f>
        <v/>
      </c>
      <c r="AJ214" s="68" t="str" cm="1">
        <f t="array" ref="AJ214">CalculerNouvelleDate(T214,AI214)</f>
        <v/>
      </c>
      <c r="AK214" s="68" t="str" cm="1">
        <f t="array" ref="AK214">CalculerNouvelleDate(U214,AJ214)</f>
        <v/>
      </c>
      <c r="AL214" s="68" t="str" cm="1">
        <f t="array" ref="AL214">CalculerNouvelleDate(V214,AK214)</f>
        <v/>
      </c>
      <c r="AM214" s="83" t="str" cm="1">
        <f t="array" ref="AM214">CorrespondanceDAte(X214:AL214,D215)</f>
        <v>0</v>
      </c>
      <c r="AN214" s="1"/>
      <c r="AO214" s="1"/>
      <c r="AP214" s="1"/>
      <c r="AQ214" s="1"/>
      <c r="AR214" s="1"/>
      <c r="AS214" s="1"/>
      <c r="AT214" s="1"/>
      <c r="AU214" s="1"/>
      <c r="AV214" s="1"/>
      <c r="AW214" s="1"/>
      <c r="AX214" s="1"/>
      <c r="AY214" s="1"/>
      <c r="AZ214" s="1"/>
      <c r="BA214" s="1"/>
    </row>
    <row r="215" spans="1:53" x14ac:dyDescent="0.3">
      <c r="A215" s="1"/>
      <c r="B215" s="11"/>
      <c r="C215" s="69" t="s">
        <v>660</v>
      </c>
      <c r="D215" s="1"/>
      <c r="E215" s="1"/>
      <c r="F215" s="1"/>
      <c r="G215" s="1"/>
      <c r="H215" s="43"/>
      <c r="I215" s="46"/>
      <c r="J215" s="46"/>
      <c r="K215" s="46"/>
      <c r="L215" s="46"/>
      <c r="M215" s="46"/>
      <c r="N215" s="46"/>
      <c r="O215" s="46"/>
      <c r="P215" s="46"/>
      <c r="Q215" s="46"/>
      <c r="R215" s="46"/>
      <c r="S215" s="46"/>
      <c r="T215" s="46"/>
      <c r="U215" s="46"/>
      <c r="V215" s="46"/>
      <c r="W215" s="62"/>
      <c r="X215" s="67"/>
      <c r="Y215" s="68" t="str" cm="1">
        <f t="array" ref="Y215">CalculerNouvelleDate(I215,X215)</f>
        <v/>
      </c>
      <c r="Z215" s="68" t="str" cm="1">
        <f t="array" ref="Z215">CalculerNouvelleDate(J215,Y215)</f>
        <v/>
      </c>
      <c r="AA215" s="68" t="str" cm="1">
        <f t="array" ref="AA215">CalculerNouvelleDate(K215,Z215)</f>
        <v/>
      </c>
      <c r="AB215" s="68" t="str" cm="1">
        <f t="array" ref="AB215">CalculerNouvelleDate(L215,AA215)</f>
        <v/>
      </c>
      <c r="AC215" s="68" t="str" cm="1">
        <f t="array" ref="AC215">CalculerNouvelleDate(M215,AB215)</f>
        <v/>
      </c>
      <c r="AD215" s="68" t="str" cm="1">
        <f t="array" ref="AD215">CalculerNouvelleDate(N215,AC215)</f>
        <v/>
      </c>
      <c r="AE215" s="68" t="str" cm="1">
        <f t="array" ref="AE215">CalculerNouvelleDate(O215,AD215)</f>
        <v/>
      </c>
      <c r="AF215" s="68" t="str" cm="1">
        <f t="array" ref="AF215">CalculerNouvelleDate(P215,AE215)</f>
        <v/>
      </c>
      <c r="AG215" s="68" t="str" cm="1">
        <f t="array" ref="AG215">CalculerNouvelleDate(Q215,AF215)</f>
        <v/>
      </c>
      <c r="AH215" s="68" t="str" cm="1">
        <f t="array" ref="AH215">CalculerNouvelleDate(R215,AG215)</f>
        <v/>
      </c>
      <c r="AI215" s="68" t="str" cm="1">
        <f t="array" ref="AI215">CalculerNouvelleDate(S215,AH215)</f>
        <v/>
      </c>
      <c r="AJ215" s="68" t="str" cm="1">
        <f t="array" ref="AJ215">CalculerNouvelleDate(T215,AI215)</f>
        <v/>
      </c>
      <c r="AK215" s="68" t="str" cm="1">
        <f t="array" ref="AK215">CalculerNouvelleDate(U215,AJ215)</f>
        <v/>
      </c>
      <c r="AL215" s="68" t="str" cm="1">
        <f t="array" ref="AL215">CalculerNouvelleDate(V215,AK215)</f>
        <v/>
      </c>
      <c r="AM215" s="83" t="str" cm="1">
        <f t="array" ref="AM215">CorrespondanceDAte(X215:AL215,D216)</f>
        <v>0</v>
      </c>
      <c r="AN215" s="1"/>
      <c r="AO215" s="1"/>
      <c r="AP215" s="1"/>
      <c r="AQ215" s="1"/>
      <c r="AR215" s="1"/>
      <c r="AS215" s="1"/>
      <c r="AT215" s="1"/>
      <c r="AU215" s="1"/>
      <c r="AV215" s="1"/>
      <c r="AW215" s="1"/>
      <c r="AX215" s="1"/>
      <c r="AY215" s="1"/>
      <c r="AZ215" s="1"/>
      <c r="BA215" s="1"/>
    </row>
    <row r="216" spans="1:53" x14ac:dyDescent="0.3">
      <c r="A216" s="1"/>
      <c r="B216" s="11"/>
      <c r="C216" s="1" t="s">
        <v>710</v>
      </c>
      <c r="D216" s="1"/>
      <c r="E216" s="1"/>
      <c r="F216" s="1"/>
      <c r="G216" s="1"/>
      <c r="H216" s="43"/>
      <c r="I216" s="46"/>
      <c r="J216" s="46"/>
      <c r="K216" s="46"/>
      <c r="L216" s="46"/>
      <c r="M216" s="46"/>
      <c r="N216" s="46"/>
      <c r="O216" s="46"/>
      <c r="P216" s="46"/>
      <c r="Q216" s="46"/>
      <c r="R216" s="46"/>
      <c r="S216" s="46"/>
      <c r="T216" s="46"/>
      <c r="U216" s="46"/>
      <c r="V216" s="46"/>
      <c r="W216" s="62"/>
      <c r="X216" s="67"/>
      <c r="Y216" s="68" t="str" cm="1">
        <f t="array" ref="Y216">CalculerNouvelleDate(I216,X216)</f>
        <v/>
      </c>
      <c r="Z216" s="68" t="str" cm="1">
        <f t="array" ref="Z216">CalculerNouvelleDate(J216,Y216)</f>
        <v/>
      </c>
      <c r="AA216" s="68" t="str" cm="1">
        <f t="array" ref="AA216">CalculerNouvelleDate(K216,Z216)</f>
        <v/>
      </c>
      <c r="AB216" s="68" t="str" cm="1">
        <f t="array" ref="AB216">CalculerNouvelleDate(L216,AA216)</f>
        <v/>
      </c>
      <c r="AC216" s="68" t="str" cm="1">
        <f t="array" ref="AC216">CalculerNouvelleDate(M216,AB216)</f>
        <v/>
      </c>
      <c r="AD216" s="68" t="str" cm="1">
        <f t="array" ref="AD216">CalculerNouvelleDate(N216,AC216)</f>
        <v/>
      </c>
      <c r="AE216" s="68" t="str" cm="1">
        <f t="array" ref="AE216">CalculerNouvelleDate(O216,AD216)</f>
        <v/>
      </c>
      <c r="AF216" s="68" t="str" cm="1">
        <f t="array" ref="AF216">CalculerNouvelleDate(P216,AE216)</f>
        <v/>
      </c>
      <c r="AG216" s="68" t="str" cm="1">
        <f t="array" ref="AG216">CalculerNouvelleDate(Q216,AF216)</f>
        <v/>
      </c>
      <c r="AH216" s="68" t="str" cm="1">
        <f t="array" ref="AH216">CalculerNouvelleDate(R216,AG216)</f>
        <v/>
      </c>
      <c r="AI216" s="68" t="str" cm="1">
        <f t="array" ref="AI216">CalculerNouvelleDate(S216,AH216)</f>
        <v/>
      </c>
      <c r="AJ216" s="68" t="str" cm="1">
        <f t="array" ref="AJ216">CalculerNouvelleDate(T216,AI216)</f>
        <v/>
      </c>
      <c r="AK216" s="68" t="str" cm="1">
        <f t="array" ref="AK216">CalculerNouvelleDate(U216,AJ216)</f>
        <v/>
      </c>
      <c r="AL216" s="68" t="str" cm="1">
        <f t="array" ref="AL216">CalculerNouvelleDate(V216,AK216)</f>
        <v/>
      </c>
      <c r="AM216" s="83" t="str" cm="1">
        <f t="array" ref="AM216">CorrespondanceDAte(X216:AL216,D217)</f>
        <v>0</v>
      </c>
      <c r="AN216" s="1"/>
      <c r="AO216" s="1"/>
      <c r="AP216" s="1"/>
      <c r="AQ216" s="1"/>
      <c r="AR216" s="1"/>
      <c r="AS216" s="1"/>
      <c r="AT216" s="1"/>
      <c r="AU216" s="1"/>
      <c r="AV216" s="1"/>
      <c r="AW216" s="1"/>
      <c r="AX216" s="1"/>
      <c r="AY216" s="1"/>
      <c r="AZ216" s="1"/>
      <c r="BA216" s="1"/>
    </row>
    <row r="217" spans="1:53" x14ac:dyDescent="0.3">
      <c r="A217" s="1"/>
      <c r="B217" s="11">
        <v>3</v>
      </c>
      <c r="C217" s="1" t="s">
        <v>57</v>
      </c>
      <c r="D217" s="1"/>
      <c r="E217" s="1"/>
      <c r="F217" s="1"/>
      <c r="G217" s="1"/>
      <c r="H217" s="43"/>
      <c r="I217" s="1"/>
      <c r="J217" s="1"/>
      <c r="K217" s="1"/>
      <c r="L217" s="1"/>
      <c r="M217" s="1"/>
      <c r="N217" s="1"/>
      <c r="O217" s="1"/>
      <c r="P217" s="1"/>
      <c r="Q217" s="1"/>
      <c r="R217" s="1"/>
      <c r="S217" s="1"/>
      <c r="T217" s="1"/>
      <c r="U217" s="1"/>
      <c r="V217" s="1"/>
      <c r="W217" s="11"/>
      <c r="X217" s="67"/>
      <c r="Y217" s="68" t="str" cm="1">
        <f t="array" ref="Y217">CalculerNouvelleDate(I217,X217)</f>
        <v/>
      </c>
      <c r="Z217" s="68" t="str" cm="1">
        <f t="array" ref="Z217">CalculerNouvelleDate(J217,Y217)</f>
        <v/>
      </c>
      <c r="AA217" s="68" t="str" cm="1">
        <f t="array" ref="AA217">CalculerNouvelleDate(K217,Z217)</f>
        <v/>
      </c>
      <c r="AB217" s="68" t="str" cm="1">
        <f t="array" ref="AB217">CalculerNouvelleDate(L217,AA217)</f>
        <v/>
      </c>
      <c r="AC217" s="68" t="str" cm="1">
        <f t="array" ref="AC217">CalculerNouvelleDate(M217,AB217)</f>
        <v/>
      </c>
      <c r="AD217" s="68" t="str" cm="1">
        <f t="array" ref="AD217">CalculerNouvelleDate(N217,AC217)</f>
        <v/>
      </c>
      <c r="AE217" s="68" t="str" cm="1">
        <f t="array" ref="AE217">CalculerNouvelleDate(O217,AD217)</f>
        <v/>
      </c>
      <c r="AF217" s="68" t="str" cm="1">
        <f t="array" ref="AF217">CalculerNouvelleDate(P217,AE217)</f>
        <v/>
      </c>
      <c r="AG217" s="68" t="str" cm="1">
        <f t="array" ref="AG217">CalculerNouvelleDate(Q217,AF217)</f>
        <v/>
      </c>
      <c r="AH217" s="68" t="str" cm="1">
        <f t="array" ref="AH217">CalculerNouvelleDate(R217,AG217)</f>
        <v/>
      </c>
      <c r="AI217" s="68" t="str" cm="1">
        <f t="array" ref="AI217">CalculerNouvelleDate(S217,AH217)</f>
        <v/>
      </c>
      <c r="AJ217" s="68" t="str" cm="1">
        <f t="array" ref="AJ217">CalculerNouvelleDate(T217,AI217)</f>
        <v/>
      </c>
      <c r="AK217" s="68" t="str" cm="1">
        <f t="array" ref="AK217">CalculerNouvelleDate(U217,AJ217)</f>
        <v/>
      </c>
      <c r="AL217" s="68" t="str" cm="1">
        <f t="array" ref="AL217">CalculerNouvelleDate(V217,AK217)</f>
        <v/>
      </c>
      <c r="AM217" s="83" t="str" cm="1">
        <f t="array" ref="AM217">CorrespondanceDAte(X217:AL217,D218)</f>
        <v>0</v>
      </c>
      <c r="AN217" s="1"/>
      <c r="AO217" s="1"/>
      <c r="AP217" s="1"/>
      <c r="AQ217" s="1"/>
      <c r="AR217" s="1"/>
      <c r="AS217" s="1"/>
      <c r="AT217" s="1"/>
      <c r="AU217" s="1"/>
      <c r="AV217" s="1"/>
      <c r="AW217" s="1"/>
      <c r="AX217" s="1"/>
      <c r="AY217" s="1"/>
      <c r="AZ217" s="1"/>
      <c r="BA217" s="1"/>
    </row>
    <row r="218" spans="1:53" x14ac:dyDescent="0.3">
      <c r="A218" s="1"/>
      <c r="B218" s="11"/>
      <c r="C218" s="69" t="s">
        <v>549</v>
      </c>
      <c r="D218" s="1"/>
      <c r="E218" s="1"/>
      <c r="F218" s="1"/>
      <c r="G218" s="1"/>
      <c r="H218" s="43"/>
      <c r="I218" s="46"/>
      <c r="J218" s="46"/>
      <c r="K218" s="46"/>
      <c r="L218" s="46"/>
      <c r="M218" s="46"/>
      <c r="N218" s="46"/>
      <c r="O218" s="46"/>
      <c r="P218" s="46"/>
      <c r="Q218" s="46"/>
      <c r="R218" s="46"/>
      <c r="S218" s="46"/>
      <c r="T218" s="46"/>
      <c r="U218" s="46"/>
      <c r="V218" s="46"/>
      <c r="W218" s="62"/>
      <c r="X218" s="67"/>
      <c r="Y218" s="68" t="str" cm="1">
        <f t="array" ref="Y218">CalculerNouvelleDate(I218,X218)</f>
        <v/>
      </c>
      <c r="Z218" s="68" t="str" cm="1">
        <f t="array" ref="Z218">CalculerNouvelleDate(J218,Y218)</f>
        <v/>
      </c>
      <c r="AA218" s="68" t="str" cm="1">
        <f t="array" ref="AA218">CalculerNouvelleDate(K218,Z218)</f>
        <v/>
      </c>
      <c r="AB218" s="68" t="str" cm="1">
        <f t="array" ref="AB218">CalculerNouvelleDate(L218,AA218)</f>
        <v/>
      </c>
      <c r="AC218" s="68" t="str" cm="1">
        <f t="array" ref="AC218">CalculerNouvelleDate(M218,AB218)</f>
        <v/>
      </c>
      <c r="AD218" s="68" t="str" cm="1">
        <f t="array" ref="AD218">CalculerNouvelleDate(N218,AC218)</f>
        <v/>
      </c>
      <c r="AE218" s="68" t="str" cm="1">
        <f t="array" ref="AE218">CalculerNouvelleDate(O218,AD218)</f>
        <v/>
      </c>
      <c r="AF218" s="68" t="str" cm="1">
        <f t="array" ref="AF218">CalculerNouvelleDate(P218,AE218)</f>
        <v/>
      </c>
      <c r="AG218" s="68" t="str" cm="1">
        <f t="array" ref="AG218">CalculerNouvelleDate(Q218,AF218)</f>
        <v/>
      </c>
      <c r="AH218" s="68" t="str" cm="1">
        <f t="array" ref="AH218">CalculerNouvelleDate(R218,AG218)</f>
        <v/>
      </c>
      <c r="AI218" s="68" t="str" cm="1">
        <f t="array" ref="AI218">CalculerNouvelleDate(S218,AH218)</f>
        <v/>
      </c>
      <c r="AJ218" s="68" t="str" cm="1">
        <f t="array" ref="AJ218">CalculerNouvelleDate(T218,AI218)</f>
        <v/>
      </c>
      <c r="AK218" s="68" t="str" cm="1">
        <f t="array" ref="AK218">CalculerNouvelleDate(U218,AJ218)</f>
        <v/>
      </c>
      <c r="AL218" s="68" t="str" cm="1">
        <f t="array" ref="AL218">CalculerNouvelleDate(V218,AK218)</f>
        <v/>
      </c>
      <c r="AM218" s="83" t="str" cm="1">
        <f t="array" ref="AM218">CorrespondanceDAte(X218:AL218,D219)</f>
        <v>0</v>
      </c>
      <c r="AN218" s="1"/>
      <c r="AO218" s="1"/>
      <c r="AP218" s="1"/>
      <c r="AQ218" s="1"/>
      <c r="AR218" s="1"/>
      <c r="AS218" s="1"/>
      <c r="AT218" s="1"/>
      <c r="AU218" s="1"/>
      <c r="AV218" s="1"/>
      <c r="AW218" s="1"/>
      <c r="AX218" s="1"/>
      <c r="AY218" s="1"/>
      <c r="AZ218" s="1"/>
      <c r="BA218" s="1"/>
    </row>
    <row r="219" spans="1:53" x14ac:dyDescent="0.3">
      <c r="A219" s="1"/>
      <c r="B219" s="11"/>
      <c r="C219" s="69" t="s">
        <v>536</v>
      </c>
      <c r="D219" s="1"/>
      <c r="E219" s="1"/>
      <c r="F219" s="1"/>
      <c r="G219" s="1"/>
      <c r="H219" s="43"/>
      <c r="I219" s="46"/>
      <c r="J219" s="46"/>
      <c r="K219" s="46"/>
      <c r="L219" s="46"/>
      <c r="M219" s="46"/>
      <c r="N219" s="46"/>
      <c r="O219" s="46"/>
      <c r="P219" s="46"/>
      <c r="Q219" s="46"/>
      <c r="R219" s="46"/>
      <c r="S219" s="46"/>
      <c r="T219" s="46"/>
      <c r="U219" s="46"/>
      <c r="V219" s="46"/>
      <c r="W219" s="62"/>
      <c r="X219" s="67"/>
      <c r="Y219" s="68" t="str" cm="1">
        <f t="array" ref="Y219">CalculerNouvelleDate(I219,X219)</f>
        <v/>
      </c>
      <c r="Z219" s="68" t="str" cm="1">
        <f t="array" ref="Z219">CalculerNouvelleDate(J219,Y219)</f>
        <v/>
      </c>
      <c r="AA219" s="68" t="str" cm="1">
        <f t="array" ref="AA219">CalculerNouvelleDate(K219,Z219)</f>
        <v/>
      </c>
      <c r="AB219" s="68" t="str" cm="1">
        <f t="array" ref="AB219">CalculerNouvelleDate(L219,AA219)</f>
        <v/>
      </c>
      <c r="AC219" s="68" t="str" cm="1">
        <f t="array" ref="AC219">CalculerNouvelleDate(M219,AB219)</f>
        <v/>
      </c>
      <c r="AD219" s="68" t="str" cm="1">
        <f t="array" ref="AD219">CalculerNouvelleDate(N219,AC219)</f>
        <v/>
      </c>
      <c r="AE219" s="68" t="str" cm="1">
        <f t="array" ref="AE219">CalculerNouvelleDate(O219,AD219)</f>
        <v/>
      </c>
      <c r="AF219" s="68" t="str" cm="1">
        <f t="array" ref="AF219">CalculerNouvelleDate(P219,AE219)</f>
        <v/>
      </c>
      <c r="AG219" s="68" t="str" cm="1">
        <f t="array" ref="AG219">CalculerNouvelleDate(Q219,AF219)</f>
        <v/>
      </c>
      <c r="AH219" s="68" t="str" cm="1">
        <f t="array" ref="AH219">CalculerNouvelleDate(R219,AG219)</f>
        <v/>
      </c>
      <c r="AI219" s="68" t="str" cm="1">
        <f t="array" ref="AI219">CalculerNouvelleDate(S219,AH219)</f>
        <v/>
      </c>
      <c r="AJ219" s="68" t="str" cm="1">
        <f t="array" ref="AJ219">CalculerNouvelleDate(T219,AI219)</f>
        <v/>
      </c>
      <c r="AK219" s="68" t="str" cm="1">
        <f t="array" ref="AK219">CalculerNouvelleDate(U219,AJ219)</f>
        <v/>
      </c>
      <c r="AL219" s="68" t="str" cm="1">
        <f t="array" ref="AL219">CalculerNouvelleDate(V219,AK219)</f>
        <v/>
      </c>
      <c r="AM219" s="83" t="str" cm="1">
        <f t="array" ref="AM219">CorrespondanceDAte(X219:AL219,D220)</f>
        <v>0</v>
      </c>
      <c r="AN219" s="1"/>
      <c r="AO219" s="1"/>
      <c r="AP219" s="1"/>
      <c r="AQ219" s="1"/>
      <c r="AR219" s="1"/>
      <c r="AS219" s="1"/>
      <c r="AT219" s="1"/>
      <c r="AU219" s="1"/>
      <c r="AV219" s="1"/>
      <c r="AW219" s="1"/>
      <c r="AX219" s="1"/>
      <c r="AY219" s="1"/>
      <c r="AZ219" s="1"/>
      <c r="BA219" s="1"/>
    </row>
    <row r="220" spans="1:53" x14ac:dyDescent="0.3">
      <c r="A220" s="1"/>
      <c r="B220" s="11"/>
      <c r="C220" s="69" t="s">
        <v>550</v>
      </c>
      <c r="D220" s="1"/>
      <c r="E220" s="1"/>
      <c r="F220" s="1"/>
      <c r="G220" s="1"/>
      <c r="H220" s="43"/>
      <c r="I220" s="46"/>
      <c r="J220" s="46"/>
      <c r="K220" s="46"/>
      <c r="L220" s="46"/>
      <c r="M220" s="46"/>
      <c r="N220" s="46"/>
      <c r="O220" s="46"/>
      <c r="P220" s="46"/>
      <c r="Q220" s="46"/>
      <c r="R220" s="46"/>
      <c r="S220" s="46"/>
      <c r="T220" s="46"/>
      <c r="U220" s="46"/>
      <c r="V220" s="46"/>
      <c r="W220" s="62"/>
      <c r="X220" s="67"/>
      <c r="Y220" s="68" t="str" cm="1">
        <f t="array" ref="Y220">CalculerNouvelleDate(I220,X220)</f>
        <v/>
      </c>
      <c r="Z220" s="68" t="str" cm="1">
        <f t="array" ref="Z220">CalculerNouvelleDate(J220,Y220)</f>
        <v/>
      </c>
      <c r="AA220" s="68" t="str" cm="1">
        <f t="array" ref="AA220">CalculerNouvelleDate(K220,Z220)</f>
        <v/>
      </c>
      <c r="AB220" s="68" t="str" cm="1">
        <f t="array" ref="AB220">CalculerNouvelleDate(L220,AA220)</f>
        <v/>
      </c>
      <c r="AC220" s="68" t="str" cm="1">
        <f t="array" ref="AC220">CalculerNouvelleDate(M220,AB220)</f>
        <v/>
      </c>
      <c r="AD220" s="68" t="str" cm="1">
        <f t="array" ref="AD220">CalculerNouvelleDate(N220,AC220)</f>
        <v/>
      </c>
      <c r="AE220" s="68" t="str" cm="1">
        <f t="array" ref="AE220">CalculerNouvelleDate(O220,AD220)</f>
        <v/>
      </c>
      <c r="AF220" s="68" t="str" cm="1">
        <f t="array" ref="AF220">CalculerNouvelleDate(P220,AE220)</f>
        <v/>
      </c>
      <c r="AG220" s="68" t="str" cm="1">
        <f t="array" ref="AG220">CalculerNouvelleDate(Q220,AF220)</f>
        <v/>
      </c>
      <c r="AH220" s="68" t="str" cm="1">
        <f t="array" ref="AH220">CalculerNouvelleDate(R220,AG220)</f>
        <v/>
      </c>
      <c r="AI220" s="68" t="str" cm="1">
        <f t="array" ref="AI220">CalculerNouvelleDate(S220,AH220)</f>
        <v/>
      </c>
      <c r="AJ220" s="68" t="str" cm="1">
        <f t="array" ref="AJ220">CalculerNouvelleDate(T220,AI220)</f>
        <v/>
      </c>
      <c r="AK220" s="68" t="str" cm="1">
        <f t="array" ref="AK220">CalculerNouvelleDate(U220,AJ220)</f>
        <v/>
      </c>
      <c r="AL220" s="68" t="str" cm="1">
        <f t="array" ref="AL220">CalculerNouvelleDate(V220,AK220)</f>
        <v/>
      </c>
      <c r="AM220" s="83" t="str" cm="1">
        <f t="array" ref="AM220">CorrespondanceDAte(X220:AL220,D221)</f>
        <v>0</v>
      </c>
      <c r="AN220" s="1"/>
      <c r="AO220" s="1"/>
      <c r="AP220" s="1"/>
      <c r="AQ220" s="1"/>
      <c r="AR220" s="1"/>
      <c r="AS220" s="1"/>
      <c r="AT220" s="1"/>
      <c r="AU220" s="1"/>
      <c r="AV220" s="1"/>
      <c r="AW220" s="1"/>
      <c r="AX220" s="1"/>
      <c r="AY220" s="1"/>
      <c r="AZ220" s="1"/>
      <c r="BA220" s="1"/>
    </row>
    <row r="221" spans="1:53" x14ac:dyDescent="0.3">
      <c r="A221" s="1"/>
      <c r="B221" s="11"/>
      <c r="C221" s="1" t="s">
        <v>551</v>
      </c>
      <c r="D221" s="1"/>
      <c r="E221" s="1"/>
      <c r="F221" s="1"/>
      <c r="G221" s="1"/>
      <c r="H221" s="43"/>
      <c r="I221" s="46"/>
      <c r="J221" s="46"/>
      <c r="K221" s="46"/>
      <c r="L221" s="46"/>
      <c r="M221" s="46"/>
      <c r="N221" s="46"/>
      <c r="O221" s="46"/>
      <c r="P221" s="46"/>
      <c r="Q221" s="46"/>
      <c r="R221" s="46"/>
      <c r="S221" s="46"/>
      <c r="T221" s="46"/>
      <c r="U221" s="46"/>
      <c r="V221" s="46"/>
      <c r="W221" s="62"/>
      <c r="X221" s="67"/>
      <c r="Y221" s="68" t="str" cm="1">
        <f t="array" ref="Y221">CalculerNouvelleDate(I221,X221)</f>
        <v/>
      </c>
      <c r="Z221" s="68" t="str" cm="1">
        <f t="array" ref="Z221">CalculerNouvelleDate(J221,Y221)</f>
        <v/>
      </c>
      <c r="AA221" s="68" t="str" cm="1">
        <f t="array" ref="AA221">CalculerNouvelleDate(K221,Z221)</f>
        <v/>
      </c>
      <c r="AB221" s="68" t="str" cm="1">
        <f t="array" ref="AB221">CalculerNouvelleDate(L221,AA221)</f>
        <v/>
      </c>
      <c r="AC221" s="68" t="str" cm="1">
        <f t="array" ref="AC221">CalculerNouvelleDate(M221,AB221)</f>
        <v/>
      </c>
      <c r="AD221" s="68" t="str" cm="1">
        <f t="array" ref="AD221">CalculerNouvelleDate(N221,AC221)</f>
        <v/>
      </c>
      <c r="AE221" s="68" t="str" cm="1">
        <f t="array" ref="AE221">CalculerNouvelleDate(O221,AD221)</f>
        <v/>
      </c>
      <c r="AF221" s="68" t="str" cm="1">
        <f t="array" ref="AF221">CalculerNouvelleDate(P221,AE221)</f>
        <v/>
      </c>
      <c r="AG221" s="68" t="str" cm="1">
        <f t="array" ref="AG221">CalculerNouvelleDate(Q221,AF221)</f>
        <v/>
      </c>
      <c r="AH221" s="68" t="str" cm="1">
        <f t="array" ref="AH221">CalculerNouvelleDate(R221,AG221)</f>
        <v/>
      </c>
      <c r="AI221" s="68" t="str" cm="1">
        <f t="array" ref="AI221">CalculerNouvelleDate(S221,AH221)</f>
        <v/>
      </c>
      <c r="AJ221" s="68" t="str" cm="1">
        <f t="array" ref="AJ221">CalculerNouvelleDate(T221,AI221)</f>
        <v/>
      </c>
      <c r="AK221" s="68" t="str" cm="1">
        <f t="array" ref="AK221">CalculerNouvelleDate(U221,AJ221)</f>
        <v/>
      </c>
      <c r="AL221" s="68" t="str" cm="1">
        <f t="array" ref="AL221">CalculerNouvelleDate(V221,AK221)</f>
        <v/>
      </c>
      <c r="AM221" s="83" t="str" cm="1">
        <f t="array" ref="AM221">CorrespondanceDAte(X221:AL221,D222)</f>
        <v>0</v>
      </c>
      <c r="AN221" s="1"/>
      <c r="AO221" s="1"/>
      <c r="AP221" s="1"/>
      <c r="AQ221" s="1"/>
      <c r="AR221" s="1"/>
      <c r="AS221" s="1"/>
      <c r="AT221" s="1"/>
      <c r="AU221" s="1"/>
      <c r="AV221" s="1"/>
      <c r="AW221" s="1"/>
      <c r="AX221" s="1"/>
      <c r="AY221" s="1"/>
      <c r="AZ221" s="1"/>
      <c r="BA221" s="1"/>
    </row>
    <row r="222" spans="1:53" x14ac:dyDescent="0.3">
      <c r="A222" s="1"/>
      <c r="B222" s="11"/>
      <c r="C222" s="1" t="s">
        <v>705</v>
      </c>
      <c r="D222" s="1"/>
      <c r="E222" s="1"/>
      <c r="F222" s="1"/>
      <c r="G222" s="1"/>
      <c r="H222" s="43"/>
      <c r="I222" s="46"/>
      <c r="J222" s="46"/>
      <c r="K222" s="46"/>
      <c r="L222" s="46"/>
      <c r="M222" s="46"/>
      <c r="N222" s="46"/>
      <c r="O222" s="46"/>
      <c r="P222" s="46"/>
      <c r="Q222" s="46"/>
      <c r="R222" s="46"/>
      <c r="S222" s="46"/>
      <c r="T222" s="46"/>
      <c r="U222" s="46"/>
      <c r="V222" s="46"/>
      <c r="W222" s="62"/>
      <c r="X222" s="67"/>
      <c r="Y222" s="68" t="str" cm="1">
        <f t="array" ref="Y222">CalculerNouvelleDate(I222,X222)</f>
        <v/>
      </c>
      <c r="Z222" s="68" t="str" cm="1">
        <f t="array" ref="Z222">CalculerNouvelleDate(J222,Y222)</f>
        <v/>
      </c>
      <c r="AA222" s="68" t="str" cm="1">
        <f t="array" ref="AA222">CalculerNouvelleDate(K222,Z222)</f>
        <v/>
      </c>
      <c r="AB222" s="68" t="str" cm="1">
        <f t="array" ref="AB222">CalculerNouvelleDate(L222,AA222)</f>
        <v/>
      </c>
      <c r="AC222" s="68" t="str" cm="1">
        <f t="array" ref="AC222">CalculerNouvelleDate(M222,AB222)</f>
        <v/>
      </c>
      <c r="AD222" s="68" t="str" cm="1">
        <f t="array" ref="AD222">CalculerNouvelleDate(N222,AC222)</f>
        <v/>
      </c>
      <c r="AE222" s="68" t="str" cm="1">
        <f t="array" ref="AE222">CalculerNouvelleDate(O222,AD222)</f>
        <v/>
      </c>
      <c r="AF222" s="68" t="str" cm="1">
        <f t="array" ref="AF222">CalculerNouvelleDate(P222,AE222)</f>
        <v/>
      </c>
      <c r="AG222" s="68" t="str" cm="1">
        <f t="array" ref="AG222">CalculerNouvelleDate(Q222,AF222)</f>
        <v/>
      </c>
      <c r="AH222" s="68" t="str" cm="1">
        <f t="array" ref="AH222">CalculerNouvelleDate(R222,AG222)</f>
        <v/>
      </c>
      <c r="AI222" s="68" t="str" cm="1">
        <f t="array" ref="AI222">CalculerNouvelleDate(S222,AH222)</f>
        <v/>
      </c>
      <c r="AJ222" s="68" t="str" cm="1">
        <f t="array" ref="AJ222">CalculerNouvelleDate(T222,AI222)</f>
        <v/>
      </c>
      <c r="AK222" s="68" t="str" cm="1">
        <f t="array" ref="AK222">CalculerNouvelleDate(U222,AJ222)</f>
        <v/>
      </c>
      <c r="AL222" s="68" t="str" cm="1">
        <f t="array" ref="AL222">CalculerNouvelleDate(V222,AK222)</f>
        <v/>
      </c>
      <c r="AM222" s="83" t="str" cm="1">
        <f t="array" ref="AM222">CorrespondanceDAte(X222:AL222,D223)</f>
        <v>0</v>
      </c>
      <c r="AN222" s="1"/>
      <c r="AO222" s="1"/>
      <c r="AP222" s="1"/>
      <c r="AQ222" s="1"/>
      <c r="AR222" s="1"/>
      <c r="AS222" s="1"/>
      <c r="AT222" s="1"/>
      <c r="AU222" s="1"/>
      <c r="AV222" s="1"/>
      <c r="AW222" s="1"/>
      <c r="AX222" s="1"/>
      <c r="AY222" s="1"/>
      <c r="AZ222" s="1"/>
      <c r="BA222" s="1"/>
    </row>
    <row r="223" spans="1:53" x14ac:dyDescent="0.3">
      <c r="A223" s="1"/>
      <c r="B223" s="11"/>
      <c r="C223" s="69" t="s">
        <v>711</v>
      </c>
      <c r="D223" s="1"/>
      <c r="E223" s="1"/>
      <c r="F223" s="1"/>
      <c r="G223" s="1"/>
      <c r="H223" s="43"/>
      <c r="I223" s="46"/>
      <c r="J223" s="46"/>
      <c r="K223" s="46"/>
      <c r="L223" s="46"/>
      <c r="M223" s="46"/>
      <c r="N223" s="46"/>
      <c r="O223" s="46"/>
      <c r="P223" s="46"/>
      <c r="Q223" s="46"/>
      <c r="R223" s="46"/>
      <c r="S223" s="46"/>
      <c r="T223" s="46"/>
      <c r="U223" s="46"/>
      <c r="V223" s="46"/>
      <c r="W223" s="62"/>
      <c r="X223" s="67"/>
      <c r="Y223" s="68" t="str" cm="1">
        <f t="array" ref="Y223">CalculerNouvelleDate(I223,X223)</f>
        <v/>
      </c>
      <c r="Z223" s="68" t="str" cm="1">
        <f t="array" ref="Z223">CalculerNouvelleDate(J223,Y223)</f>
        <v/>
      </c>
      <c r="AA223" s="68" t="str" cm="1">
        <f t="array" ref="AA223">CalculerNouvelleDate(K223,Z223)</f>
        <v/>
      </c>
      <c r="AB223" s="68" t="str" cm="1">
        <f t="array" ref="AB223">CalculerNouvelleDate(L223,AA223)</f>
        <v/>
      </c>
      <c r="AC223" s="68" t="str" cm="1">
        <f t="array" ref="AC223">CalculerNouvelleDate(M223,AB223)</f>
        <v/>
      </c>
      <c r="AD223" s="68" t="str" cm="1">
        <f t="array" ref="AD223">CalculerNouvelleDate(N223,AC223)</f>
        <v/>
      </c>
      <c r="AE223" s="68" t="str" cm="1">
        <f t="array" ref="AE223">CalculerNouvelleDate(O223,AD223)</f>
        <v/>
      </c>
      <c r="AF223" s="68" t="str" cm="1">
        <f t="array" ref="AF223">CalculerNouvelleDate(P223,AE223)</f>
        <v/>
      </c>
      <c r="AG223" s="68" t="str" cm="1">
        <f t="array" ref="AG223">CalculerNouvelleDate(Q223,AF223)</f>
        <v/>
      </c>
      <c r="AH223" s="68" t="str" cm="1">
        <f t="array" ref="AH223">CalculerNouvelleDate(R223,AG223)</f>
        <v/>
      </c>
      <c r="AI223" s="68" t="str" cm="1">
        <f t="array" ref="AI223">CalculerNouvelleDate(S223,AH223)</f>
        <v/>
      </c>
      <c r="AJ223" s="68" t="str" cm="1">
        <f t="array" ref="AJ223">CalculerNouvelleDate(T223,AI223)</f>
        <v/>
      </c>
      <c r="AK223" s="68" t="str" cm="1">
        <f t="array" ref="AK223">CalculerNouvelleDate(U223,AJ223)</f>
        <v/>
      </c>
      <c r="AL223" s="68" t="str" cm="1">
        <f t="array" ref="AL223">CalculerNouvelleDate(V223,AK223)</f>
        <v/>
      </c>
      <c r="AM223" s="83" t="str" cm="1">
        <f t="array" ref="AM223">CorrespondanceDAte(X223:AL223,D224)</f>
        <v>0</v>
      </c>
      <c r="AN223" s="1"/>
      <c r="AO223" s="1"/>
      <c r="AP223" s="1"/>
      <c r="AQ223" s="1"/>
      <c r="AR223" s="1"/>
      <c r="AS223" s="1"/>
      <c r="AT223" s="1"/>
      <c r="AU223" s="1"/>
      <c r="AV223" s="1"/>
      <c r="AW223" s="1"/>
      <c r="AX223" s="1"/>
      <c r="AY223" s="1"/>
      <c r="AZ223" s="1"/>
      <c r="BA223" s="1"/>
    </row>
    <row r="224" spans="1:53" x14ac:dyDescent="0.3">
      <c r="A224" s="1"/>
      <c r="B224" s="11"/>
      <c r="C224" s="69" t="s">
        <v>712</v>
      </c>
      <c r="D224" s="1"/>
      <c r="E224" s="1"/>
      <c r="F224" s="1"/>
      <c r="G224" s="1"/>
      <c r="H224" s="43"/>
      <c r="I224" s="46"/>
      <c r="J224" s="46"/>
      <c r="K224" s="46"/>
      <c r="L224" s="46"/>
      <c r="M224" s="46"/>
      <c r="N224" s="46"/>
      <c r="O224" s="46"/>
      <c r="P224" s="46"/>
      <c r="Q224" s="46"/>
      <c r="R224" s="46"/>
      <c r="S224" s="46"/>
      <c r="T224" s="46"/>
      <c r="U224" s="46"/>
      <c r="V224" s="46"/>
      <c r="W224" s="62"/>
      <c r="X224" s="67"/>
      <c r="Y224" s="68" t="str" cm="1">
        <f t="array" ref="Y224">CalculerNouvelleDate(I224,X224)</f>
        <v/>
      </c>
      <c r="Z224" s="68" t="str" cm="1">
        <f t="array" ref="Z224">CalculerNouvelleDate(J224,Y224)</f>
        <v/>
      </c>
      <c r="AA224" s="68" t="str" cm="1">
        <f t="array" ref="AA224">CalculerNouvelleDate(K224,Z224)</f>
        <v/>
      </c>
      <c r="AB224" s="68" t="str" cm="1">
        <f t="array" ref="AB224">CalculerNouvelleDate(L224,AA224)</f>
        <v/>
      </c>
      <c r="AC224" s="68" t="str" cm="1">
        <f t="array" ref="AC224">CalculerNouvelleDate(M224,AB224)</f>
        <v/>
      </c>
      <c r="AD224" s="68" t="str" cm="1">
        <f t="array" ref="AD224">CalculerNouvelleDate(N224,AC224)</f>
        <v/>
      </c>
      <c r="AE224" s="68" t="str" cm="1">
        <f t="array" ref="AE224">CalculerNouvelleDate(O224,AD224)</f>
        <v/>
      </c>
      <c r="AF224" s="68" t="str" cm="1">
        <f t="array" ref="AF224">CalculerNouvelleDate(P224,AE224)</f>
        <v/>
      </c>
      <c r="AG224" s="68" t="str" cm="1">
        <f t="array" ref="AG224">CalculerNouvelleDate(Q224,AF224)</f>
        <v/>
      </c>
      <c r="AH224" s="68" t="str" cm="1">
        <f t="array" ref="AH224">CalculerNouvelleDate(R224,AG224)</f>
        <v/>
      </c>
      <c r="AI224" s="68" t="str" cm="1">
        <f t="array" ref="AI224">CalculerNouvelleDate(S224,AH224)</f>
        <v/>
      </c>
      <c r="AJ224" s="68" t="str" cm="1">
        <f t="array" ref="AJ224">CalculerNouvelleDate(T224,AI224)</f>
        <v/>
      </c>
      <c r="AK224" s="68" t="str" cm="1">
        <f t="array" ref="AK224">CalculerNouvelleDate(U224,AJ224)</f>
        <v/>
      </c>
      <c r="AL224" s="68" t="str" cm="1">
        <f t="array" ref="AL224">CalculerNouvelleDate(V224,AK224)</f>
        <v/>
      </c>
      <c r="AM224" s="83" t="str" cm="1">
        <f t="array" ref="AM224">CorrespondanceDAte(X224:AL224,D225)</f>
        <v>0</v>
      </c>
      <c r="AN224" s="1"/>
      <c r="AO224" s="1"/>
      <c r="AP224" s="1"/>
      <c r="AQ224" s="1"/>
      <c r="AR224" s="1"/>
      <c r="AS224" s="1"/>
      <c r="AT224" s="1"/>
      <c r="AU224" s="1"/>
      <c r="AV224" s="1"/>
      <c r="AW224" s="1"/>
      <c r="AX224" s="1"/>
      <c r="AY224" s="1"/>
      <c r="AZ224" s="1"/>
      <c r="BA224" s="1"/>
    </row>
    <row r="225" spans="1:53" x14ac:dyDescent="0.3">
      <c r="A225" s="1"/>
      <c r="B225" s="11"/>
      <c r="C225" s="69" t="s">
        <v>713</v>
      </c>
      <c r="D225" s="1"/>
      <c r="E225" s="1"/>
      <c r="F225" s="1"/>
      <c r="G225" s="1"/>
      <c r="H225" s="43"/>
      <c r="I225" s="46"/>
      <c r="J225" s="46"/>
      <c r="K225" s="46"/>
      <c r="L225" s="46"/>
      <c r="M225" s="46"/>
      <c r="N225" s="46"/>
      <c r="O225" s="46"/>
      <c r="P225" s="46"/>
      <c r="Q225" s="46"/>
      <c r="R225" s="46"/>
      <c r="S225" s="46"/>
      <c r="T225" s="46"/>
      <c r="U225" s="46"/>
      <c r="V225" s="46"/>
      <c r="W225" s="62"/>
      <c r="X225" s="67"/>
      <c r="Y225" s="68" t="str" cm="1">
        <f t="array" ref="Y225">CalculerNouvelleDate(I225,X225)</f>
        <v/>
      </c>
      <c r="Z225" s="68" t="str" cm="1">
        <f t="array" ref="Z225">CalculerNouvelleDate(J225,Y225)</f>
        <v/>
      </c>
      <c r="AA225" s="68" t="str" cm="1">
        <f t="array" ref="AA225">CalculerNouvelleDate(K225,Z225)</f>
        <v/>
      </c>
      <c r="AB225" s="68" t="str" cm="1">
        <f t="array" ref="AB225">CalculerNouvelleDate(L225,AA225)</f>
        <v/>
      </c>
      <c r="AC225" s="68" t="str" cm="1">
        <f t="array" ref="AC225">CalculerNouvelleDate(M225,AB225)</f>
        <v/>
      </c>
      <c r="AD225" s="68" t="str" cm="1">
        <f t="array" ref="AD225">CalculerNouvelleDate(N225,AC225)</f>
        <v/>
      </c>
      <c r="AE225" s="68" t="str" cm="1">
        <f t="array" ref="AE225">CalculerNouvelleDate(O225,AD225)</f>
        <v/>
      </c>
      <c r="AF225" s="68" t="str" cm="1">
        <f t="array" ref="AF225">CalculerNouvelleDate(P225,AE225)</f>
        <v/>
      </c>
      <c r="AG225" s="68" t="str" cm="1">
        <f t="array" ref="AG225">CalculerNouvelleDate(Q225,AF225)</f>
        <v/>
      </c>
      <c r="AH225" s="68" t="str" cm="1">
        <f t="array" ref="AH225">CalculerNouvelleDate(R225,AG225)</f>
        <v/>
      </c>
      <c r="AI225" s="68" t="str" cm="1">
        <f t="array" ref="AI225">CalculerNouvelleDate(S225,AH225)</f>
        <v/>
      </c>
      <c r="AJ225" s="68" t="str" cm="1">
        <f t="array" ref="AJ225">CalculerNouvelleDate(T225,AI225)</f>
        <v/>
      </c>
      <c r="AK225" s="68" t="str" cm="1">
        <f t="array" ref="AK225">CalculerNouvelleDate(U225,AJ225)</f>
        <v/>
      </c>
      <c r="AL225" s="68" t="str" cm="1">
        <f t="array" ref="AL225">CalculerNouvelleDate(V225,AK225)</f>
        <v/>
      </c>
      <c r="AM225" s="83" t="str" cm="1">
        <f t="array" ref="AM225">CorrespondanceDAte(X225:AL225,D226)</f>
        <v>0</v>
      </c>
      <c r="AN225" s="1"/>
      <c r="AO225" s="1"/>
      <c r="AP225" s="1"/>
      <c r="AQ225" s="1"/>
      <c r="AR225" s="1"/>
      <c r="AS225" s="1"/>
      <c r="AT225" s="1"/>
      <c r="AU225" s="1"/>
      <c r="AV225" s="1"/>
      <c r="AW225" s="1"/>
      <c r="AX225" s="1"/>
      <c r="AY225" s="1"/>
      <c r="AZ225" s="1"/>
      <c r="BA225" s="1"/>
    </row>
    <row r="226" spans="1:53" x14ac:dyDescent="0.3">
      <c r="A226" s="1"/>
      <c r="B226" s="11"/>
      <c r="C226" s="1" t="s">
        <v>714</v>
      </c>
      <c r="D226" s="1"/>
      <c r="E226" s="1"/>
      <c r="F226" s="1"/>
      <c r="G226" s="1"/>
      <c r="H226" s="43"/>
      <c r="I226" s="46"/>
      <c r="J226" s="46"/>
      <c r="K226" s="46"/>
      <c r="L226" s="46"/>
      <c r="M226" s="46"/>
      <c r="N226" s="46"/>
      <c r="O226" s="46"/>
      <c r="P226" s="46"/>
      <c r="Q226" s="46"/>
      <c r="R226" s="46"/>
      <c r="S226" s="46"/>
      <c r="T226" s="46"/>
      <c r="U226" s="46"/>
      <c r="V226" s="46"/>
      <c r="W226" s="62"/>
      <c r="X226" s="67"/>
      <c r="Y226" s="68" t="str" cm="1">
        <f t="array" ref="Y226">CalculerNouvelleDate(I226,X226)</f>
        <v/>
      </c>
      <c r="Z226" s="68" t="str" cm="1">
        <f t="array" ref="Z226">CalculerNouvelleDate(J226,Y226)</f>
        <v/>
      </c>
      <c r="AA226" s="68" t="str" cm="1">
        <f t="array" ref="AA226">CalculerNouvelleDate(K226,Z226)</f>
        <v/>
      </c>
      <c r="AB226" s="68" t="str" cm="1">
        <f t="array" ref="AB226">CalculerNouvelleDate(L226,AA226)</f>
        <v/>
      </c>
      <c r="AC226" s="68" t="str" cm="1">
        <f t="array" ref="AC226">CalculerNouvelleDate(M226,AB226)</f>
        <v/>
      </c>
      <c r="AD226" s="68" t="str" cm="1">
        <f t="array" ref="AD226">CalculerNouvelleDate(N226,AC226)</f>
        <v/>
      </c>
      <c r="AE226" s="68" t="str" cm="1">
        <f t="array" ref="AE226">CalculerNouvelleDate(O226,AD226)</f>
        <v/>
      </c>
      <c r="AF226" s="68" t="str" cm="1">
        <f t="array" ref="AF226">CalculerNouvelleDate(P226,AE226)</f>
        <v/>
      </c>
      <c r="AG226" s="68" t="str" cm="1">
        <f t="array" ref="AG226">CalculerNouvelleDate(Q226,AF226)</f>
        <v/>
      </c>
      <c r="AH226" s="68" t="str" cm="1">
        <f t="array" ref="AH226">CalculerNouvelleDate(R226,AG226)</f>
        <v/>
      </c>
      <c r="AI226" s="68" t="str" cm="1">
        <f t="array" ref="AI226">CalculerNouvelleDate(S226,AH226)</f>
        <v/>
      </c>
      <c r="AJ226" s="68" t="str" cm="1">
        <f t="array" ref="AJ226">CalculerNouvelleDate(T226,AI226)</f>
        <v/>
      </c>
      <c r="AK226" s="68" t="str" cm="1">
        <f t="array" ref="AK226">CalculerNouvelleDate(U226,AJ226)</f>
        <v/>
      </c>
      <c r="AL226" s="68" t="str" cm="1">
        <f t="array" ref="AL226">CalculerNouvelleDate(V226,AK226)</f>
        <v/>
      </c>
      <c r="AM226" s="83" t="str" cm="1">
        <f t="array" ref="AM226">CorrespondanceDAte(X226:AL226,D227)</f>
        <v>0</v>
      </c>
      <c r="AN226" s="1"/>
      <c r="AO226" s="1"/>
      <c r="AP226" s="1"/>
      <c r="AQ226" s="1"/>
      <c r="AR226" s="1"/>
      <c r="AS226" s="1"/>
      <c r="AT226" s="1"/>
      <c r="AU226" s="1"/>
      <c r="AV226" s="1"/>
      <c r="AW226" s="1"/>
      <c r="AX226" s="1"/>
      <c r="AY226" s="1"/>
      <c r="AZ226" s="1"/>
      <c r="BA226" s="1"/>
    </row>
    <row r="227" spans="1:53" x14ac:dyDescent="0.3">
      <c r="A227" s="1"/>
      <c r="B227" s="11"/>
      <c r="C227" s="1" t="s">
        <v>715</v>
      </c>
      <c r="D227" s="1"/>
      <c r="E227" s="1"/>
      <c r="F227" s="1"/>
      <c r="G227" s="1"/>
      <c r="H227" s="43"/>
      <c r="I227" s="46"/>
      <c r="J227" s="46"/>
      <c r="K227" s="46"/>
      <c r="L227" s="46"/>
      <c r="M227" s="46"/>
      <c r="N227" s="46"/>
      <c r="O227" s="46"/>
      <c r="P227" s="46"/>
      <c r="Q227" s="46"/>
      <c r="R227" s="46"/>
      <c r="S227" s="46"/>
      <c r="T227" s="46"/>
      <c r="U227" s="46"/>
      <c r="V227" s="46"/>
      <c r="W227" s="62"/>
      <c r="X227" s="67"/>
      <c r="Y227" s="68" t="str" cm="1">
        <f t="array" ref="Y227">CalculerNouvelleDate(I227,X227)</f>
        <v/>
      </c>
      <c r="Z227" s="68" t="str" cm="1">
        <f t="array" ref="Z227">CalculerNouvelleDate(J227,Y227)</f>
        <v/>
      </c>
      <c r="AA227" s="68" t="str" cm="1">
        <f t="array" ref="AA227">CalculerNouvelleDate(K227,Z227)</f>
        <v/>
      </c>
      <c r="AB227" s="68" t="str" cm="1">
        <f t="array" ref="AB227">CalculerNouvelleDate(L227,AA227)</f>
        <v/>
      </c>
      <c r="AC227" s="68" t="str" cm="1">
        <f t="array" ref="AC227">CalculerNouvelleDate(M227,AB227)</f>
        <v/>
      </c>
      <c r="AD227" s="68" t="str" cm="1">
        <f t="array" ref="AD227">CalculerNouvelleDate(N227,AC227)</f>
        <v/>
      </c>
      <c r="AE227" s="68" t="str" cm="1">
        <f t="array" ref="AE227">CalculerNouvelleDate(O227,AD227)</f>
        <v/>
      </c>
      <c r="AF227" s="68" t="str" cm="1">
        <f t="array" ref="AF227">CalculerNouvelleDate(P227,AE227)</f>
        <v/>
      </c>
      <c r="AG227" s="68" t="str" cm="1">
        <f t="array" ref="AG227">CalculerNouvelleDate(Q227,AF227)</f>
        <v/>
      </c>
      <c r="AH227" s="68" t="str" cm="1">
        <f t="array" ref="AH227">CalculerNouvelleDate(R227,AG227)</f>
        <v/>
      </c>
      <c r="AI227" s="68" t="str" cm="1">
        <f t="array" ref="AI227">CalculerNouvelleDate(S227,AH227)</f>
        <v/>
      </c>
      <c r="AJ227" s="68" t="str" cm="1">
        <f t="array" ref="AJ227">CalculerNouvelleDate(T227,AI227)</f>
        <v/>
      </c>
      <c r="AK227" s="68" t="str" cm="1">
        <f t="array" ref="AK227">CalculerNouvelleDate(U227,AJ227)</f>
        <v/>
      </c>
      <c r="AL227" s="68" t="str" cm="1">
        <f t="array" ref="AL227">CalculerNouvelleDate(V227,AK227)</f>
        <v/>
      </c>
      <c r="AM227" s="83" t="str" cm="1">
        <f t="array" ref="AM227">CorrespondanceDAte(X227:AL227,D228)</f>
        <v>0</v>
      </c>
      <c r="AN227" s="1"/>
      <c r="AO227" s="1"/>
      <c r="AP227" s="1"/>
      <c r="AQ227" s="1"/>
      <c r="AR227" s="1"/>
      <c r="AS227" s="1"/>
      <c r="AT227" s="1"/>
      <c r="AU227" s="1"/>
      <c r="AV227" s="1"/>
      <c r="AW227" s="1"/>
      <c r="AX227" s="1"/>
      <c r="AY227" s="1"/>
      <c r="AZ227" s="1"/>
      <c r="BA227" s="1"/>
    </row>
    <row r="228" spans="1:53" x14ac:dyDescent="0.3">
      <c r="A228" s="1"/>
      <c r="B228" s="11"/>
      <c r="C228" s="69" t="s">
        <v>716</v>
      </c>
      <c r="D228" s="1"/>
      <c r="E228" s="1"/>
      <c r="F228" s="1"/>
      <c r="G228" s="1"/>
      <c r="H228" s="43"/>
      <c r="I228" s="46"/>
      <c r="J228" s="46"/>
      <c r="K228" s="46"/>
      <c r="L228" s="46"/>
      <c r="M228" s="46"/>
      <c r="N228" s="46"/>
      <c r="O228" s="46"/>
      <c r="P228" s="46"/>
      <c r="Q228" s="46"/>
      <c r="R228" s="46"/>
      <c r="S228" s="46"/>
      <c r="T228" s="46"/>
      <c r="U228" s="46"/>
      <c r="V228" s="46"/>
      <c r="W228" s="62"/>
      <c r="X228" s="67"/>
      <c r="Y228" s="68" t="str" cm="1">
        <f t="array" ref="Y228">CalculerNouvelleDate(I228,X228)</f>
        <v/>
      </c>
      <c r="Z228" s="68" t="str" cm="1">
        <f t="array" ref="Z228">CalculerNouvelleDate(J228,Y228)</f>
        <v/>
      </c>
      <c r="AA228" s="68" t="str" cm="1">
        <f t="array" ref="AA228">CalculerNouvelleDate(K228,Z228)</f>
        <v/>
      </c>
      <c r="AB228" s="68" t="str" cm="1">
        <f t="array" ref="AB228">CalculerNouvelleDate(L228,AA228)</f>
        <v/>
      </c>
      <c r="AC228" s="68" t="str" cm="1">
        <f t="array" ref="AC228">CalculerNouvelleDate(M228,AB228)</f>
        <v/>
      </c>
      <c r="AD228" s="68" t="str" cm="1">
        <f t="array" ref="AD228">CalculerNouvelleDate(N228,AC228)</f>
        <v/>
      </c>
      <c r="AE228" s="68" t="str" cm="1">
        <f t="array" ref="AE228">CalculerNouvelleDate(O228,AD228)</f>
        <v/>
      </c>
      <c r="AF228" s="68" t="str" cm="1">
        <f t="array" ref="AF228">CalculerNouvelleDate(P228,AE228)</f>
        <v/>
      </c>
      <c r="AG228" s="68" t="str" cm="1">
        <f t="array" ref="AG228">CalculerNouvelleDate(Q228,AF228)</f>
        <v/>
      </c>
      <c r="AH228" s="68" t="str" cm="1">
        <f t="array" ref="AH228">CalculerNouvelleDate(R228,AG228)</f>
        <v/>
      </c>
      <c r="AI228" s="68" t="str" cm="1">
        <f t="array" ref="AI228">CalculerNouvelleDate(S228,AH228)</f>
        <v/>
      </c>
      <c r="AJ228" s="68" t="str" cm="1">
        <f t="array" ref="AJ228">CalculerNouvelleDate(T228,AI228)</f>
        <v/>
      </c>
      <c r="AK228" s="68" t="str" cm="1">
        <f t="array" ref="AK228">CalculerNouvelleDate(U228,AJ228)</f>
        <v/>
      </c>
      <c r="AL228" s="68" t="str" cm="1">
        <f t="array" ref="AL228">CalculerNouvelleDate(V228,AK228)</f>
        <v/>
      </c>
      <c r="AM228" s="83" t="str" cm="1">
        <f t="array" ref="AM228">CorrespondanceDAte(X228:AL228,D229)</f>
        <v>0</v>
      </c>
      <c r="AN228" s="1"/>
      <c r="AO228" s="1"/>
      <c r="AP228" s="1"/>
      <c r="AQ228" s="1"/>
      <c r="AR228" s="1"/>
      <c r="AS228" s="1"/>
      <c r="AT228" s="1"/>
      <c r="AU228" s="1"/>
      <c r="AV228" s="1"/>
      <c r="AW228" s="1"/>
      <c r="AX228" s="1"/>
      <c r="AY228" s="1"/>
      <c r="AZ228" s="1"/>
      <c r="BA228" s="1"/>
    </row>
    <row r="229" spans="1:53" x14ac:dyDescent="0.3">
      <c r="A229" s="1"/>
      <c r="B229" s="11"/>
      <c r="C229" s="69" t="s">
        <v>717</v>
      </c>
      <c r="D229" s="1"/>
      <c r="E229" s="1"/>
      <c r="F229" s="1"/>
      <c r="G229" s="1"/>
      <c r="H229" s="43"/>
      <c r="I229" s="46"/>
      <c r="J229" s="46"/>
      <c r="K229" s="46"/>
      <c r="L229" s="46"/>
      <c r="M229" s="46"/>
      <c r="N229" s="46"/>
      <c r="O229" s="46"/>
      <c r="P229" s="46"/>
      <c r="Q229" s="46"/>
      <c r="R229" s="46"/>
      <c r="S229" s="46"/>
      <c r="T229" s="46"/>
      <c r="U229" s="46"/>
      <c r="V229" s="46"/>
      <c r="W229" s="62"/>
      <c r="X229" s="67"/>
      <c r="Y229" s="68" t="str" cm="1">
        <f t="array" ref="Y229">CalculerNouvelleDate(I229,X229)</f>
        <v/>
      </c>
      <c r="Z229" s="68" t="str" cm="1">
        <f t="array" ref="Z229">CalculerNouvelleDate(J229,Y229)</f>
        <v/>
      </c>
      <c r="AA229" s="68" t="str" cm="1">
        <f t="array" ref="AA229">CalculerNouvelleDate(K229,Z229)</f>
        <v/>
      </c>
      <c r="AB229" s="68" t="str" cm="1">
        <f t="array" ref="AB229">CalculerNouvelleDate(L229,AA229)</f>
        <v/>
      </c>
      <c r="AC229" s="68" t="str" cm="1">
        <f t="array" ref="AC229">CalculerNouvelleDate(M229,AB229)</f>
        <v/>
      </c>
      <c r="AD229" s="68" t="str" cm="1">
        <f t="array" ref="AD229">CalculerNouvelleDate(N229,AC229)</f>
        <v/>
      </c>
      <c r="AE229" s="68" t="str" cm="1">
        <f t="array" ref="AE229">CalculerNouvelleDate(O229,AD229)</f>
        <v/>
      </c>
      <c r="AF229" s="68" t="str" cm="1">
        <f t="array" ref="AF229">CalculerNouvelleDate(P229,AE229)</f>
        <v/>
      </c>
      <c r="AG229" s="68" t="str" cm="1">
        <f t="array" ref="AG229">CalculerNouvelleDate(Q229,AF229)</f>
        <v/>
      </c>
      <c r="AH229" s="68" t="str" cm="1">
        <f t="array" ref="AH229">CalculerNouvelleDate(R229,AG229)</f>
        <v/>
      </c>
      <c r="AI229" s="68" t="str" cm="1">
        <f t="array" ref="AI229">CalculerNouvelleDate(S229,AH229)</f>
        <v/>
      </c>
      <c r="AJ229" s="68" t="str" cm="1">
        <f t="array" ref="AJ229">CalculerNouvelleDate(T229,AI229)</f>
        <v/>
      </c>
      <c r="AK229" s="68" t="str" cm="1">
        <f t="array" ref="AK229">CalculerNouvelleDate(U229,AJ229)</f>
        <v/>
      </c>
      <c r="AL229" s="68" t="str" cm="1">
        <f t="array" ref="AL229">CalculerNouvelleDate(V229,AK229)</f>
        <v/>
      </c>
      <c r="AM229" s="83" t="str" cm="1">
        <f t="array" ref="AM229">CorrespondanceDAte(X229:AL229,D230)</f>
        <v>0</v>
      </c>
      <c r="AN229" s="1"/>
      <c r="AO229" s="1"/>
      <c r="AP229" s="1"/>
      <c r="AQ229" s="1"/>
      <c r="AR229" s="1"/>
      <c r="AS229" s="1"/>
      <c r="AT229" s="1"/>
      <c r="AU229" s="1"/>
      <c r="AV229" s="1"/>
      <c r="AW229" s="1"/>
      <c r="AX229" s="1"/>
      <c r="AY229" s="1"/>
      <c r="AZ229" s="1"/>
      <c r="BA229" s="1"/>
    </row>
    <row r="230" spans="1:53" x14ac:dyDescent="0.3">
      <c r="A230" s="1"/>
      <c r="B230" s="11"/>
      <c r="C230" s="69" t="s">
        <v>718</v>
      </c>
      <c r="D230" s="1"/>
      <c r="E230" s="1"/>
      <c r="F230" s="1"/>
      <c r="G230" s="1"/>
      <c r="H230" s="43"/>
      <c r="I230" s="46"/>
      <c r="J230" s="46"/>
      <c r="K230" s="46"/>
      <c r="L230" s="46"/>
      <c r="M230" s="46"/>
      <c r="N230" s="46"/>
      <c r="O230" s="46"/>
      <c r="P230" s="46"/>
      <c r="Q230" s="46"/>
      <c r="R230" s="46"/>
      <c r="S230" s="46"/>
      <c r="T230" s="46"/>
      <c r="U230" s="46"/>
      <c r="V230" s="46"/>
      <c r="W230" s="62"/>
      <c r="X230" s="67"/>
      <c r="Y230" s="68" t="str" cm="1">
        <f t="array" ref="Y230">CalculerNouvelleDate(I230,X230)</f>
        <v/>
      </c>
      <c r="Z230" s="68" t="str" cm="1">
        <f t="array" ref="Z230">CalculerNouvelleDate(J230,Y230)</f>
        <v/>
      </c>
      <c r="AA230" s="68" t="str" cm="1">
        <f t="array" ref="AA230">CalculerNouvelleDate(K230,Z230)</f>
        <v/>
      </c>
      <c r="AB230" s="68" t="str" cm="1">
        <f t="array" ref="AB230">CalculerNouvelleDate(L230,AA230)</f>
        <v/>
      </c>
      <c r="AC230" s="68" t="str" cm="1">
        <f t="array" ref="AC230">CalculerNouvelleDate(M230,AB230)</f>
        <v/>
      </c>
      <c r="AD230" s="68" t="str" cm="1">
        <f t="array" ref="AD230">CalculerNouvelleDate(N230,AC230)</f>
        <v/>
      </c>
      <c r="AE230" s="68" t="str" cm="1">
        <f t="array" ref="AE230">CalculerNouvelleDate(O230,AD230)</f>
        <v/>
      </c>
      <c r="AF230" s="68" t="str" cm="1">
        <f t="array" ref="AF230">CalculerNouvelleDate(P230,AE230)</f>
        <v/>
      </c>
      <c r="AG230" s="68" t="str" cm="1">
        <f t="array" ref="AG230">CalculerNouvelleDate(Q230,AF230)</f>
        <v/>
      </c>
      <c r="AH230" s="68" t="str" cm="1">
        <f t="array" ref="AH230">CalculerNouvelleDate(R230,AG230)</f>
        <v/>
      </c>
      <c r="AI230" s="68" t="str" cm="1">
        <f t="array" ref="AI230">CalculerNouvelleDate(S230,AH230)</f>
        <v/>
      </c>
      <c r="AJ230" s="68" t="str" cm="1">
        <f t="array" ref="AJ230">CalculerNouvelleDate(T230,AI230)</f>
        <v/>
      </c>
      <c r="AK230" s="68" t="str" cm="1">
        <f t="array" ref="AK230">CalculerNouvelleDate(U230,AJ230)</f>
        <v/>
      </c>
      <c r="AL230" s="68" t="str" cm="1">
        <f t="array" ref="AL230">CalculerNouvelleDate(V230,AK230)</f>
        <v/>
      </c>
      <c r="AM230" s="83" t="str" cm="1">
        <f t="array" ref="AM230">CorrespondanceDAte(X230:AL230,D231)</f>
        <v>0</v>
      </c>
      <c r="AN230" s="1"/>
      <c r="AO230" s="1"/>
      <c r="AP230" s="1"/>
      <c r="AQ230" s="1"/>
      <c r="AR230" s="1"/>
      <c r="AS230" s="1"/>
      <c r="AT230" s="1"/>
      <c r="AU230" s="1"/>
      <c r="AV230" s="1"/>
      <c r="AW230" s="1"/>
      <c r="AX230" s="1"/>
      <c r="AY230" s="1"/>
      <c r="AZ230" s="1"/>
      <c r="BA230" s="1"/>
    </row>
    <row r="231" spans="1:53" x14ac:dyDescent="0.3">
      <c r="A231" s="1"/>
      <c r="B231" s="11"/>
      <c r="C231" s="1" t="s">
        <v>719</v>
      </c>
      <c r="D231" s="1"/>
      <c r="E231" s="1"/>
      <c r="F231" s="1"/>
      <c r="G231" s="1"/>
      <c r="H231" s="43"/>
      <c r="I231" s="46"/>
      <c r="J231" s="46"/>
      <c r="K231" s="46"/>
      <c r="L231" s="46"/>
      <c r="M231" s="46"/>
      <c r="N231" s="46"/>
      <c r="O231" s="46"/>
      <c r="P231" s="46"/>
      <c r="Q231" s="46"/>
      <c r="R231" s="46"/>
      <c r="S231" s="46"/>
      <c r="T231" s="46"/>
      <c r="U231" s="46"/>
      <c r="V231" s="46"/>
      <c r="W231" s="62"/>
      <c r="X231" s="67"/>
      <c r="Y231" s="68" t="str" cm="1">
        <f t="array" ref="Y231">CalculerNouvelleDate(I231,X231)</f>
        <v/>
      </c>
      <c r="Z231" s="68" t="str" cm="1">
        <f t="array" ref="Z231">CalculerNouvelleDate(J231,Y231)</f>
        <v/>
      </c>
      <c r="AA231" s="68" t="str" cm="1">
        <f t="array" ref="AA231">CalculerNouvelleDate(K231,Z231)</f>
        <v/>
      </c>
      <c r="AB231" s="68" t="str" cm="1">
        <f t="array" ref="AB231">CalculerNouvelleDate(L231,AA231)</f>
        <v/>
      </c>
      <c r="AC231" s="68" t="str" cm="1">
        <f t="array" ref="AC231">CalculerNouvelleDate(M231,AB231)</f>
        <v/>
      </c>
      <c r="AD231" s="68" t="str" cm="1">
        <f t="array" ref="AD231">CalculerNouvelleDate(N231,AC231)</f>
        <v/>
      </c>
      <c r="AE231" s="68" t="str" cm="1">
        <f t="array" ref="AE231">CalculerNouvelleDate(O231,AD231)</f>
        <v/>
      </c>
      <c r="AF231" s="68" t="str" cm="1">
        <f t="array" ref="AF231">CalculerNouvelleDate(P231,AE231)</f>
        <v/>
      </c>
      <c r="AG231" s="68" t="str" cm="1">
        <f t="array" ref="AG231">CalculerNouvelleDate(Q231,AF231)</f>
        <v/>
      </c>
      <c r="AH231" s="68" t="str" cm="1">
        <f t="array" ref="AH231">CalculerNouvelleDate(R231,AG231)</f>
        <v/>
      </c>
      <c r="AI231" s="68" t="str" cm="1">
        <f t="array" ref="AI231">CalculerNouvelleDate(S231,AH231)</f>
        <v/>
      </c>
      <c r="AJ231" s="68" t="str" cm="1">
        <f t="array" ref="AJ231">CalculerNouvelleDate(T231,AI231)</f>
        <v/>
      </c>
      <c r="AK231" s="68" t="str" cm="1">
        <f t="array" ref="AK231">CalculerNouvelleDate(U231,AJ231)</f>
        <v/>
      </c>
      <c r="AL231" s="68" t="str" cm="1">
        <f t="array" ref="AL231">CalculerNouvelleDate(V231,AK231)</f>
        <v/>
      </c>
      <c r="AM231" s="83" t="str" cm="1">
        <f t="array" ref="AM231">CorrespondanceDAte(X231:AL231,D232)</f>
        <v>0</v>
      </c>
      <c r="AN231" s="1"/>
      <c r="AO231" s="1"/>
      <c r="AP231" s="1"/>
      <c r="AQ231" s="1"/>
      <c r="AR231" s="1"/>
      <c r="AS231" s="1"/>
      <c r="AT231" s="1"/>
      <c r="AU231" s="1"/>
      <c r="AV231" s="1"/>
      <c r="AW231" s="1"/>
      <c r="AX231" s="1"/>
      <c r="AY231" s="1"/>
      <c r="AZ231" s="1"/>
      <c r="BA231" s="1"/>
    </row>
    <row r="232" spans="1:53" x14ac:dyDescent="0.3">
      <c r="A232" s="1"/>
      <c r="B232" s="11"/>
      <c r="C232" s="1" t="s">
        <v>720</v>
      </c>
      <c r="D232" s="1"/>
      <c r="E232" s="1"/>
      <c r="F232" s="1"/>
      <c r="G232" s="1"/>
      <c r="H232" s="43"/>
      <c r="I232" s="46"/>
      <c r="J232" s="46"/>
      <c r="K232" s="46"/>
      <c r="L232" s="46"/>
      <c r="M232" s="46"/>
      <c r="N232" s="46"/>
      <c r="O232" s="46"/>
      <c r="P232" s="46"/>
      <c r="Q232" s="46"/>
      <c r="R232" s="46"/>
      <c r="S232" s="46"/>
      <c r="T232" s="46"/>
      <c r="U232" s="46"/>
      <c r="V232" s="46"/>
      <c r="W232" s="62"/>
      <c r="X232" s="67"/>
      <c r="Y232" s="68" t="str" cm="1">
        <f t="array" ref="Y232">CalculerNouvelleDate(I232,X232)</f>
        <v/>
      </c>
      <c r="Z232" s="68" t="str" cm="1">
        <f t="array" ref="Z232">CalculerNouvelleDate(J232,Y232)</f>
        <v/>
      </c>
      <c r="AA232" s="68" t="str" cm="1">
        <f t="array" ref="AA232">CalculerNouvelleDate(K232,Z232)</f>
        <v/>
      </c>
      <c r="AB232" s="68" t="str" cm="1">
        <f t="array" ref="AB232">CalculerNouvelleDate(L232,AA232)</f>
        <v/>
      </c>
      <c r="AC232" s="68" t="str" cm="1">
        <f t="array" ref="AC232">CalculerNouvelleDate(M232,AB232)</f>
        <v/>
      </c>
      <c r="AD232" s="68" t="str" cm="1">
        <f t="array" ref="AD232">CalculerNouvelleDate(N232,AC232)</f>
        <v/>
      </c>
      <c r="AE232" s="68" t="str" cm="1">
        <f t="array" ref="AE232">CalculerNouvelleDate(O232,AD232)</f>
        <v/>
      </c>
      <c r="AF232" s="68" t="str" cm="1">
        <f t="array" ref="AF232">CalculerNouvelleDate(P232,AE232)</f>
        <v/>
      </c>
      <c r="AG232" s="68" t="str" cm="1">
        <f t="array" ref="AG232">CalculerNouvelleDate(Q232,AF232)</f>
        <v/>
      </c>
      <c r="AH232" s="68" t="str" cm="1">
        <f t="array" ref="AH232">CalculerNouvelleDate(R232,AG232)</f>
        <v/>
      </c>
      <c r="AI232" s="68" t="str" cm="1">
        <f t="array" ref="AI232">CalculerNouvelleDate(S232,AH232)</f>
        <v/>
      </c>
      <c r="AJ232" s="68" t="str" cm="1">
        <f t="array" ref="AJ232">CalculerNouvelleDate(T232,AI232)</f>
        <v/>
      </c>
      <c r="AK232" s="68" t="str" cm="1">
        <f t="array" ref="AK232">CalculerNouvelleDate(U232,AJ232)</f>
        <v/>
      </c>
      <c r="AL232" s="68" t="str" cm="1">
        <f t="array" ref="AL232">CalculerNouvelleDate(V232,AK232)</f>
        <v/>
      </c>
      <c r="AM232" s="83" t="str" cm="1">
        <f t="array" ref="AM232">CorrespondanceDAte(X232:AL232,D233)</f>
        <v>0</v>
      </c>
      <c r="AN232" s="1"/>
      <c r="AO232" s="1"/>
      <c r="AP232" s="1"/>
      <c r="AQ232" s="1"/>
      <c r="AR232" s="1"/>
      <c r="AS232" s="1"/>
      <c r="AT232" s="1"/>
      <c r="AU232" s="1"/>
      <c r="AV232" s="1"/>
      <c r="AW232" s="1"/>
      <c r="AX232" s="1"/>
      <c r="AY232" s="1"/>
      <c r="AZ232" s="1"/>
      <c r="BA232" s="1"/>
    </row>
    <row r="233" spans="1:53" x14ac:dyDescent="0.3">
      <c r="A233" s="1"/>
      <c r="B233" s="11">
        <v>4</v>
      </c>
      <c r="C233" s="1" t="s">
        <v>58</v>
      </c>
      <c r="D233" s="1"/>
      <c r="E233" s="1"/>
      <c r="F233" s="1"/>
      <c r="G233" s="1"/>
      <c r="H233" s="43"/>
      <c r="I233" s="1"/>
      <c r="J233" s="1"/>
      <c r="K233" s="1"/>
      <c r="L233" s="1"/>
      <c r="M233" s="1"/>
      <c r="N233" s="1"/>
      <c r="O233" s="1"/>
      <c r="P233" s="1"/>
      <c r="Q233" s="1"/>
      <c r="R233" s="1"/>
      <c r="S233" s="1"/>
      <c r="T233" s="1"/>
      <c r="U233" s="1"/>
      <c r="V233" s="1"/>
      <c r="W233" s="11"/>
      <c r="X233" s="67"/>
      <c r="Y233" s="68" t="str" cm="1">
        <f t="array" ref="Y233">CalculerNouvelleDate(I233,X233)</f>
        <v/>
      </c>
      <c r="Z233" s="68" t="str" cm="1">
        <f t="array" ref="Z233">CalculerNouvelleDate(J233,Y233)</f>
        <v/>
      </c>
      <c r="AA233" s="68" t="str" cm="1">
        <f t="array" ref="AA233">CalculerNouvelleDate(K233,Z233)</f>
        <v/>
      </c>
      <c r="AB233" s="68" t="str" cm="1">
        <f t="array" ref="AB233">CalculerNouvelleDate(L233,AA233)</f>
        <v/>
      </c>
      <c r="AC233" s="68" t="str" cm="1">
        <f t="array" ref="AC233">CalculerNouvelleDate(M233,AB233)</f>
        <v/>
      </c>
      <c r="AD233" s="68" t="str" cm="1">
        <f t="array" ref="AD233">CalculerNouvelleDate(N233,AC233)</f>
        <v/>
      </c>
      <c r="AE233" s="68" t="str" cm="1">
        <f t="array" ref="AE233">CalculerNouvelleDate(O233,AD233)</f>
        <v/>
      </c>
      <c r="AF233" s="68" t="str" cm="1">
        <f t="array" ref="AF233">CalculerNouvelleDate(P233,AE233)</f>
        <v/>
      </c>
      <c r="AG233" s="68" t="str" cm="1">
        <f t="array" ref="AG233">CalculerNouvelleDate(Q233,AF233)</f>
        <v/>
      </c>
      <c r="AH233" s="68" t="str" cm="1">
        <f t="array" ref="AH233">CalculerNouvelleDate(R233,AG233)</f>
        <v/>
      </c>
      <c r="AI233" s="68" t="str" cm="1">
        <f t="array" ref="AI233">CalculerNouvelleDate(S233,AH233)</f>
        <v/>
      </c>
      <c r="AJ233" s="68" t="str" cm="1">
        <f t="array" ref="AJ233">CalculerNouvelleDate(T233,AI233)</f>
        <v/>
      </c>
      <c r="AK233" s="68" t="str" cm="1">
        <f t="array" ref="AK233">CalculerNouvelleDate(U233,AJ233)</f>
        <v/>
      </c>
      <c r="AL233" s="68" t="str" cm="1">
        <f t="array" ref="AL233">CalculerNouvelleDate(V233,AK233)</f>
        <v/>
      </c>
      <c r="AM233" s="83" t="str" cm="1">
        <f t="array" ref="AM233">CorrespondanceDAte(X233:AL233,D234)</f>
        <v>0</v>
      </c>
      <c r="AN233" s="1"/>
      <c r="AO233" s="1"/>
      <c r="AP233" s="1"/>
      <c r="AQ233" s="1"/>
      <c r="AR233" s="1"/>
      <c r="AS233" s="1"/>
      <c r="AT233" s="1"/>
      <c r="AU233" s="1"/>
      <c r="AV233" s="1"/>
      <c r="AW233" s="1"/>
      <c r="AX233" s="1"/>
      <c r="AY233" s="1"/>
      <c r="AZ233" s="1"/>
      <c r="BA233" s="1"/>
    </row>
    <row r="234" spans="1:53" x14ac:dyDescent="0.3">
      <c r="A234" s="1"/>
      <c r="B234" s="11"/>
      <c r="C234" s="69" t="s">
        <v>556</v>
      </c>
      <c r="D234" s="1"/>
      <c r="E234" s="1"/>
      <c r="F234" s="1"/>
      <c r="G234" s="1"/>
      <c r="H234" s="43"/>
      <c r="I234" s="46"/>
      <c r="J234" s="46"/>
      <c r="K234" s="46"/>
      <c r="L234" s="46"/>
      <c r="M234" s="46"/>
      <c r="N234" s="46"/>
      <c r="O234" s="46"/>
      <c r="P234" s="46"/>
      <c r="Q234" s="46"/>
      <c r="R234" s="46"/>
      <c r="S234" s="46"/>
      <c r="T234" s="46"/>
      <c r="U234" s="46"/>
      <c r="V234" s="46"/>
      <c r="W234" s="62"/>
      <c r="X234" s="67"/>
      <c r="Y234" s="68" t="str" cm="1">
        <f t="array" ref="Y234">CalculerNouvelleDate(I234,X234)</f>
        <v/>
      </c>
      <c r="Z234" s="68" t="str" cm="1">
        <f t="array" ref="Z234">CalculerNouvelleDate(J234,Y234)</f>
        <v/>
      </c>
      <c r="AA234" s="68" t="str" cm="1">
        <f t="array" ref="AA234">CalculerNouvelleDate(K234,Z234)</f>
        <v/>
      </c>
      <c r="AB234" s="68" t="str" cm="1">
        <f t="array" ref="AB234">CalculerNouvelleDate(L234,AA234)</f>
        <v/>
      </c>
      <c r="AC234" s="68" t="str" cm="1">
        <f t="array" ref="AC234">CalculerNouvelleDate(M234,AB234)</f>
        <v/>
      </c>
      <c r="AD234" s="68" t="str" cm="1">
        <f t="array" ref="AD234">CalculerNouvelleDate(N234,AC234)</f>
        <v/>
      </c>
      <c r="AE234" s="68" t="str" cm="1">
        <f t="array" ref="AE234">CalculerNouvelleDate(O234,AD234)</f>
        <v/>
      </c>
      <c r="AF234" s="68" t="str" cm="1">
        <f t="array" ref="AF234">CalculerNouvelleDate(P234,AE234)</f>
        <v/>
      </c>
      <c r="AG234" s="68" t="str" cm="1">
        <f t="array" ref="AG234">CalculerNouvelleDate(Q234,AF234)</f>
        <v/>
      </c>
      <c r="AH234" s="68" t="str" cm="1">
        <f t="array" ref="AH234">CalculerNouvelleDate(R234,AG234)</f>
        <v/>
      </c>
      <c r="AI234" s="68" t="str" cm="1">
        <f t="array" ref="AI234">CalculerNouvelleDate(S234,AH234)</f>
        <v/>
      </c>
      <c r="AJ234" s="68" t="str" cm="1">
        <f t="array" ref="AJ234">CalculerNouvelleDate(T234,AI234)</f>
        <v/>
      </c>
      <c r="AK234" s="68" t="str" cm="1">
        <f t="array" ref="AK234">CalculerNouvelleDate(U234,AJ234)</f>
        <v/>
      </c>
      <c r="AL234" s="68" t="str" cm="1">
        <f t="array" ref="AL234">CalculerNouvelleDate(V234,AK234)</f>
        <v/>
      </c>
      <c r="AM234" s="83" t="str" cm="1">
        <f t="array" ref="AM234">CorrespondanceDAte(X234:AL234,D235)</f>
        <v>0</v>
      </c>
      <c r="AN234" s="1"/>
      <c r="AO234" s="1"/>
      <c r="AP234" s="1"/>
      <c r="AQ234" s="1"/>
      <c r="AR234" s="1"/>
      <c r="AS234" s="1"/>
      <c r="AT234" s="1"/>
      <c r="AU234" s="1"/>
      <c r="AV234" s="1"/>
      <c r="AW234" s="1"/>
      <c r="AX234" s="1"/>
      <c r="AY234" s="1"/>
      <c r="AZ234" s="1"/>
      <c r="BA234" s="1"/>
    </row>
    <row r="235" spans="1:53" x14ac:dyDescent="0.3">
      <c r="A235" s="1"/>
      <c r="B235" s="11"/>
      <c r="C235" s="69" t="s">
        <v>537</v>
      </c>
      <c r="D235" s="1"/>
      <c r="E235" s="1"/>
      <c r="F235" s="1"/>
      <c r="G235" s="1"/>
      <c r="H235" s="43"/>
      <c r="I235" s="46"/>
      <c r="J235" s="46"/>
      <c r="K235" s="46"/>
      <c r="L235" s="46"/>
      <c r="M235" s="46"/>
      <c r="N235" s="46"/>
      <c r="O235" s="46"/>
      <c r="P235" s="46"/>
      <c r="Q235" s="46"/>
      <c r="R235" s="46"/>
      <c r="S235" s="46"/>
      <c r="T235" s="46"/>
      <c r="U235" s="46"/>
      <c r="V235" s="46"/>
      <c r="W235" s="62"/>
      <c r="X235" s="67"/>
      <c r="Y235" s="68" t="str" cm="1">
        <f t="array" ref="Y235">CalculerNouvelleDate(I235,X235)</f>
        <v/>
      </c>
      <c r="Z235" s="68" t="str" cm="1">
        <f t="array" ref="Z235">CalculerNouvelleDate(J235,Y235)</f>
        <v/>
      </c>
      <c r="AA235" s="68" t="str" cm="1">
        <f t="array" ref="AA235">CalculerNouvelleDate(K235,Z235)</f>
        <v/>
      </c>
      <c r="AB235" s="68" t="str" cm="1">
        <f t="array" ref="AB235">CalculerNouvelleDate(L235,AA235)</f>
        <v/>
      </c>
      <c r="AC235" s="68" t="str" cm="1">
        <f t="array" ref="AC235">CalculerNouvelleDate(M235,AB235)</f>
        <v/>
      </c>
      <c r="AD235" s="68" t="str" cm="1">
        <f t="array" ref="AD235">CalculerNouvelleDate(N235,AC235)</f>
        <v/>
      </c>
      <c r="AE235" s="68" t="str" cm="1">
        <f t="array" ref="AE235">CalculerNouvelleDate(O235,AD235)</f>
        <v/>
      </c>
      <c r="AF235" s="68" t="str" cm="1">
        <f t="array" ref="AF235">CalculerNouvelleDate(P235,AE235)</f>
        <v/>
      </c>
      <c r="AG235" s="68" t="str" cm="1">
        <f t="array" ref="AG235">CalculerNouvelleDate(Q235,AF235)</f>
        <v/>
      </c>
      <c r="AH235" s="68" t="str" cm="1">
        <f t="array" ref="AH235">CalculerNouvelleDate(R235,AG235)</f>
        <v/>
      </c>
      <c r="AI235" s="68" t="str" cm="1">
        <f t="array" ref="AI235">CalculerNouvelleDate(S235,AH235)</f>
        <v/>
      </c>
      <c r="AJ235" s="68" t="str" cm="1">
        <f t="array" ref="AJ235">CalculerNouvelleDate(T235,AI235)</f>
        <v/>
      </c>
      <c r="AK235" s="68" t="str" cm="1">
        <f t="array" ref="AK235">CalculerNouvelleDate(U235,AJ235)</f>
        <v/>
      </c>
      <c r="AL235" s="68" t="str" cm="1">
        <f t="array" ref="AL235">CalculerNouvelleDate(V235,AK235)</f>
        <v/>
      </c>
      <c r="AM235" s="83" t="str" cm="1">
        <f t="array" ref="AM235">CorrespondanceDAte(X235:AL235,D236)</f>
        <v>0</v>
      </c>
      <c r="AN235" s="1"/>
      <c r="AO235" s="1"/>
      <c r="AP235" s="1"/>
      <c r="AQ235" s="1"/>
      <c r="AR235" s="1"/>
      <c r="AS235" s="1"/>
      <c r="AT235" s="1"/>
      <c r="AU235" s="1"/>
      <c r="AV235" s="1"/>
      <c r="AW235" s="1"/>
      <c r="AX235" s="1"/>
      <c r="AY235" s="1"/>
      <c r="AZ235" s="1"/>
      <c r="BA235" s="1"/>
    </row>
    <row r="236" spans="1:53" x14ac:dyDescent="0.3">
      <c r="A236" s="1"/>
      <c r="B236" s="11"/>
      <c r="C236" s="69" t="s">
        <v>557</v>
      </c>
      <c r="D236" s="1"/>
      <c r="E236" s="1"/>
      <c r="F236" s="1"/>
      <c r="G236" s="1"/>
      <c r="H236" s="43"/>
      <c r="I236" s="46"/>
      <c r="J236" s="46"/>
      <c r="K236" s="46"/>
      <c r="L236" s="46"/>
      <c r="M236" s="46"/>
      <c r="N236" s="46"/>
      <c r="O236" s="46"/>
      <c r="P236" s="46"/>
      <c r="Q236" s="46"/>
      <c r="R236" s="46"/>
      <c r="S236" s="46"/>
      <c r="T236" s="46"/>
      <c r="U236" s="46"/>
      <c r="V236" s="46"/>
      <c r="W236" s="62"/>
      <c r="X236" s="67"/>
      <c r="Y236" s="68" t="str" cm="1">
        <f t="array" ref="Y236">CalculerNouvelleDate(I236,X236)</f>
        <v/>
      </c>
      <c r="Z236" s="68" t="str" cm="1">
        <f t="array" ref="Z236">CalculerNouvelleDate(J236,Y236)</f>
        <v/>
      </c>
      <c r="AA236" s="68" t="str" cm="1">
        <f t="array" ref="AA236">CalculerNouvelleDate(K236,Z236)</f>
        <v/>
      </c>
      <c r="AB236" s="68" t="str" cm="1">
        <f t="array" ref="AB236">CalculerNouvelleDate(L236,AA236)</f>
        <v/>
      </c>
      <c r="AC236" s="68" t="str" cm="1">
        <f t="array" ref="AC236">CalculerNouvelleDate(M236,AB236)</f>
        <v/>
      </c>
      <c r="AD236" s="68" t="str" cm="1">
        <f t="array" ref="AD236">CalculerNouvelleDate(N236,AC236)</f>
        <v/>
      </c>
      <c r="AE236" s="68" t="str" cm="1">
        <f t="array" ref="AE236">CalculerNouvelleDate(O236,AD236)</f>
        <v/>
      </c>
      <c r="AF236" s="68" t="str" cm="1">
        <f t="array" ref="AF236">CalculerNouvelleDate(P236,AE236)</f>
        <v/>
      </c>
      <c r="AG236" s="68" t="str" cm="1">
        <f t="array" ref="AG236">CalculerNouvelleDate(Q236,AF236)</f>
        <v/>
      </c>
      <c r="AH236" s="68" t="str" cm="1">
        <f t="array" ref="AH236">CalculerNouvelleDate(R236,AG236)</f>
        <v/>
      </c>
      <c r="AI236" s="68" t="str" cm="1">
        <f t="array" ref="AI236">CalculerNouvelleDate(S236,AH236)</f>
        <v/>
      </c>
      <c r="AJ236" s="68" t="str" cm="1">
        <f t="array" ref="AJ236">CalculerNouvelleDate(T236,AI236)</f>
        <v/>
      </c>
      <c r="AK236" s="68" t="str" cm="1">
        <f t="array" ref="AK236">CalculerNouvelleDate(U236,AJ236)</f>
        <v/>
      </c>
      <c r="AL236" s="68" t="str" cm="1">
        <f t="array" ref="AL236">CalculerNouvelleDate(V236,AK236)</f>
        <v/>
      </c>
      <c r="AM236" s="83" t="str" cm="1">
        <f t="array" ref="AM236">CorrespondanceDAte(X236:AL236,D237)</f>
        <v>0</v>
      </c>
      <c r="AN236" s="1"/>
      <c r="AO236" s="1"/>
      <c r="AP236" s="1"/>
      <c r="AQ236" s="1"/>
      <c r="AR236" s="1"/>
      <c r="AS236" s="1"/>
      <c r="AT236" s="1"/>
      <c r="AU236" s="1"/>
      <c r="AV236" s="1"/>
      <c r="AW236" s="1"/>
      <c r="AX236" s="1"/>
      <c r="AY236" s="1"/>
      <c r="AZ236" s="1"/>
      <c r="BA236" s="1"/>
    </row>
    <row r="237" spans="1:53" x14ac:dyDescent="0.3">
      <c r="A237" s="1"/>
      <c r="B237" s="11"/>
      <c r="C237" s="69" t="s">
        <v>608</v>
      </c>
      <c r="D237" s="1"/>
      <c r="E237" s="1"/>
      <c r="F237" s="1"/>
      <c r="G237" s="1"/>
      <c r="H237" s="43"/>
      <c r="I237" s="46"/>
      <c r="J237" s="46"/>
      <c r="K237" s="46"/>
      <c r="L237" s="46"/>
      <c r="M237" s="46"/>
      <c r="N237" s="46"/>
      <c r="O237" s="46"/>
      <c r="P237" s="46"/>
      <c r="Q237" s="46"/>
      <c r="R237" s="46"/>
      <c r="S237" s="46"/>
      <c r="T237" s="46"/>
      <c r="U237" s="46"/>
      <c r="V237" s="46"/>
      <c r="W237" s="62"/>
      <c r="X237" s="67"/>
      <c r="Y237" s="68" t="str" cm="1">
        <f t="array" ref="Y237">CalculerNouvelleDate(I237,X237)</f>
        <v/>
      </c>
      <c r="Z237" s="68" t="str" cm="1">
        <f t="array" ref="Z237">CalculerNouvelleDate(J237,Y237)</f>
        <v/>
      </c>
      <c r="AA237" s="68" t="str" cm="1">
        <f t="array" ref="AA237">CalculerNouvelleDate(K237,Z237)</f>
        <v/>
      </c>
      <c r="AB237" s="68" t="str" cm="1">
        <f t="array" ref="AB237">CalculerNouvelleDate(L237,AA237)</f>
        <v/>
      </c>
      <c r="AC237" s="68" t="str" cm="1">
        <f t="array" ref="AC237">CalculerNouvelleDate(M237,AB237)</f>
        <v/>
      </c>
      <c r="AD237" s="68" t="str" cm="1">
        <f t="array" ref="AD237">CalculerNouvelleDate(N237,AC237)</f>
        <v/>
      </c>
      <c r="AE237" s="68" t="str" cm="1">
        <f t="array" ref="AE237">CalculerNouvelleDate(O237,AD237)</f>
        <v/>
      </c>
      <c r="AF237" s="68" t="str" cm="1">
        <f t="array" ref="AF237">CalculerNouvelleDate(P237,AE237)</f>
        <v/>
      </c>
      <c r="AG237" s="68" t="str" cm="1">
        <f t="array" ref="AG237">CalculerNouvelleDate(Q237,AF237)</f>
        <v/>
      </c>
      <c r="AH237" s="68" t="str" cm="1">
        <f t="array" ref="AH237">CalculerNouvelleDate(R237,AG237)</f>
        <v/>
      </c>
      <c r="AI237" s="68" t="str" cm="1">
        <f t="array" ref="AI237">CalculerNouvelleDate(S237,AH237)</f>
        <v/>
      </c>
      <c r="AJ237" s="68" t="str" cm="1">
        <f t="array" ref="AJ237">CalculerNouvelleDate(T237,AI237)</f>
        <v/>
      </c>
      <c r="AK237" s="68" t="str" cm="1">
        <f t="array" ref="AK237">CalculerNouvelleDate(U237,AJ237)</f>
        <v/>
      </c>
      <c r="AL237" s="68" t="str" cm="1">
        <f t="array" ref="AL237">CalculerNouvelleDate(V237,AK237)</f>
        <v/>
      </c>
      <c r="AM237" s="83" t="str" cm="1">
        <f t="array" ref="AM237">CorrespondanceDAte(X237:AL237,D238)</f>
        <v>0</v>
      </c>
      <c r="AN237" s="1"/>
      <c r="AO237" s="1"/>
      <c r="AP237" s="1"/>
      <c r="AQ237" s="1"/>
      <c r="AR237" s="1"/>
      <c r="AS237" s="1"/>
      <c r="AT237" s="1"/>
      <c r="AU237" s="1"/>
      <c r="AV237" s="1"/>
      <c r="AW237" s="1"/>
      <c r="AX237" s="1"/>
      <c r="AY237" s="1"/>
      <c r="AZ237" s="1"/>
      <c r="BA237" s="1"/>
    </row>
    <row r="238" spans="1:53" x14ac:dyDescent="0.3">
      <c r="A238" s="1"/>
      <c r="B238" s="11"/>
      <c r="C238" s="69" t="s">
        <v>707</v>
      </c>
      <c r="D238" s="1"/>
      <c r="E238" s="1"/>
      <c r="F238" s="1"/>
      <c r="G238" s="1"/>
      <c r="H238" s="43"/>
      <c r="I238" s="46"/>
      <c r="J238" s="46"/>
      <c r="K238" s="46"/>
      <c r="L238" s="46"/>
      <c r="M238" s="46"/>
      <c r="N238" s="46"/>
      <c r="O238" s="46"/>
      <c r="P238" s="46"/>
      <c r="Q238" s="46"/>
      <c r="R238" s="46"/>
      <c r="S238" s="46"/>
      <c r="T238" s="46"/>
      <c r="U238" s="46"/>
      <c r="V238" s="46"/>
      <c r="W238" s="62"/>
      <c r="X238" s="67"/>
      <c r="Y238" s="68" t="str" cm="1">
        <f t="array" ref="Y238">CalculerNouvelleDate(I238,X238)</f>
        <v/>
      </c>
      <c r="Z238" s="68" t="str" cm="1">
        <f t="array" ref="Z238">CalculerNouvelleDate(J238,Y238)</f>
        <v/>
      </c>
      <c r="AA238" s="68" t="str" cm="1">
        <f t="array" ref="AA238">CalculerNouvelleDate(K238,Z238)</f>
        <v/>
      </c>
      <c r="AB238" s="68" t="str" cm="1">
        <f t="array" ref="AB238">CalculerNouvelleDate(L238,AA238)</f>
        <v/>
      </c>
      <c r="AC238" s="68" t="str" cm="1">
        <f t="array" ref="AC238">CalculerNouvelleDate(M238,AB238)</f>
        <v/>
      </c>
      <c r="AD238" s="68" t="str" cm="1">
        <f t="array" ref="AD238">CalculerNouvelleDate(N238,AC238)</f>
        <v/>
      </c>
      <c r="AE238" s="68" t="str" cm="1">
        <f t="array" ref="AE238">CalculerNouvelleDate(O238,AD238)</f>
        <v/>
      </c>
      <c r="AF238" s="68" t="str" cm="1">
        <f t="array" ref="AF238">CalculerNouvelleDate(P238,AE238)</f>
        <v/>
      </c>
      <c r="AG238" s="68" t="str" cm="1">
        <f t="array" ref="AG238">CalculerNouvelleDate(Q238,AF238)</f>
        <v/>
      </c>
      <c r="AH238" s="68" t="str" cm="1">
        <f t="array" ref="AH238">CalculerNouvelleDate(R238,AG238)</f>
        <v/>
      </c>
      <c r="AI238" s="68" t="str" cm="1">
        <f t="array" ref="AI238">CalculerNouvelleDate(S238,AH238)</f>
        <v/>
      </c>
      <c r="AJ238" s="68" t="str" cm="1">
        <f t="array" ref="AJ238">CalculerNouvelleDate(T238,AI238)</f>
        <v/>
      </c>
      <c r="AK238" s="68" t="str" cm="1">
        <f t="array" ref="AK238">CalculerNouvelleDate(U238,AJ238)</f>
        <v/>
      </c>
      <c r="AL238" s="68" t="str" cm="1">
        <f t="array" ref="AL238">CalculerNouvelleDate(V238,AK238)</f>
        <v/>
      </c>
      <c r="AM238" s="83" t="str" cm="1">
        <f t="array" ref="AM238">CorrespondanceDAte(X238:AL238,D239)</f>
        <v>0</v>
      </c>
      <c r="AN238" s="1"/>
      <c r="AO238" s="1"/>
      <c r="AP238" s="1"/>
      <c r="AQ238" s="1"/>
      <c r="AR238" s="1"/>
      <c r="AS238" s="1"/>
      <c r="AT238" s="1"/>
      <c r="AU238" s="1"/>
      <c r="AV238" s="1"/>
      <c r="AW238" s="1"/>
      <c r="AX238" s="1"/>
      <c r="AY238" s="1"/>
      <c r="AZ238" s="1"/>
      <c r="BA238" s="1"/>
    </row>
    <row r="239" spans="1:53" x14ac:dyDescent="0.3">
      <c r="A239" s="1"/>
      <c r="B239" s="11"/>
      <c r="C239" s="1"/>
      <c r="D239" s="1"/>
      <c r="E239" s="1"/>
      <c r="F239" s="1"/>
      <c r="G239" s="1"/>
      <c r="H239" s="43"/>
      <c r="I239" s="46"/>
      <c r="J239" s="46"/>
      <c r="K239" s="46"/>
      <c r="L239" s="46"/>
      <c r="M239" s="46"/>
      <c r="N239" s="46"/>
      <c r="O239" s="46"/>
      <c r="P239" s="46"/>
      <c r="Q239" s="46"/>
      <c r="R239" s="46"/>
      <c r="S239" s="46"/>
      <c r="T239" s="46"/>
      <c r="U239" s="46"/>
      <c r="V239" s="46"/>
      <c r="W239" s="62"/>
      <c r="X239" s="67"/>
      <c r="Y239" s="68" t="str" cm="1">
        <f t="array" ref="Y239">CalculerNouvelleDate(I239,X239)</f>
        <v/>
      </c>
      <c r="Z239" s="68" t="str" cm="1">
        <f t="array" ref="Z239">CalculerNouvelleDate(J239,Y239)</f>
        <v/>
      </c>
      <c r="AA239" s="68" t="str" cm="1">
        <f t="array" ref="AA239">CalculerNouvelleDate(K239,Z239)</f>
        <v/>
      </c>
      <c r="AB239" s="68" t="str" cm="1">
        <f t="array" ref="AB239">CalculerNouvelleDate(L239,AA239)</f>
        <v/>
      </c>
      <c r="AC239" s="68" t="str" cm="1">
        <f t="array" ref="AC239">CalculerNouvelleDate(M239,AB239)</f>
        <v/>
      </c>
      <c r="AD239" s="68" t="str" cm="1">
        <f t="array" ref="AD239">CalculerNouvelleDate(N239,AC239)</f>
        <v/>
      </c>
      <c r="AE239" s="68" t="str" cm="1">
        <f t="array" ref="AE239">CalculerNouvelleDate(O239,AD239)</f>
        <v/>
      </c>
      <c r="AF239" s="68" t="str" cm="1">
        <f t="array" ref="AF239">CalculerNouvelleDate(P239,AE239)</f>
        <v/>
      </c>
      <c r="AG239" s="68" t="str" cm="1">
        <f t="array" ref="AG239">CalculerNouvelleDate(Q239,AF239)</f>
        <v/>
      </c>
      <c r="AH239" s="68" t="str" cm="1">
        <f t="array" ref="AH239">CalculerNouvelleDate(R239,AG239)</f>
        <v/>
      </c>
      <c r="AI239" s="68" t="str" cm="1">
        <f t="array" ref="AI239">CalculerNouvelleDate(S239,AH239)</f>
        <v/>
      </c>
      <c r="AJ239" s="68" t="str" cm="1">
        <f t="array" ref="AJ239">CalculerNouvelleDate(T239,AI239)</f>
        <v/>
      </c>
      <c r="AK239" s="68" t="str" cm="1">
        <f t="array" ref="AK239">CalculerNouvelleDate(U239,AJ239)</f>
        <v/>
      </c>
      <c r="AL239" s="68" t="str" cm="1">
        <f t="array" ref="AL239">CalculerNouvelleDate(V239,AK239)</f>
        <v/>
      </c>
      <c r="AM239" s="83" t="str" cm="1">
        <f t="array" ref="AM239">CorrespondanceDAte(X239:AL239,D240)</f>
        <v>0</v>
      </c>
      <c r="AN239" s="1"/>
      <c r="AO239" s="1"/>
      <c r="AP239" s="1"/>
      <c r="AQ239" s="1"/>
      <c r="AR239" s="1"/>
      <c r="AS239" s="1"/>
      <c r="AT239" s="1"/>
      <c r="AU239" s="1"/>
      <c r="AV239" s="1"/>
      <c r="AW239" s="1"/>
      <c r="AX239" s="1"/>
      <c r="AY239" s="1"/>
      <c r="AZ239" s="1"/>
      <c r="BA239" s="1"/>
    </row>
    <row r="240" spans="1:53" x14ac:dyDescent="0.3">
      <c r="A240" s="20" t="s">
        <v>60</v>
      </c>
      <c r="B240" s="19"/>
      <c r="C240" s="19"/>
      <c r="D240" s="19"/>
      <c r="E240" s="19"/>
      <c r="F240" s="22"/>
      <c r="G240" s="22"/>
      <c r="H240" s="43"/>
      <c r="I240" s="1"/>
      <c r="J240" s="1"/>
      <c r="K240" s="1"/>
      <c r="L240" s="1"/>
      <c r="M240" s="1"/>
      <c r="N240" s="1"/>
      <c r="O240" s="1"/>
      <c r="P240" s="1"/>
      <c r="Q240" s="1"/>
      <c r="R240" s="1"/>
      <c r="S240" s="1"/>
      <c r="T240" s="1"/>
      <c r="U240" s="1"/>
      <c r="V240" s="1"/>
      <c r="W240" s="11"/>
      <c r="X240" s="67"/>
      <c r="Y240" s="68" t="str" cm="1">
        <f t="array" ref="Y240">CalculerNouvelleDate(I240,X240)</f>
        <v/>
      </c>
      <c r="Z240" s="68" t="str" cm="1">
        <f t="array" ref="Z240">CalculerNouvelleDate(J240,Y240)</f>
        <v/>
      </c>
      <c r="AA240" s="68" t="str" cm="1">
        <f t="array" ref="AA240">CalculerNouvelleDate(K240,Z240)</f>
        <v/>
      </c>
      <c r="AB240" s="68" t="str" cm="1">
        <f t="array" ref="AB240">CalculerNouvelleDate(L240,AA240)</f>
        <v/>
      </c>
      <c r="AC240" s="68" t="str" cm="1">
        <f t="array" ref="AC240">CalculerNouvelleDate(M240,AB240)</f>
        <v/>
      </c>
      <c r="AD240" s="68" t="str" cm="1">
        <f t="array" ref="AD240">CalculerNouvelleDate(N240,AC240)</f>
        <v/>
      </c>
      <c r="AE240" s="68" t="str" cm="1">
        <f t="array" ref="AE240">CalculerNouvelleDate(O240,AD240)</f>
        <v/>
      </c>
      <c r="AF240" s="68" t="str" cm="1">
        <f t="array" ref="AF240">CalculerNouvelleDate(P240,AE240)</f>
        <v/>
      </c>
      <c r="AG240" s="68" t="str" cm="1">
        <f t="array" ref="AG240">CalculerNouvelleDate(Q240,AF240)</f>
        <v/>
      </c>
      <c r="AH240" s="68" t="str" cm="1">
        <f t="array" ref="AH240">CalculerNouvelleDate(R240,AG240)</f>
        <v/>
      </c>
      <c r="AI240" s="68" t="str" cm="1">
        <f t="array" ref="AI240">CalculerNouvelleDate(S240,AH240)</f>
        <v/>
      </c>
      <c r="AJ240" s="68" t="str" cm="1">
        <f t="array" ref="AJ240">CalculerNouvelleDate(T240,AI240)</f>
        <v/>
      </c>
      <c r="AK240" s="68" t="str" cm="1">
        <f t="array" ref="AK240">CalculerNouvelleDate(U240,AJ240)</f>
        <v/>
      </c>
      <c r="AL240" s="68" t="str" cm="1">
        <f t="array" ref="AL240">CalculerNouvelleDate(V240,AK240)</f>
        <v/>
      </c>
      <c r="AM240" s="83" t="str" cm="1">
        <f t="array" ref="AM240">CorrespondanceDAte(X240:AL240,D241)</f>
        <v>0</v>
      </c>
      <c r="AN240" s="1"/>
      <c r="AO240" s="1"/>
      <c r="AP240" s="1"/>
      <c r="AQ240" s="1"/>
      <c r="AR240" s="1"/>
      <c r="AS240" s="1"/>
      <c r="AT240" s="1"/>
      <c r="AU240" s="1"/>
      <c r="AV240" s="1"/>
      <c r="AW240" s="1"/>
      <c r="AX240" s="1"/>
      <c r="AY240" s="1"/>
      <c r="AZ240" s="1"/>
      <c r="BA240" s="1"/>
    </row>
    <row r="241" spans="1:53" x14ac:dyDescent="0.3">
      <c r="A241" s="1"/>
      <c r="B241" s="11">
        <v>1</v>
      </c>
      <c r="C241" s="1" t="s">
        <v>59</v>
      </c>
      <c r="D241" s="1"/>
      <c r="E241" s="1"/>
      <c r="F241" s="1"/>
      <c r="G241" s="1"/>
      <c r="H241" s="43"/>
      <c r="I241" s="1"/>
      <c r="J241" s="1"/>
      <c r="K241" s="1"/>
      <c r="L241" s="1"/>
      <c r="M241" s="1"/>
      <c r="N241" s="1"/>
      <c r="O241" s="1"/>
      <c r="P241" s="1"/>
      <c r="Q241" s="1"/>
      <c r="R241" s="1"/>
      <c r="S241" s="1"/>
      <c r="T241" s="1"/>
      <c r="U241" s="1"/>
      <c r="V241" s="1"/>
      <c r="W241" s="11"/>
      <c r="X241" s="67"/>
      <c r="Y241" s="68" t="str" cm="1">
        <f t="array" ref="Y241">CalculerNouvelleDate(I241,X241)</f>
        <v/>
      </c>
      <c r="Z241" s="68" t="str" cm="1">
        <f t="array" ref="Z241">CalculerNouvelleDate(J241,Y241)</f>
        <v/>
      </c>
      <c r="AA241" s="68" t="str" cm="1">
        <f t="array" ref="AA241">CalculerNouvelleDate(K241,Z241)</f>
        <v/>
      </c>
      <c r="AB241" s="68" t="str" cm="1">
        <f t="array" ref="AB241">CalculerNouvelleDate(L241,AA241)</f>
        <v/>
      </c>
      <c r="AC241" s="68" t="str" cm="1">
        <f t="array" ref="AC241">CalculerNouvelleDate(M241,AB241)</f>
        <v/>
      </c>
      <c r="AD241" s="68" t="str" cm="1">
        <f t="array" ref="AD241">CalculerNouvelleDate(N241,AC241)</f>
        <v/>
      </c>
      <c r="AE241" s="68" t="str" cm="1">
        <f t="array" ref="AE241">CalculerNouvelleDate(O241,AD241)</f>
        <v/>
      </c>
      <c r="AF241" s="68" t="str" cm="1">
        <f t="array" ref="AF241">CalculerNouvelleDate(P241,AE241)</f>
        <v/>
      </c>
      <c r="AG241" s="68" t="str" cm="1">
        <f t="array" ref="AG241">CalculerNouvelleDate(Q241,AF241)</f>
        <v/>
      </c>
      <c r="AH241" s="68" t="str" cm="1">
        <f t="array" ref="AH241">CalculerNouvelleDate(R241,AG241)</f>
        <v/>
      </c>
      <c r="AI241" s="68" t="str" cm="1">
        <f t="array" ref="AI241">CalculerNouvelleDate(S241,AH241)</f>
        <v/>
      </c>
      <c r="AJ241" s="68" t="str" cm="1">
        <f t="array" ref="AJ241">CalculerNouvelleDate(T241,AI241)</f>
        <v/>
      </c>
      <c r="AK241" s="68" t="str" cm="1">
        <f t="array" ref="AK241">CalculerNouvelleDate(U241,AJ241)</f>
        <v/>
      </c>
      <c r="AL241" s="68" t="str" cm="1">
        <f t="array" ref="AL241">CalculerNouvelleDate(V241,AK241)</f>
        <v/>
      </c>
      <c r="AM241" s="83" t="str" cm="1">
        <f t="array" ref="AM241">CorrespondanceDAte(X241:AL241,D242)</f>
        <v>0</v>
      </c>
      <c r="AN241" s="1"/>
      <c r="AO241" s="1"/>
      <c r="AP241" s="1"/>
      <c r="AQ241" s="1"/>
      <c r="AR241" s="1"/>
      <c r="AS241" s="1"/>
      <c r="AT241" s="1"/>
      <c r="AU241" s="1"/>
      <c r="AV241" s="1"/>
      <c r="AW241" s="1"/>
      <c r="AX241" s="1"/>
      <c r="AY241" s="1"/>
      <c r="AZ241" s="1"/>
      <c r="BA241" s="1"/>
    </row>
    <row r="242" spans="1:53" x14ac:dyDescent="0.3">
      <c r="A242" s="1"/>
      <c r="B242" s="11"/>
      <c r="C242" s="69" t="s">
        <v>531</v>
      </c>
      <c r="D242" s="1"/>
      <c r="E242" s="1"/>
      <c r="F242" s="1"/>
      <c r="G242" s="1"/>
      <c r="H242" s="43"/>
      <c r="I242" s="46"/>
      <c r="J242" s="46"/>
      <c r="K242" s="46"/>
      <c r="L242" s="46"/>
      <c r="M242" s="46"/>
      <c r="N242" s="46"/>
      <c r="O242" s="46"/>
      <c r="P242" s="46"/>
      <c r="Q242" s="46"/>
      <c r="R242" s="46"/>
      <c r="S242" s="46"/>
      <c r="T242" s="46"/>
      <c r="U242" s="46"/>
      <c r="V242" s="46"/>
      <c r="W242" s="62"/>
      <c r="X242" s="67"/>
      <c r="Y242" s="68" t="str" cm="1">
        <f t="array" ref="Y242">CalculerNouvelleDate(I242,X242)</f>
        <v/>
      </c>
      <c r="Z242" s="68" t="str" cm="1">
        <f t="array" ref="Z242">CalculerNouvelleDate(J242,Y242)</f>
        <v/>
      </c>
      <c r="AA242" s="68" t="str" cm="1">
        <f t="array" ref="AA242">CalculerNouvelleDate(K242,Z242)</f>
        <v/>
      </c>
      <c r="AB242" s="68" t="str" cm="1">
        <f t="array" ref="AB242">CalculerNouvelleDate(L242,AA242)</f>
        <v/>
      </c>
      <c r="AC242" s="68" t="str" cm="1">
        <f t="array" ref="AC242">CalculerNouvelleDate(M242,AB242)</f>
        <v/>
      </c>
      <c r="AD242" s="68" t="str" cm="1">
        <f t="array" ref="AD242">CalculerNouvelleDate(N242,AC242)</f>
        <v/>
      </c>
      <c r="AE242" s="68" t="str" cm="1">
        <f t="array" ref="AE242">CalculerNouvelleDate(O242,AD242)</f>
        <v/>
      </c>
      <c r="AF242" s="68" t="str" cm="1">
        <f t="array" ref="AF242">CalculerNouvelleDate(P242,AE242)</f>
        <v/>
      </c>
      <c r="AG242" s="68" t="str" cm="1">
        <f t="array" ref="AG242">CalculerNouvelleDate(Q242,AF242)</f>
        <v/>
      </c>
      <c r="AH242" s="68" t="str" cm="1">
        <f t="array" ref="AH242">CalculerNouvelleDate(R242,AG242)</f>
        <v/>
      </c>
      <c r="AI242" s="68" t="str" cm="1">
        <f t="array" ref="AI242">CalculerNouvelleDate(S242,AH242)</f>
        <v/>
      </c>
      <c r="AJ242" s="68" t="str" cm="1">
        <f t="array" ref="AJ242">CalculerNouvelleDate(T242,AI242)</f>
        <v/>
      </c>
      <c r="AK242" s="68" t="str" cm="1">
        <f t="array" ref="AK242">CalculerNouvelleDate(U242,AJ242)</f>
        <v/>
      </c>
      <c r="AL242" s="68" t="str" cm="1">
        <f t="array" ref="AL242">CalculerNouvelleDate(V242,AK242)</f>
        <v/>
      </c>
      <c r="AM242" s="83" t="str" cm="1">
        <f t="array" ref="AM242">CorrespondanceDAte(X242:AL242,D243)</f>
        <v>0</v>
      </c>
      <c r="AN242" s="1"/>
      <c r="AO242" s="1"/>
      <c r="AP242" s="1"/>
      <c r="AQ242" s="1"/>
      <c r="AR242" s="1"/>
      <c r="AS242" s="1"/>
      <c r="AT242" s="1"/>
      <c r="AU242" s="1"/>
      <c r="AV242" s="1"/>
      <c r="AW242" s="1"/>
      <c r="AX242" s="1"/>
      <c r="AY242" s="1"/>
      <c r="AZ242" s="1"/>
      <c r="BA242" s="1"/>
    </row>
    <row r="243" spans="1:53" x14ac:dyDescent="0.3">
      <c r="A243" s="1"/>
      <c r="B243" s="11"/>
      <c r="C243" s="69" t="s">
        <v>534</v>
      </c>
      <c r="D243" s="1"/>
      <c r="E243" s="1"/>
      <c r="F243" s="1"/>
      <c r="G243" s="1"/>
      <c r="H243" s="43"/>
      <c r="I243" s="46"/>
      <c r="J243" s="46"/>
      <c r="K243" s="46"/>
      <c r="L243" s="46"/>
      <c r="M243" s="46"/>
      <c r="N243" s="46"/>
      <c r="O243" s="46"/>
      <c r="P243" s="46"/>
      <c r="Q243" s="46"/>
      <c r="R243" s="46"/>
      <c r="S243" s="46"/>
      <c r="T243" s="46"/>
      <c r="U243" s="46"/>
      <c r="V243" s="46"/>
      <c r="W243" s="62"/>
      <c r="X243" s="67"/>
      <c r="Y243" s="68" t="str" cm="1">
        <f t="array" ref="Y243">CalculerNouvelleDate(I243,X243)</f>
        <v/>
      </c>
      <c r="Z243" s="68" t="str" cm="1">
        <f t="array" ref="Z243">CalculerNouvelleDate(J243,Y243)</f>
        <v/>
      </c>
      <c r="AA243" s="68" t="str" cm="1">
        <f t="array" ref="AA243">CalculerNouvelleDate(K243,Z243)</f>
        <v/>
      </c>
      <c r="AB243" s="68" t="str" cm="1">
        <f t="array" ref="AB243">CalculerNouvelleDate(L243,AA243)</f>
        <v/>
      </c>
      <c r="AC243" s="68" t="str" cm="1">
        <f t="array" ref="AC243">CalculerNouvelleDate(M243,AB243)</f>
        <v/>
      </c>
      <c r="AD243" s="68" t="str" cm="1">
        <f t="array" ref="AD243">CalculerNouvelleDate(N243,AC243)</f>
        <v/>
      </c>
      <c r="AE243" s="68" t="str" cm="1">
        <f t="array" ref="AE243">CalculerNouvelleDate(O243,AD243)</f>
        <v/>
      </c>
      <c r="AF243" s="68" t="str" cm="1">
        <f t="array" ref="AF243">CalculerNouvelleDate(P243,AE243)</f>
        <v/>
      </c>
      <c r="AG243" s="68" t="str" cm="1">
        <f t="array" ref="AG243">CalculerNouvelleDate(Q243,AF243)</f>
        <v/>
      </c>
      <c r="AH243" s="68" t="str" cm="1">
        <f t="array" ref="AH243">CalculerNouvelleDate(R243,AG243)</f>
        <v/>
      </c>
      <c r="AI243" s="68" t="str" cm="1">
        <f t="array" ref="AI243">CalculerNouvelleDate(S243,AH243)</f>
        <v/>
      </c>
      <c r="AJ243" s="68" t="str" cm="1">
        <f t="array" ref="AJ243">CalculerNouvelleDate(T243,AI243)</f>
        <v/>
      </c>
      <c r="AK243" s="68" t="str" cm="1">
        <f t="array" ref="AK243">CalculerNouvelleDate(U243,AJ243)</f>
        <v/>
      </c>
      <c r="AL243" s="68" t="str" cm="1">
        <f t="array" ref="AL243">CalculerNouvelleDate(V243,AK243)</f>
        <v/>
      </c>
      <c r="AM243" s="83" t="str" cm="1">
        <f t="array" ref="AM243">CorrespondanceDAte(X243:AL243,D244)</f>
        <v>0</v>
      </c>
      <c r="AN243" s="1"/>
      <c r="AO243" s="1"/>
      <c r="AP243" s="1"/>
      <c r="AQ243" s="1"/>
      <c r="AR243" s="1"/>
      <c r="AS243" s="1"/>
      <c r="AT243" s="1"/>
      <c r="AU243" s="1"/>
      <c r="AV243" s="1"/>
      <c r="AW243" s="1"/>
      <c r="AX243" s="1"/>
      <c r="AY243" s="1"/>
      <c r="AZ243" s="1"/>
      <c r="BA243" s="1"/>
    </row>
    <row r="244" spans="1:53" x14ac:dyDescent="0.3">
      <c r="A244" s="1"/>
      <c r="B244" s="11"/>
      <c r="C244" s="69" t="s">
        <v>538</v>
      </c>
      <c r="D244" s="1"/>
      <c r="E244" s="1"/>
      <c r="F244" s="1"/>
      <c r="G244" s="1"/>
      <c r="H244" s="43"/>
      <c r="I244" s="46"/>
      <c r="J244" s="46"/>
      <c r="K244" s="46"/>
      <c r="L244" s="46"/>
      <c r="M244" s="46"/>
      <c r="N244" s="46"/>
      <c r="O244" s="46"/>
      <c r="P244" s="46"/>
      <c r="Q244" s="46"/>
      <c r="R244" s="46"/>
      <c r="S244" s="46"/>
      <c r="T244" s="46"/>
      <c r="U244" s="46"/>
      <c r="V244" s="46"/>
      <c r="W244" s="62"/>
      <c r="X244" s="67"/>
      <c r="Y244" s="68" t="str" cm="1">
        <f t="array" ref="Y244">CalculerNouvelleDate(I244,X244)</f>
        <v/>
      </c>
      <c r="Z244" s="68" t="str" cm="1">
        <f t="array" ref="Z244">CalculerNouvelleDate(J244,Y244)</f>
        <v/>
      </c>
      <c r="AA244" s="68" t="str" cm="1">
        <f t="array" ref="AA244">CalculerNouvelleDate(K244,Z244)</f>
        <v/>
      </c>
      <c r="AB244" s="68" t="str" cm="1">
        <f t="array" ref="AB244">CalculerNouvelleDate(L244,AA244)</f>
        <v/>
      </c>
      <c r="AC244" s="68" t="str" cm="1">
        <f t="array" ref="AC244">CalculerNouvelleDate(M244,AB244)</f>
        <v/>
      </c>
      <c r="AD244" s="68" t="str" cm="1">
        <f t="array" ref="AD244">CalculerNouvelleDate(N244,AC244)</f>
        <v/>
      </c>
      <c r="AE244" s="68" t="str" cm="1">
        <f t="array" ref="AE244">CalculerNouvelleDate(O244,AD244)</f>
        <v/>
      </c>
      <c r="AF244" s="68" t="str" cm="1">
        <f t="array" ref="AF244">CalculerNouvelleDate(P244,AE244)</f>
        <v/>
      </c>
      <c r="AG244" s="68" t="str" cm="1">
        <f t="array" ref="AG244">CalculerNouvelleDate(Q244,AF244)</f>
        <v/>
      </c>
      <c r="AH244" s="68" t="str" cm="1">
        <f t="array" ref="AH244">CalculerNouvelleDate(R244,AG244)</f>
        <v/>
      </c>
      <c r="AI244" s="68" t="str" cm="1">
        <f t="array" ref="AI244">CalculerNouvelleDate(S244,AH244)</f>
        <v/>
      </c>
      <c r="AJ244" s="68" t="str" cm="1">
        <f t="array" ref="AJ244">CalculerNouvelleDate(T244,AI244)</f>
        <v/>
      </c>
      <c r="AK244" s="68" t="str" cm="1">
        <f t="array" ref="AK244">CalculerNouvelleDate(U244,AJ244)</f>
        <v/>
      </c>
      <c r="AL244" s="68" t="str" cm="1">
        <f t="array" ref="AL244">CalculerNouvelleDate(V244,AK244)</f>
        <v/>
      </c>
      <c r="AM244" s="83" t="str" cm="1">
        <f t="array" ref="AM244">CorrespondanceDAte(X244:AL244,D245)</f>
        <v>0</v>
      </c>
      <c r="AN244" s="1"/>
      <c r="AO244" s="1"/>
      <c r="AP244" s="1"/>
      <c r="AQ244" s="1"/>
      <c r="AR244" s="1"/>
      <c r="AS244" s="1"/>
      <c r="AT244" s="1"/>
      <c r="AU244" s="1"/>
      <c r="AV244" s="1"/>
      <c r="AW244" s="1"/>
      <c r="AX244" s="1"/>
      <c r="AY244" s="1"/>
      <c r="AZ244" s="1"/>
      <c r="BA244" s="1"/>
    </row>
    <row r="245" spans="1:53" x14ac:dyDescent="0.3">
      <c r="A245" s="1"/>
      <c r="B245" s="11"/>
      <c r="C245" s="69" t="s">
        <v>539</v>
      </c>
      <c r="D245" s="1"/>
      <c r="E245" s="1"/>
      <c r="F245" s="1"/>
      <c r="G245" s="1"/>
      <c r="H245" s="43"/>
      <c r="I245" s="46"/>
      <c r="J245" s="46"/>
      <c r="K245" s="46"/>
      <c r="L245" s="46"/>
      <c r="M245" s="46"/>
      <c r="N245" s="46"/>
      <c r="O245" s="46"/>
      <c r="P245" s="46"/>
      <c r="Q245" s="46"/>
      <c r="R245" s="46"/>
      <c r="S245" s="46"/>
      <c r="T245" s="46"/>
      <c r="U245" s="46"/>
      <c r="V245" s="46"/>
      <c r="W245" s="62"/>
      <c r="X245" s="67"/>
      <c r="Y245" s="68" t="str" cm="1">
        <f t="array" ref="Y245">CalculerNouvelleDate(I245,X245)</f>
        <v/>
      </c>
      <c r="Z245" s="68" t="str" cm="1">
        <f t="array" ref="Z245">CalculerNouvelleDate(J245,Y245)</f>
        <v/>
      </c>
      <c r="AA245" s="68" t="str" cm="1">
        <f t="array" ref="AA245">CalculerNouvelleDate(K245,Z245)</f>
        <v/>
      </c>
      <c r="AB245" s="68" t="str" cm="1">
        <f t="array" ref="AB245">CalculerNouvelleDate(L245,AA245)</f>
        <v/>
      </c>
      <c r="AC245" s="68" t="str" cm="1">
        <f t="array" ref="AC245">CalculerNouvelleDate(M245,AB245)</f>
        <v/>
      </c>
      <c r="AD245" s="68" t="str" cm="1">
        <f t="array" ref="AD245">CalculerNouvelleDate(N245,AC245)</f>
        <v/>
      </c>
      <c r="AE245" s="68" t="str" cm="1">
        <f t="array" ref="AE245">CalculerNouvelleDate(O245,AD245)</f>
        <v/>
      </c>
      <c r="AF245" s="68" t="str" cm="1">
        <f t="array" ref="AF245">CalculerNouvelleDate(P245,AE245)</f>
        <v/>
      </c>
      <c r="AG245" s="68" t="str" cm="1">
        <f t="array" ref="AG245">CalculerNouvelleDate(Q245,AF245)</f>
        <v/>
      </c>
      <c r="AH245" s="68" t="str" cm="1">
        <f t="array" ref="AH245">CalculerNouvelleDate(R245,AG245)</f>
        <v/>
      </c>
      <c r="AI245" s="68" t="str" cm="1">
        <f t="array" ref="AI245">CalculerNouvelleDate(S245,AH245)</f>
        <v/>
      </c>
      <c r="AJ245" s="68" t="str" cm="1">
        <f t="array" ref="AJ245">CalculerNouvelleDate(T245,AI245)</f>
        <v/>
      </c>
      <c r="AK245" s="68" t="str" cm="1">
        <f t="array" ref="AK245">CalculerNouvelleDate(U245,AJ245)</f>
        <v/>
      </c>
      <c r="AL245" s="68" t="str" cm="1">
        <f t="array" ref="AL245">CalculerNouvelleDate(V245,AK245)</f>
        <v/>
      </c>
      <c r="AM245" s="83" t="str" cm="1">
        <f t="array" ref="AM245">CorrespondanceDAte(X245:AL245,D246)</f>
        <v>0</v>
      </c>
      <c r="AN245" s="1"/>
      <c r="AO245" s="1"/>
      <c r="AP245" s="1"/>
      <c r="AQ245" s="1"/>
      <c r="AR245" s="1"/>
      <c r="AS245" s="1"/>
      <c r="AT245" s="1"/>
      <c r="AU245" s="1"/>
      <c r="AV245" s="1"/>
      <c r="AW245" s="1"/>
      <c r="AX245" s="1"/>
      <c r="AY245" s="1"/>
      <c r="AZ245" s="1"/>
      <c r="BA245" s="1"/>
    </row>
    <row r="246" spans="1:53" x14ac:dyDescent="0.3">
      <c r="A246" s="1"/>
      <c r="B246" s="11"/>
      <c r="C246" s="69" t="s">
        <v>540</v>
      </c>
      <c r="D246" s="1"/>
      <c r="E246" s="1"/>
      <c r="F246" s="1"/>
      <c r="G246" s="1"/>
      <c r="H246" s="43"/>
      <c r="I246" s="46"/>
      <c r="J246" s="46"/>
      <c r="K246" s="46"/>
      <c r="L246" s="46"/>
      <c r="M246" s="46"/>
      <c r="N246" s="46"/>
      <c r="O246" s="46"/>
      <c r="P246" s="46"/>
      <c r="Q246" s="46"/>
      <c r="R246" s="46"/>
      <c r="S246" s="46"/>
      <c r="T246" s="46"/>
      <c r="U246" s="46"/>
      <c r="V246" s="46"/>
      <c r="W246" s="62"/>
      <c r="X246" s="67"/>
      <c r="Y246" s="68" t="str" cm="1">
        <f t="array" ref="Y246">CalculerNouvelleDate(I246,X246)</f>
        <v/>
      </c>
      <c r="Z246" s="68" t="str" cm="1">
        <f t="array" ref="Z246">CalculerNouvelleDate(J246,Y246)</f>
        <v/>
      </c>
      <c r="AA246" s="68" t="str" cm="1">
        <f t="array" ref="AA246">CalculerNouvelleDate(K246,Z246)</f>
        <v/>
      </c>
      <c r="AB246" s="68" t="str" cm="1">
        <f t="array" ref="AB246">CalculerNouvelleDate(L246,AA246)</f>
        <v/>
      </c>
      <c r="AC246" s="68" t="str" cm="1">
        <f t="array" ref="AC246">CalculerNouvelleDate(M246,AB246)</f>
        <v/>
      </c>
      <c r="AD246" s="68" t="str" cm="1">
        <f t="array" ref="AD246">CalculerNouvelleDate(N246,AC246)</f>
        <v/>
      </c>
      <c r="AE246" s="68" t="str" cm="1">
        <f t="array" ref="AE246">CalculerNouvelleDate(O246,AD246)</f>
        <v/>
      </c>
      <c r="AF246" s="68" t="str" cm="1">
        <f t="array" ref="AF246">CalculerNouvelleDate(P246,AE246)</f>
        <v/>
      </c>
      <c r="AG246" s="68" t="str" cm="1">
        <f t="array" ref="AG246">CalculerNouvelleDate(Q246,AF246)</f>
        <v/>
      </c>
      <c r="AH246" s="68" t="str" cm="1">
        <f t="array" ref="AH246">CalculerNouvelleDate(R246,AG246)</f>
        <v/>
      </c>
      <c r="AI246" s="68" t="str" cm="1">
        <f t="array" ref="AI246">CalculerNouvelleDate(S246,AH246)</f>
        <v/>
      </c>
      <c r="AJ246" s="68" t="str" cm="1">
        <f t="array" ref="AJ246">CalculerNouvelleDate(T246,AI246)</f>
        <v/>
      </c>
      <c r="AK246" s="68" t="str" cm="1">
        <f t="array" ref="AK246">CalculerNouvelleDate(U246,AJ246)</f>
        <v/>
      </c>
      <c r="AL246" s="68" t="str" cm="1">
        <f t="array" ref="AL246">CalculerNouvelleDate(V246,AK246)</f>
        <v/>
      </c>
      <c r="AM246" s="83" t="str" cm="1">
        <f t="array" ref="AM246">CorrespondanceDAte(X246:AL246,D247)</f>
        <v>0</v>
      </c>
      <c r="AN246" s="1"/>
      <c r="AO246" s="1"/>
      <c r="AP246" s="1"/>
      <c r="AQ246" s="1"/>
      <c r="AR246" s="1"/>
      <c r="AS246" s="1"/>
      <c r="AT246" s="1"/>
      <c r="AU246" s="1"/>
      <c r="AV246" s="1"/>
      <c r="AW246" s="1"/>
      <c r="AX246" s="1"/>
      <c r="AY246" s="1"/>
      <c r="AZ246" s="1"/>
      <c r="BA246" s="1"/>
    </row>
    <row r="247" spans="1:53" x14ac:dyDescent="0.3">
      <c r="A247" s="1"/>
      <c r="B247" s="11"/>
      <c r="C247" s="69" t="s">
        <v>637</v>
      </c>
      <c r="D247" s="1"/>
      <c r="E247" s="1"/>
      <c r="F247" s="1"/>
      <c r="G247" s="1"/>
      <c r="H247" s="43"/>
      <c r="I247" s="46"/>
      <c r="J247" s="46"/>
      <c r="K247" s="46"/>
      <c r="L247" s="46"/>
      <c r="M247" s="46"/>
      <c r="N247" s="46"/>
      <c r="O247" s="46"/>
      <c r="P247" s="46"/>
      <c r="Q247" s="46"/>
      <c r="R247" s="46"/>
      <c r="S247" s="46"/>
      <c r="T247" s="46"/>
      <c r="U247" s="46"/>
      <c r="V247" s="46"/>
      <c r="W247" s="62"/>
      <c r="X247" s="67"/>
      <c r="Y247" s="68" t="str" cm="1">
        <f t="array" ref="Y247">CalculerNouvelleDate(I247,X247)</f>
        <v/>
      </c>
      <c r="Z247" s="68" t="str" cm="1">
        <f t="array" ref="Z247">CalculerNouvelleDate(J247,Y247)</f>
        <v/>
      </c>
      <c r="AA247" s="68" t="str" cm="1">
        <f t="array" ref="AA247">CalculerNouvelleDate(K247,Z247)</f>
        <v/>
      </c>
      <c r="AB247" s="68" t="str" cm="1">
        <f t="array" ref="AB247">CalculerNouvelleDate(L247,AA247)</f>
        <v/>
      </c>
      <c r="AC247" s="68" t="str" cm="1">
        <f t="array" ref="AC247">CalculerNouvelleDate(M247,AB247)</f>
        <v/>
      </c>
      <c r="AD247" s="68" t="str" cm="1">
        <f t="array" ref="AD247">CalculerNouvelleDate(N247,AC247)</f>
        <v/>
      </c>
      <c r="AE247" s="68" t="str" cm="1">
        <f t="array" ref="AE247">CalculerNouvelleDate(O247,AD247)</f>
        <v/>
      </c>
      <c r="AF247" s="68" t="str" cm="1">
        <f t="array" ref="AF247">CalculerNouvelleDate(P247,AE247)</f>
        <v/>
      </c>
      <c r="AG247" s="68" t="str" cm="1">
        <f t="array" ref="AG247">CalculerNouvelleDate(Q247,AF247)</f>
        <v/>
      </c>
      <c r="AH247" s="68" t="str" cm="1">
        <f t="array" ref="AH247">CalculerNouvelleDate(R247,AG247)</f>
        <v/>
      </c>
      <c r="AI247" s="68" t="str" cm="1">
        <f t="array" ref="AI247">CalculerNouvelleDate(S247,AH247)</f>
        <v/>
      </c>
      <c r="AJ247" s="68" t="str" cm="1">
        <f t="array" ref="AJ247">CalculerNouvelleDate(T247,AI247)</f>
        <v/>
      </c>
      <c r="AK247" s="68" t="str" cm="1">
        <f t="array" ref="AK247">CalculerNouvelleDate(U247,AJ247)</f>
        <v/>
      </c>
      <c r="AL247" s="68" t="str" cm="1">
        <f t="array" ref="AL247">CalculerNouvelleDate(V247,AK247)</f>
        <v/>
      </c>
      <c r="AM247" s="83" t="str" cm="1">
        <f t="array" ref="AM247">CorrespondanceDAte(X247:AL247,D248)</f>
        <v>0</v>
      </c>
      <c r="AN247" s="1"/>
      <c r="AO247" s="1"/>
      <c r="AP247" s="1"/>
      <c r="AQ247" s="1"/>
      <c r="AR247" s="1"/>
      <c r="AS247" s="1"/>
      <c r="AT247" s="1"/>
      <c r="AU247" s="1"/>
      <c r="AV247" s="1"/>
      <c r="AW247" s="1"/>
      <c r="AX247" s="1"/>
      <c r="AY247" s="1"/>
      <c r="AZ247" s="1"/>
      <c r="BA247" s="1"/>
    </row>
    <row r="248" spans="1:53" x14ac:dyDescent="0.3">
      <c r="A248" s="1"/>
      <c r="B248" s="11"/>
      <c r="C248" s="69" t="s">
        <v>638</v>
      </c>
      <c r="D248" s="1"/>
      <c r="E248" s="1"/>
      <c r="F248" s="1"/>
      <c r="G248" s="1"/>
      <c r="H248" s="43"/>
      <c r="I248" s="46"/>
      <c r="J248" s="46"/>
      <c r="K248" s="46"/>
      <c r="L248" s="46"/>
      <c r="M248" s="46"/>
      <c r="N248" s="46"/>
      <c r="O248" s="46"/>
      <c r="P248" s="46"/>
      <c r="Q248" s="46"/>
      <c r="R248" s="46"/>
      <c r="S248" s="46"/>
      <c r="T248" s="46"/>
      <c r="U248" s="46"/>
      <c r="V248" s="46"/>
      <c r="W248" s="62"/>
      <c r="X248" s="67"/>
      <c r="Y248" s="68" t="str" cm="1">
        <f t="array" ref="Y248">CalculerNouvelleDate(I248,X248)</f>
        <v/>
      </c>
      <c r="Z248" s="68" t="str" cm="1">
        <f t="array" ref="Z248">CalculerNouvelleDate(J248,Y248)</f>
        <v/>
      </c>
      <c r="AA248" s="68" t="str" cm="1">
        <f t="array" ref="AA248">CalculerNouvelleDate(K248,Z248)</f>
        <v/>
      </c>
      <c r="AB248" s="68" t="str" cm="1">
        <f t="array" ref="AB248">CalculerNouvelleDate(L248,AA248)</f>
        <v/>
      </c>
      <c r="AC248" s="68" t="str" cm="1">
        <f t="array" ref="AC248">CalculerNouvelleDate(M248,AB248)</f>
        <v/>
      </c>
      <c r="AD248" s="68" t="str" cm="1">
        <f t="array" ref="AD248">CalculerNouvelleDate(N248,AC248)</f>
        <v/>
      </c>
      <c r="AE248" s="68" t="str" cm="1">
        <f t="array" ref="AE248">CalculerNouvelleDate(O248,AD248)</f>
        <v/>
      </c>
      <c r="AF248" s="68" t="str" cm="1">
        <f t="array" ref="AF248">CalculerNouvelleDate(P248,AE248)</f>
        <v/>
      </c>
      <c r="AG248" s="68" t="str" cm="1">
        <f t="array" ref="AG248">CalculerNouvelleDate(Q248,AF248)</f>
        <v/>
      </c>
      <c r="AH248" s="68" t="str" cm="1">
        <f t="array" ref="AH248">CalculerNouvelleDate(R248,AG248)</f>
        <v/>
      </c>
      <c r="AI248" s="68" t="str" cm="1">
        <f t="array" ref="AI248">CalculerNouvelleDate(S248,AH248)</f>
        <v/>
      </c>
      <c r="AJ248" s="68" t="str" cm="1">
        <f t="array" ref="AJ248">CalculerNouvelleDate(T248,AI248)</f>
        <v/>
      </c>
      <c r="AK248" s="68" t="str" cm="1">
        <f t="array" ref="AK248">CalculerNouvelleDate(U248,AJ248)</f>
        <v/>
      </c>
      <c r="AL248" s="68" t="str" cm="1">
        <f t="array" ref="AL248">CalculerNouvelleDate(V248,AK248)</f>
        <v/>
      </c>
      <c r="AM248" s="83" t="str" cm="1">
        <f t="array" ref="AM248">CorrespondanceDAte(X248:AL248,D249)</f>
        <v>0</v>
      </c>
      <c r="AN248" s="1"/>
      <c r="AO248" s="1"/>
      <c r="AP248" s="1"/>
      <c r="AQ248" s="1"/>
      <c r="AR248" s="1"/>
      <c r="AS248" s="1"/>
      <c r="AT248" s="1"/>
      <c r="AU248" s="1"/>
      <c r="AV248" s="1"/>
      <c r="AW248" s="1"/>
      <c r="AX248" s="1"/>
      <c r="AY248" s="1"/>
      <c r="AZ248" s="1"/>
      <c r="BA248" s="1"/>
    </row>
    <row r="249" spans="1:53" x14ac:dyDescent="0.3">
      <c r="A249" s="1"/>
      <c r="B249" s="11"/>
      <c r="C249" s="69" t="s">
        <v>639</v>
      </c>
      <c r="D249" s="1"/>
      <c r="E249" s="1"/>
      <c r="F249" s="1"/>
      <c r="G249" s="1"/>
      <c r="H249" s="43"/>
      <c r="I249" s="46"/>
      <c r="J249" s="46"/>
      <c r="K249" s="46"/>
      <c r="L249" s="46"/>
      <c r="M249" s="46"/>
      <c r="N249" s="46"/>
      <c r="O249" s="46"/>
      <c r="P249" s="46"/>
      <c r="Q249" s="46"/>
      <c r="R249" s="46"/>
      <c r="S249" s="46"/>
      <c r="T249" s="46"/>
      <c r="U249" s="46"/>
      <c r="V249" s="46"/>
      <c r="W249" s="62"/>
      <c r="X249" s="67"/>
      <c r="Y249" s="68" t="str" cm="1">
        <f t="array" ref="Y249">CalculerNouvelleDate(I249,X249)</f>
        <v/>
      </c>
      <c r="Z249" s="68" t="str" cm="1">
        <f t="array" ref="Z249">CalculerNouvelleDate(J249,Y249)</f>
        <v/>
      </c>
      <c r="AA249" s="68" t="str" cm="1">
        <f t="array" ref="AA249">CalculerNouvelleDate(K249,Z249)</f>
        <v/>
      </c>
      <c r="AB249" s="68" t="str" cm="1">
        <f t="array" ref="AB249">CalculerNouvelleDate(L249,AA249)</f>
        <v/>
      </c>
      <c r="AC249" s="68" t="str" cm="1">
        <f t="array" ref="AC249">CalculerNouvelleDate(M249,AB249)</f>
        <v/>
      </c>
      <c r="AD249" s="68" t="str" cm="1">
        <f t="array" ref="AD249">CalculerNouvelleDate(N249,AC249)</f>
        <v/>
      </c>
      <c r="AE249" s="68" t="str" cm="1">
        <f t="array" ref="AE249">CalculerNouvelleDate(O249,AD249)</f>
        <v/>
      </c>
      <c r="AF249" s="68" t="str" cm="1">
        <f t="array" ref="AF249">CalculerNouvelleDate(P249,AE249)</f>
        <v/>
      </c>
      <c r="AG249" s="68" t="str" cm="1">
        <f t="array" ref="AG249">CalculerNouvelleDate(Q249,AF249)</f>
        <v/>
      </c>
      <c r="AH249" s="68" t="str" cm="1">
        <f t="array" ref="AH249">CalculerNouvelleDate(R249,AG249)</f>
        <v/>
      </c>
      <c r="AI249" s="68" t="str" cm="1">
        <f t="array" ref="AI249">CalculerNouvelleDate(S249,AH249)</f>
        <v/>
      </c>
      <c r="AJ249" s="68" t="str" cm="1">
        <f t="array" ref="AJ249">CalculerNouvelleDate(T249,AI249)</f>
        <v/>
      </c>
      <c r="AK249" s="68" t="str" cm="1">
        <f t="array" ref="AK249">CalculerNouvelleDate(U249,AJ249)</f>
        <v/>
      </c>
      <c r="AL249" s="68" t="str" cm="1">
        <f t="array" ref="AL249">CalculerNouvelleDate(V249,AK249)</f>
        <v/>
      </c>
      <c r="AM249" s="83" t="str" cm="1">
        <f t="array" ref="AM249">CorrespondanceDAte(X249:AL249,D250)</f>
        <v>0</v>
      </c>
      <c r="AN249" s="1"/>
      <c r="AO249" s="1"/>
      <c r="AP249" s="1"/>
      <c r="AQ249" s="1"/>
      <c r="AR249" s="1"/>
      <c r="AS249" s="1"/>
      <c r="AT249" s="1"/>
      <c r="AU249" s="1"/>
      <c r="AV249" s="1"/>
      <c r="AW249" s="1"/>
      <c r="AX249" s="1"/>
      <c r="AY249" s="1"/>
      <c r="AZ249" s="1"/>
      <c r="BA249" s="1"/>
    </row>
    <row r="250" spans="1:53" x14ac:dyDescent="0.3">
      <c r="A250" s="1"/>
      <c r="B250" s="11"/>
      <c r="C250" s="69" t="s">
        <v>640</v>
      </c>
      <c r="D250" s="1"/>
      <c r="E250" s="1"/>
      <c r="F250" s="1"/>
      <c r="G250" s="1"/>
      <c r="H250" s="43"/>
      <c r="I250" s="46"/>
      <c r="J250" s="46"/>
      <c r="K250" s="46"/>
      <c r="L250" s="46"/>
      <c r="M250" s="46"/>
      <c r="N250" s="46"/>
      <c r="O250" s="46"/>
      <c r="P250" s="46"/>
      <c r="Q250" s="46"/>
      <c r="R250" s="46"/>
      <c r="S250" s="46"/>
      <c r="T250" s="46"/>
      <c r="U250" s="46"/>
      <c r="V250" s="46"/>
      <c r="W250" s="62"/>
      <c r="X250" s="67"/>
      <c r="Y250" s="68" t="str" cm="1">
        <f t="array" ref="Y250">CalculerNouvelleDate(I250,X250)</f>
        <v/>
      </c>
      <c r="Z250" s="68" t="str" cm="1">
        <f t="array" ref="Z250">CalculerNouvelleDate(J250,Y250)</f>
        <v/>
      </c>
      <c r="AA250" s="68" t="str" cm="1">
        <f t="array" ref="AA250">CalculerNouvelleDate(K250,Z250)</f>
        <v/>
      </c>
      <c r="AB250" s="68" t="str" cm="1">
        <f t="array" ref="AB250">CalculerNouvelleDate(L250,AA250)</f>
        <v/>
      </c>
      <c r="AC250" s="68" t="str" cm="1">
        <f t="array" ref="AC250">CalculerNouvelleDate(M250,AB250)</f>
        <v/>
      </c>
      <c r="AD250" s="68" t="str" cm="1">
        <f t="array" ref="AD250">CalculerNouvelleDate(N250,AC250)</f>
        <v/>
      </c>
      <c r="AE250" s="68" t="str" cm="1">
        <f t="array" ref="AE250">CalculerNouvelleDate(O250,AD250)</f>
        <v/>
      </c>
      <c r="AF250" s="68" t="str" cm="1">
        <f t="array" ref="AF250">CalculerNouvelleDate(P250,AE250)</f>
        <v/>
      </c>
      <c r="AG250" s="68" t="str" cm="1">
        <f t="array" ref="AG250">CalculerNouvelleDate(Q250,AF250)</f>
        <v/>
      </c>
      <c r="AH250" s="68" t="str" cm="1">
        <f t="array" ref="AH250">CalculerNouvelleDate(R250,AG250)</f>
        <v/>
      </c>
      <c r="AI250" s="68" t="str" cm="1">
        <f t="array" ref="AI250">CalculerNouvelleDate(S250,AH250)</f>
        <v/>
      </c>
      <c r="AJ250" s="68" t="str" cm="1">
        <f t="array" ref="AJ250">CalculerNouvelleDate(T250,AI250)</f>
        <v/>
      </c>
      <c r="AK250" s="68" t="str" cm="1">
        <f t="array" ref="AK250">CalculerNouvelleDate(U250,AJ250)</f>
        <v/>
      </c>
      <c r="AL250" s="68" t="str" cm="1">
        <f t="array" ref="AL250">CalculerNouvelleDate(V250,AK250)</f>
        <v/>
      </c>
      <c r="AM250" s="83" t="str" cm="1">
        <f t="array" ref="AM250">CorrespondanceDAte(X250:AL250,D251)</f>
        <v>0</v>
      </c>
      <c r="AN250" s="1"/>
      <c r="AO250" s="1"/>
      <c r="AP250" s="1"/>
      <c r="AQ250" s="1"/>
      <c r="AR250" s="1"/>
      <c r="AS250" s="1"/>
      <c r="AT250" s="1"/>
      <c r="AU250" s="1"/>
      <c r="AV250" s="1"/>
      <c r="AW250" s="1"/>
      <c r="AX250" s="1"/>
      <c r="AY250" s="1"/>
      <c r="AZ250" s="1"/>
      <c r="BA250" s="1"/>
    </row>
    <row r="251" spans="1:53" x14ac:dyDescent="0.3">
      <c r="A251" s="1"/>
      <c r="B251" s="11"/>
      <c r="C251" s="69" t="s">
        <v>641</v>
      </c>
      <c r="D251" s="1"/>
      <c r="E251" s="1"/>
      <c r="F251" s="1"/>
      <c r="G251" s="1"/>
      <c r="H251" s="43"/>
      <c r="I251" s="46"/>
      <c r="J251" s="46"/>
      <c r="K251" s="46"/>
      <c r="L251" s="46"/>
      <c r="M251" s="46"/>
      <c r="N251" s="46"/>
      <c r="O251" s="46"/>
      <c r="P251" s="46"/>
      <c r="Q251" s="46"/>
      <c r="R251" s="46"/>
      <c r="S251" s="46"/>
      <c r="T251" s="46"/>
      <c r="U251" s="46"/>
      <c r="V251" s="46"/>
      <c r="W251" s="62"/>
      <c r="X251" s="67"/>
      <c r="Y251" s="68" t="str" cm="1">
        <f t="array" ref="Y251">CalculerNouvelleDate(I251,X251)</f>
        <v/>
      </c>
      <c r="Z251" s="68" t="str" cm="1">
        <f t="array" ref="Z251">CalculerNouvelleDate(J251,Y251)</f>
        <v/>
      </c>
      <c r="AA251" s="68" t="str" cm="1">
        <f t="array" ref="AA251">CalculerNouvelleDate(K251,Z251)</f>
        <v/>
      </c>
      <c r="AB251" s="68" t="str" cm="1">
        <f t="array" ref="AB251">CalculerNouvelleDate(L251,AA251)</f>
        <v/>
      </c>
      <c r="AC251" s="68" t="str" cm="1">
        <f t="array" ref="AC251">CalculerNouvelleDate(M251,AB251)</f>
        <v/>
      </c>
      <c r="AD251" s="68" t="str" cm="1">
        <f t="array" ref="AD251">CalculerNouvelleDate(N251,AC251)</f>
        <v/>
      </c>
      <c r="AE251" s="68" t="str" cm="1">
        <f t="array" ref="AE251">CalculerNouvelleDate(O251,AD251)</f>
        <v/>
      </c>
      <c r="AF251" s="68" t="str" cm="1">
        <f t="array" ref="AF251">CalculerNouvelleDate(P251,AE251)</f>
        <v/>
      </c>
      <c r="AG251" s="68" t="str" cm="1">
        <f t="array" ref="AG251">CalculerNouvelleDate(Q251,AF251)</f>
        <v/>
      </c>
      <c r="AH251" s="68" t="str" cm="1">
        <f t="array" ref="AH251">CalculerNouvelleDate(R251,AG251)</f>
        <v/>
      </c>
      <c r="AI251" s="68" t="str" cm="1">
        <f t="array" ref="AI251">CalculerNouvelleDate(S251,AH251)</f>
        <v/>
      </c>
      <c r="AJ251" s="68" t="str" cm="1">
        <f t="array" ref="AJ251">CalculerNouvelleDate(T251,AI251)</f>
        <v/>
      </c>
      <c r="AK251" s="68" t="str" cm="1">
        <f t="array" ref="AK251">CalculerNouvelleDate(U251,AJ251)</f>
        <v/>
      </c>
      <c r="AL251" s="68" t="str" cm="1">
        <f t="array" ref="AL251">CalculerNouvelleDate(V251,AK251)</f>
        <v/>
      </c>
      <c r="AM251" s="83" t="str" cm="1">
        <f t="array" ref="AM251">CorrespondanceDAte(X251:AL251,D252)</f>
        <v>0</v>
      </c>
      <c r="AN251" s="1"/>
      <c r="AO251" s="1"/>
      <c r="AP251" s="1"/>
      <c r="AQ251" s="1"/>
      <c r="AR251" s="1"/>
      <c r="AS251" s="1"/>
      <c r="AT251" s="1"/>
      <c r="AU251" s="1"/>
      <c r="AV251" s="1"/>
      <c r="AW251" s="1"/>
      <c r="AX251" s="1"/>
      <c r="AY251" s="1"/>
      <c r="AZ251" s="1"/>
      <c r="BA251" s="1"/>
    </row>
    <row r="252" spans="1:53" x14ac:dyDescent="0.3">
      <c r="A252" s="1"/>
      <c r="B252" s="11"/>
      <c r="C252" s="1" t="s">
        <v>636</v>
      </c>
      <c r="D252" s="1"/>
      <c r="E252" s="1"/>
      <c r="F252" s="1"/>
      <c r="G252" s="1"/>
      <c r="H252" s="43"/>
      <c r="I252" s="46"/>
      <c r="J252" s="46"/>
      <c r="K252" s="46"/>
      <c r="L252" s="46"/>
      <c r="M252" s="46"/>
      <c r="N252" s="46"/>
      <c r="O252" s="46"/>
      <c r="P252" s="46"/>
      <c r="Q252" s="46"/>
      <c r="R252" s="46"/>
      <c r="S252" s="46"/>
      <c r="T252" s="46"/>
      <c r="U252" s="46"/>
      <c r="V252" s="46"/>
      <c r="W252" s="62"/>
      <c r="X252" s="67"/>
      <c r="Y252" s="68" t="str" cm="1">
        <f t="array" ref="Y252">CalculerNouvelleDate(I252,X252)</f>
        <v/>
      </c>
      <c r="Z252" s="68" t="str" cm="1">
        <f t="array" ref="Z252">CalculerNouvelleDate(J252,Y252)</f>
        <v/>
      </c>
      <c r="AA252" s="68" t="str" cm="1">
        <f t="array" ref="AA252">CalculerNouvelleDate(K252,Z252)</f>
        <v/>
      </c>
      <c r="AB252" s="68" t="str" cm="1">
        <f t="array" ref="AB252">CalculerNouvelleDate(L252,AA252)</f>
        <v/>
      </c>
      <c r="AC252" s="68" t="str" cm="1">
        <f t="array" ref="AC252">CalculerNouvelleDate(M252,AB252)</f>
        <v/>
      </c>
      <c r="AD252" s="68" t="str" cm="1">
        <f t="array" ref="AD252">CalculerNouvelleDate(N252,AC252)</f>
        <v/>
      </c>
      <c r="AE252" s="68" t="str" cm="1">
        <f t="array" ref="AE252">CalculerNouvelleDate(O252,AD252)</f>
        <v/>
      </c>
      <c r="AF252" s="68" t="str" cm="1">
        <f t="array" ref="AF252">CalculerNouvelleDate(P252,AE252)</f>
        <v/>
      </c>
      <c r="AG252" s="68" t="str" cm="1">
        <f t="array" ref="AG252">CalculerNouvelleDate(Q252,AF252)</f>
        <v/>
      </c>
      <c r="AH252" s="68" t="str" cm="1">
        <f t="array" ref="AH252">CalculerNouvelleDate(R252,AG252)</f>
        <v/>
      </c>
      <c r="AI252" s="68" t="str" cm="1">
        <f t="array" ref="AI252">CalculerNouvelleDate(S252,AH252)</f>
        <v/>
      </c>
      <c r="AJ252" s="68" t="str" cm="1">
        <f t="array" ref="AJ252">CalculerNouvelleDate(T252,AI252)</f>
        <v/>
      </c>
      <c r="AK252" s="68" t="str" cm="1">
        <f t="array" ref="AK252">CalculerNouvelleDate(U252,AJ252)</f>
        <v/>
      </c>
      <c r="AL252" s="68" t="str" cm="1">
        <f t="array" ref="AL252">CalculerNouvelleDate(V252,AK252)</f>
        <v/>
      </c>
      <c r="AM252" s="83" t="str" cm="1">
        <f t="array" ref="AM252">CorrespondanceDAte(X252:AL252,D253)</f>
        <v>0</v>
      </c>
      <c r="AN252" s="1"/>
      <c r="AO252" s="1"/>
      <c r="AP252" s="1"/>
      <c r="AQ252" s="1"/>
      <c r="AR252" s="1"/>
      <c r="AS252" s="1"/>
      <c r="AT252" s="1"/>
      <c r="AU252" s="1"/>
      <c r="AV252" s="1"/>
      <c r="AW252" s="1"/>
      <c r="AX252" s="1"/>
      <c r="AY252" s="1"/>
      <c r="AZ252" s="1"/>
      <c r="BA252" s="1"/>
    </row>
    <row r="253" spans="1:53" x14ac:dyDescent="0.3">
      <c r="A253" s="1"/>
      <c r="B253" s="11"/>
      <c r="C253" s="1" t="s">
        <v>721</v>
      </c>
      <c r="D253" s="1"/>
      <c r="E253" s="1"/>
      <c r="F253" s="1"/>
      <c r="G253" s="1"/>
      <c r="H253" s="43"/>
      <c r="I253" s="46"/>
      <c r="J253" s="46"/>
      <c r="K253" s="46"/>
      <c r="L253" s="46"/>
      <c r="M253" s="46"/>
      <c r="N253" s="46"/>
      <c r="O253" s="46"/>
      <c r="P253" s="46"/>
      <c r="Q253" s="46"/>
      <c r="R253" s="46"/>
      <c r="S253" s="46"/>
      <c r="T253" s="46"/>
      <c r="U253" s="46"/>
      <c r="V253" s="46"/>
      <c r="W253" s="62"/>
      <c r="X253" s="67"/>
      <c r="Y253" s="68" t="str" cm="1">
        <f t="array" ref="Y253">CalculerNouvelleDate(I253,X253)</f>
        <v/>
      </c>
      <c r="Z253" s="68" t="str" cm="1">
        <f t="array" ref="Z253">CalculerNouvelleDate(J253,Y253)</f>
        <v/>
      </c>
      <c r="AA253" s="68" t="str" cm="1">
        <f t="array" ref="AA253">CalculerNouvelleDate(K253,Z253)</f>
        <v/>
      </c>
      <c r="AB253" s="68" t="str" cm="1">
        <f t="array" ref="AB253">CalculerNouvelleDate(L253,AA253)</f>
        <v/>
      </c>
      <c r="AC253" s="68" t="str" cm="1">
        <f t="array" ref="AC253">CalculerNouvelleDate(M253,AB253)</f>
        <v/>
      </c>
      <c r="AD253" s="68" t="str" cm="1">
        <f t="array" ref="AD253">CalculerNouvelleDate(N253,AC253)</f>
        <v/>
      </c>
      <c r="AE253" s="68" t="str" cm="1">
        <f t="array" ref="AE253">CalculerNouvelleDate(O253,AD253)</f>
        <v/>
      </c>
      <c r="AF253" s="68" t="str" cm="1">
        <f t="array" ref="AF253">CalculerNouvelleDate(P253,AE253)</f>
        <v/>
      </c>
      <c r="AG253" s="68" t="str" cm="1">
        <f t="array" ref="AG253">CalculerNouvelleDate(Q253,AF253)</f>
        <v/>
      </c>
      <c r="AH253" s="68" t="str" cm="1">
        <f t="array" ref="AH253">CalculerNouvelleDate(R253,AG253)</f>
        <v/>
      </c>
      <c r="AI253" s="68" t="str" cm="1">
        <f t="array" ref="AI253">CalculerNouvelleDate(S253,AH253)</f>
        <v/>
      </c>
      <c r="AJ253" s="68" t="str" cm="1">
        <f t="array" ref="AJ253">CalculerNouvelleDate(T253,AI253)</f>
        <v/>
      </c>
      <c r="AK253" s="68" t="str" cm="1">
        <f t="array" ref="AK253">CalculerNouvelleDate(U253,AJ253)</f>
        <v/>
      </c>
      <c r="AL253" s="68" t="str" cm="1">
        <f t="array" ref="AL253">CalculerNouvelleDate(V253,AK253)</f>
        <v/>
      </c>
      <c r="AM253" s="83" t="str" cm="1">
        <f t="array" ref="AM253">CorrespondanceDAte(X253:AL253,D254)</f>
        <v>0</v>
      </c>
      <c r="AN253" s="1"/>
      <c r="AO253" s="1"/>
      <c r="AP253" s="1"/>
      <c r="AQ253" s="1"/>
      <c r="AR253" s="1"/>
      <c r="AS253" s="1"/>
      <c r="AT253" s="1"/>
      <c r="AU253" s="1"/>
      <c r="AV253" s="1"/>
      <c r="AW253" s="1"/>
      <c r="AX253" s="1"/>
      <c r="AY253" s="1"/>
      <c r="AZ253" s="1"/>
      <c r="BA253" s="1"/>
    </row>
    <row r="254" spans="1:53" x14ac:dyDescent="0.3">
      <c r="A254" s="1"/>
      <c r="B254" s="11"/>
      <c r="C254" s="1" t="s">
        <v>722</v>
      </c>
      <c r="D254" s="1"/>
      <c r="E254" s="1"/>
      <c r="F254" s="1"/>
      <c r="G254" s="1"/>
      <c r="H254" s="43"/>
      <c r="I254" s="46"/>
      <c r="J254" s="46"/>
      <c r="K254" s="46"/>
      <c r="L254" s="46"/>
      <c r="M254" s="46"/>
      <c r="N254" s="46"/>
      <c r="O254" s="46"/>
      <c r="P254" s="46"/>
      <c r="Q254" s="46"/>
      <c r="R254" s="46"/>
      <c r="S254" s="46"/>
      <c r="T254" s="46"/>
      <c r="U254" s="46"/>
      <c r="V254" s="46"/>
      <c r="W254" s="62"/>
      <c r="X254" s="67"/>
      <c r="Y254" s="68" t="str" cm="1">
        <f t="array" ref="Y254">CalculerNouvelleDate(I254,X254)</f>
        <v/>
      </c>
      <c r="Z254" s="68" t="str" cm="1">
        <f t="array" ref="Z254">CalculerNouvelleDate(J254,Y254)</f>
        <v/>
      </c>
      <c r="AA254" s="68" t="str" cm="1">
        <f t="array" ref="AA254">CalculerNouvelleDate(K254,Z254)</f>
        <v/>
      </c>
      <c r="AB254" s="68" t="str" cm="1">
        <f t="array" ref="AB254">CalculerNouvelleDate(L254,AA254)</f>
        <v/>
      </c>
      <c r="AC254" s="68" t="str" cm="1">
        <f t="array" ref="AC254">CalculerNouvelleDate(M254,AB254)</f>
        <v/>
      </c>
      <c r="AD254" s="68" t="str" cm="1">
        <f t="array" ref="AD254">CalculerNouvelleDate(N254,AC254)</f>
        <v/>
      </c>
      <c r="AE254" s="68" t="str" cm="1">
        <f t="array" ref="AE254">CalculerNouvelleDate(O254,AD254)</f>
        <v/>
      </c>
      <c r="AF254" s="68" t="str" cm="1">
        <f t="array" ref="AF254">CalculerNouvelleDate(P254,AE254)</f>
        <v/>
      </c>
      <c r="AG254" s="68" t="str" cm="1">
        <f t="array" ref="AG254">CalculerNouvelleDate(Q254,AF254)</f>
        <v/>
      </c>
      <c r="AH254" s="68" t="str" cm="1">
        <f t="array" ref="AH254">CalculerNouvelleDate(R254,AG254)</f>
        <v/>
      </c>
      <c r="AI254" s="68" t="str" cm="1">
        <f t="array" ref="AI254">CalculerNouvelleDate(S254,AH254)</f>
        <v/>
      </c>
      <c r="AJ254" s="68" t="str" cm="1">
        <f t="array" ref="AJ254">CalculerNouvelleDate(T254,AI254)</f>
        <v/>
      </c>
      <c r="AK254" s="68" t="str" cm="1">
        <f t="array" ref="AK254">CalculerNouvelleDate(U254,AJ254)</f>
        <v/>
      </c>
      <c r="AL254" s="68" t="str" cm="1">
        <f t="array" ref="AL254">CalculerNouvelleDate(V254,AK254)</f>
        <v/>
      </c>
      <c r="AM254" s="83" t="str" cm="1">
        <f t="array" ref="AM254">CorrespondanceDAte(X254:AL254,D255)</f>
        <v>0</v>
      </c>
      <c r="AN254" s="1"/>
      <c r="AO254" s="1"/>
      <c r="AP254" s="1"/>
      <c r="AQ254" s="1"/>
      <c r="AR254" s="1"/>
      <c r="AS254" s="1"/>
      <c r="AT254" s="1"/>
      <c r="AU254" s="1"/>
      <c r="AV254" s="1"/>
      <c r="AW254" s="1"/>
      <c r="AX254" s="1"/>
      <c r="AY254" s="1"/>
      <c r="AZ254" s="1"/>
      <c r="BA254" s="1"/>
    </row>
    <row r="255" spans="1:53" x14ac:dyDescent="0.3">
      <c r="A255" s="1"/>
      <c r="B255" s="11"/>
      <c r="C255" s="1" t="s">
        <v>723</v>
      </c>
      <c r="D255" s="1"/>
      <c r="E255" s="1"/>
      <c r="F255" s="1"/>
      <c r="G255" s="1"/>
      <c r="H255" s="43"/>
      <c r="I255" s="46"/>
      <c r="J255" s="46"/>
      <c r="K255" s="46"/>
      <c r="L255" s="46"/>
      <c r="M255" s="46"/>
      <c r="N255" s="46"/>
      <c r="O255" s="46"/>
      <c r="P255" s="46"/>
      <c r="Q255" s="46"/>
      <c r="R255" s="46"/>
      <c r="S255" s="46"/>
      <c r="T255" s="46"/>
      <c r="U255" s="46"/>
      <c r="V255" s="46"/>
      <c r="W255" s="62"/>
      <c r="X255" s="67"/>
      <c r="Y255" s="68" t="str" cm="1">
        <f t="array" ref="Y255">CalculerNouvelleDate(I255,X255)</f>
        <v/>
      </c>
      <c r="Z255" s="68" t="str" cm="1">
        <f t="array" ref="Z255">CalculerNouvelleDate(J255,Y255)</f>
        <v/>
      </c>
      <c r="AA255" s="68" t="str" cm="1">
        <f t="array" ref="AA255">CalculerNouvelleDate(K255,Z255)</f>
        <v/>
      </c>
      <c r="AB255" s="68" t="str" cm="1">
        <f t="array" ref="AB255">CalculerNouvelleDate(L255,AA255)</f>
        <v/>
      </c>
      <c r="AC255" s="68" t="str" cm="1">
        <f t="array" ref="AC255">CalculerNouvelleDate(M255,AB255)</f>
        <v/>
      </c>
      <c r="AD255" s="68" t="str" cm="1">
        <f t="array" ref="AD255">CalculerNouvelleDate(N255,AC255)</f>
        <v/>
      </c>
      <c r="AE255" s="68" t="str" cm="1">
        <f t="array" ref="AE255">CalculerNouvelleDate(O255,AD255)</f>
        <v/>
      </c>
      <c r="AF255" s="68" t="str" cm="1">
        <f t="array" ref="AF255">CalculerNouvelleDate(P255,AE255)</f>
        <v/>
      </c>
      <c r="AG255" s="68" t="str" cm="1">
        <f t="array" ref="AG255">CalculerNouvelleDate(Q255,AF255)</f>
        <v/>
      </c>
      <c r="AH255" s="68" t="str" cm="1">
        <f t="array" ref="AH255">CalculerNouvelleDate(R255,AG255)</f>
        <v/>
      </c>
      <c r="AI255" s="68" t="str" cm="1">
        <f t="array" ref="AI255">CalculerNouvelleDate(S255,AH255)</f>
        <v/>
      </c>
      <c r="AJ255" s="68" t="str" cm="1">
        <f t="array" ref="AJ255">CalculerNouvelleDate(T255,AI255)</f>
        <v/>
      </c>
      <c r="AK255" s="68" t="str" cm="1">
        <f t="array" ref="AK255">CalculerNouvelleDate(U255,AJ255)</f>
        <v/>
      </c>
      <c r="AL255" s="68" t="str" cm="1">
        <f t="array" ref="AL255">CalculerNouvelleDate(V255,AK255)</f>
        <v/>
      </c>
      <c r="AM255" s="83" t="str" cm="1">
        <f t="array" ref="AM255">CorrespondanceDAte(X255:AL255,D256)</f>
        <v>0</v>
      </c>
      <c r="AN255" s="1"/>
      <c r="AO255" s="1"/>
      <c r="AP255" s="1"/>
      <c r="AQ255" s="1"/>
      <c r="AR255" s="1"/>
      <c r="AS255" s="1"/>
      <c r="AT255" s="1"/>
      <c r="AU255" s="1"/>
      <c r="AV255" s="1"/>
      <c r="AW255" s="1"/>
      <c r="AX255" s="1"/>
      <c r="AY255" s="1"/>
      <c r="AZ255" s="1"/>
      <c r="BA255" s="1"/>
    </row>
    <row r="256" spans="1:53" x14ac:dyDescent="0.3">
      <c r="A256" s="1"/>
      <c r="B256" s="11"/>
      <c r="C256" s="1" t="s">
        <v>724</v>
      </c>
      <c r="D256" s="1"/>
      <c r="E256" s="1"/>
      <c r="F256" s="1"/>
      <c r="G256" s="1"/>
      <c r="H256" s="43"/>
      <c r="I256" s="46"/>
      <c r="J256" s="46"/>
      <c r="K256" s="46"/>
      <c r="L256" s="46"/>
      <c r="M256" s="46"/>
      <c r="N256" s="46"/>
      <c r="O256" s="46"/>
      <c r="P256" s="46"/>
      <c r="Q256" s="46"/>
      <c r="R256" s="46"/>
      <c r="S256" s="46"/>
      <c r="T256" s="46"/>
      <c r="U256" s="46"/>
      <c r="V256" s="46"/>
      <c r="W256" s="62"/>
      <c r="X256" s="67"/>
      <c r="Y256" s="68" t="str" cm="1">
        <f t="array" ref="Y256">CalculerNouvelleDate(I256,X256)</f>
        <v/>
      </c>
      <c r="Z256" s="68" t="str" cm="1">
        <f t="array" ref="Z256">CalculerNouvelleDate(J256,Y256)</f>
        <v/>
      </c>
      <c r="AA256" s="68" t="str" cm="1">
        <f t="array" ref="AA256">CalculerNouvelleDate(K256,Z256)</f>
        <v/>
      </c>
      <c r="AB256" s="68" t="str" cm="1">
        <f t="array" ref="AB256">CalculerNouvelleDate(L256,AA256)</f>
        <v/>
      </c>
      <c r="AC256" s="68" t="str" cm="1">
        <f t="array" ref="AC256">CalculerNouvelleDate(M256,AB256)</f>
        <v/>
      </c>
      <c r="AD256" s="68" t="str" cm="1">
        <f t="array" ref="AD256">CalculerNouvelleDate(N256,AC256)</f>
        <v/>
      </c>
      <c r="AE256" s="68" t="str" cm="1">
        <f t="array" ref="AE256">CalculerNouvelleDate(O256,AD256)</f>
        <v/>
      </c>
      <c r="AF256" s="68" t="str" cm="1">
        <f t="array" ref="AF256">CalculerNouvelleDate(P256,AE256)</f>
        <v/>
      </c>
      <c r="AG256" s="68" t="str" cm="1">
        <f t="array" ref="AG256">CalculerNouvelleDate(Q256,AF256)</f>
        <v/>
      </c>
      <c r="AH256" s="68" t="str" cm="1">
        <f t="array" ref="AH256">CalculerNouvelleDate(R256,AG256)</f>
        <v/>
      </c>
      <c r="AI256" s="68" t="str" cm="1">
        <f t="array" ref="AI256">CalculerNouvelleDate(S256,AH256)</f>
        <v/>
      </c>
      <c r="AJ256" s="68" t="str" cm="1">
        <f t="array" ref="AJ256">CalculerNouvelleDate(T256,AI256)</f>
        <v/>
      </c>
      <c r="AK256" s="68" t="str" cm="1">
        <f t="array" ref="AK256">CalculerNouvelleDate(U256,AJ256)</f>
        <v/>
      </c>
      <c r="AL256" s="68" t="str" cm="1">
        <f t="array" ref="AL256">CalculerNouvelleDate(V256,AK256)</f>
        <v/>
      </c>
      <c r="AM256" s="83" t="str" cm="1">
        <f t="array" ref="AM256">CorrespondanceDAte(X256:AL256,D257)</f>
        <v>0</v>
      </c>
      <c r="AN256" s="1"/>
      <c r="AO256" s="1"/>
      <c r="AP256" s="1"/>
      <c r="AQ256" s="1"/>
      <c r="AR256" s="1"/>
      <c r="AS256" s="1"/>
      <c r="AT256" s="1"/>
      <c r="AU256" s="1"/>
      <c r="AV256" s="1"/>
      <c r="AW256" s="1"/>
      <c r="AX256" s="1"/>
      <c r="AY256" s="1"/>
      <c r="AZ256" s="1"/>
      <c r="BA256" s="1"/>
    </row>
    <row r="257" spans="1:53" x14ac:dyDescent="0.3">
      <c r="A257" s="1"/>
      <c r="B257" s="11"/>
      <c r="C257" s="1" t="s">
        <v>725</v>
      </c>
      <c r="D257" s="1"/>
      <c r="E257" s="1"/>
      <c r="F257" s="1"/>
      <c r="G257" s="1"/>
      <c r="H257" s="43"/>
      <c r="I257" s="46"/>
      <c r="J257" s="46"/>
      <c r="K257" s="46"/>
      <c r="L257" s="46"/>
      <c r="M257" s="46"/>
      <c r="N257" s="46"/>
      <c r="O257" s="46"/>
      <c r="P257" s="46"/>
      <c r="Q257" s="46"/>
      <c r="R257" s="46"/>
      <c r="S257" s="46"/>
      <c r="T257" s="46"/>
      <c r="U257" s="46"/>
      <c r="V257" s="46"/>
      <c r="W257" s="62"/>
      <c r="X257" s="67"/>
      <c r="Y257" s="68" t="str" cm="1">
        <f t="array" ref="Y257">CalculerNouvelleDate(I257,X257)</f>
        <v/>
      </c>
      <c r="Z257" s="68" t="str" cm="1">
        <f t="array" ref="Z257">CalculerNouvelleDate(J257,Y257)</f>
        <v/>
      </c>
      <c r="AA257" s="68" t="str" cm="1">
        <f t="array" ref="AA257">CalculerNouvelleDate(K257,Z257)</f>
        <v/>
      </c>
      <c r="AB257" s="68" t="str" cm="1">
        <f t="array" ref="AB257">CalculerNouvelleDate(L257,AA257)</f>
        <v/>
      </c>
      <c r="AC257" s="68" t="str" cm="1">
        <f t="array" ref="AC257">CalculerNouvelleDate(M257,AB257)</f>
        <v/>
      </c>
      <c r="AD257" s="68" t="str" cm="1">
        <f t="array" ref="AD257">CalculerNouvelleDate(N257,AC257)</f>
        <v/>
      </c>
      <c r="AE257" s="68" t="str" cm="1">
        <f t="array" ref="AE257">CalculerNouvelleDate(O257,AD257)</f>
        <v/>
      </c>
      <c r="AF257" s="68" t="str" cm="1">
        <f t="array" ref="AF257">CalculerNouvelleDate(P257,AE257)</f>
        <v/>
      </c>
      <c r="AG257" s="68" t="str" cm="1">
        <f t="array" ref="AG257">CalculerNouvelleDate(Q257,AF257)</f>
        <v/>
      </c>
      <c r="AH257" s="68" t="str" cm="1">
        <f t="array" ref="AH257">CalculerNouvelleDate(R257,AG257)</f>
        <v/>
      </c>
      <c r="AI257" s="68" t="str" cm="1">
        <f t="array" ref="AI257">CalculerNouvelleDate(S257,AH257)</f>
        <v/>
      </c>
      <c r="AJ257" s="68" t="str" cm="1">
        <f t="array" ref="AJ257">CalculerNouvelleDate(T257,AI257)</f>
        <v/>
      </c>
      <c r="AK257" s="68" t="str" cm="1">
        <f t="array" ref="AK257">CalculerNouvelleDate(U257,AJ257)</f>
        <v/>
      </c>
      <c r="AL257" s="68" t="str" cm="1">
        <f t="array" ref="AL257">CalculerNouvelleDate(V257,AK257)</f>
        <v/>
      </c>
      <c r="AM257" s="83" t="str" cm="1">
        <f t="array" ref="AM257">CorrespondanceDAte(X257:AL257,D258)</f>
        <v>0</v>
      </c>
      <c r="AN257" s="1"/>
      <c r="AO257" s="1"/>
      <c r="AP257" s="1"/>
      <c r="AQ257" s="1"/>
      <c r="AR257" s="1"/>
      <c r="AS257" s="1"/>
      <c r="AT257" s="1"/>
      <c r="AU257" s="1"/>
      <c r="AV257" s="1"/>
      <c r="AW257" s="1"/>
      <c r="AX257" s="1"/>
      <c r="AY257" s="1"/>
      <c r="AZ257" s="1"/>
      <c r="BA257" s="1"/>
    </row>
    <row r="258" spans="1:53" x14ac:dyDescent="0.3">
      <c r="A258" s="1"/>
      <c r="B258" s="11">
        <v>2</v>
      </c>
      <c r="C258" s="1" t="s">
        <v>61</v>
      </c>
      <c r="D258" s="1"/>
      <c r="E258" s="1"/>
      <c r="F258" s="1"/>
      <c r="G258" s="1"/>
      <c r="H258" s="43"/>
      <c r="I258" s="1"/>
      <c r="J258" s="1"/>
      <c r="K258" s="1"/>
      <c r="L258" s="1"/>
      <c r="M258" s="1"/>
      <c r="N258" s="1"/>
      <c r="O258" s="1"/>
      <c r="P258" s="1"/>
      <c r="Q258" s="1"/>
      <c r="R258" s="1"/>
      <c r="S258" s="1"/>
      <c r="T258" s="1"/>
      <c r="U258" s="1"/>
      <c r="V258" s="1"/>
      <c r="W258" s="11"/>
      <c r="X258" s="67"/>
      <c r="Y258" s="68" t="str" cm="1">
        <f t="array" ref="Y258">CalculerNouvelleDate(I258,X258)</f>
        <v/>
      </c>
      <c r="Z258" s="68" t="str" cm="1">
        <f t="array" ref="Z258">CalculerNouvelleDate(J258,Y258)</f>
        <v/>
      </c>
      <c r="AA258" s="68" t="str" cm="1">
        <f t="array" ref="AA258">CalculerNouvelleDate(K258,Z258)</f>
        <v/>
      </c>
      <c r="AB258" s="68" t="str" cm="1">
        <f t="array" ref="AB258">CalculerNouvelleDate(L258,AA258)</f>
        <v/>
      </c>
      <c r="AC258" s="68" t="str" cm="1">
        <f t="array" ref="AC258">CalculerNouvelleDate(M258,AB258)</f>
        <v/>
      </c>
      <c r="AD258" s="68" t="str" cm="1">
        <f t="array" ref="AD258">CalculerNouvelleDate(N258,AC258)</f>
        <v/>
      </c>
      <c r="AE258" s="68" t="str" cm="1">
        <f t="array" ref="AE258">CalculerNouvelleDate(O258,AD258)</f>
        <v/>
      </c>
      <c r="AF258" s="68" t="str" cm="1">
        <f t="array" ref="AF258">CalculerNouvelleDate(P258,AE258)</f>
        <v/>
      </c>
      <c r="AG258" s="68" t="str" cm="1">
        <f t="array" ref="AG258">CalculerNouvelleDate(Q258,AF258)</f>
        <v/>
      </c>
      <c r="AH258" s="68" t="str" cm="1">
        <f t="array" ref="AH258">CalculerNouvelleDate(R258,AG258)</f>
        <v/>
      </c>
      <c r="AI258" s="68" t="str" cm="1">
        <f t="array" ref="AI258">CalculerNouvelleDate(S258,AH258)</f>
        <v/>
      </c>
      <c r="AJ258" s="68" t="str" cm="1">
        <f t="array" ref="AJ258">CalculerNouvelleDate(T258,AI258)</f>
        <v/>
      </c>
      <c r="AK258" s="68" t="str" cm="1">
        <f t="array" ref="AK258">CalculerNouvelleDate(U258,AJ258)</f>
        <v/>
      </c>
      <c r="AL258" s="68" t="str" cm="1">
        <f t="array" ref="AL258">CalculerNouvelleDate(V258,AK258)</f>
        <v/>
      </c>
      <c r="AM258" s="83" t="str" cm="1">
        <f t="array" ref="AM258">CorrespondanceDAte(X258:AL258,D259)</f>
        <v>0</v>
      </c>
      <c r="AN258" s="1"/>
      <c r="AO258" s="1"/>
      <c r="AP258" s="1"/>
      <c r="AQ258" s="1"/>
      <c r="AR258" s="1"/>
      <c r="AS258" s="1"/>
      <c r="AT258" s="1"/>
      <c r="AU258" s="1"/>
      <c r="AV258" s="1"/>
      <c r="AW258" s="1"/>
      <c r="AX258" s="1"/>
      <c r="AY258" s="1"/>
      <c r="AZ258" s="1"/>
      <c r="BA258" s="1"/>
    </row>
    <row r="259" spans="1:53" x14ac:dyDescent="0.3">
      <c r="A259" s="1"/>
      <c r="B259" s="11"/>
      <c r="C259" s="69" t="s">
        <v>533</v>
      </c>
      <c r="D259" s="1"/>
      <c r="E259" s="1"/>
      <c r="F259" s="1"/>
      <c r="G259" s="1"/>
      <c r="H259" s="43"/>
      <c r="I259" s="46"/>
      <c r="J259" s="46"/>
      <c r="K259" s="46"/>
      <c r="L259" s="46"/>
      <c r="M259" s="46"/>
      <c r="N259" s="46"/>
      <c r="O259" s="46"/>
      <c r="P259" s="46"/>
      <c r="Q259" s="46"/>
      <c r="R259" s="46"/>
      <c r="S259" s="46"/>
      <c r="T259" s="46"/>
      <c r="U259" s="46"/>
      <c r="V259" s="46"/>
      <c r="W259" s="62"/>
      <c r="X259" s="67"/>
      <c r="Y259" s="68" t="str" cm="1">
        <f t="array" ref="Y259">CalculerNouvelleDate(I259,X259)</f>
        <v/>
      </c>
      <c r="Z259" s="68" t="str" cm="1">
        <f t="array" ref="Z259">CalculerNouvelleDate(J259,Y259)</f>
        <v/>
      </c>
      <c r="AA259" s="68" t="str" cm="1">
        <f t="array" ref="AA259">CalculerNouvelleDate(K259,Z259)</f>
        <v/>
      </c>
      <c r="AB259" s="68" t="str" cm="1">
        <f t="array" ref="AB259">CalculerNouvelleDate(L259,AA259)</f>
        <v/>
      </c>
      <c r="AC259" s="68" t="str" cm="1">
        <f t="array" ref="AC259">CalculerNouvelleDate(M259,AB259)</f>
        <v/>
      </c>
      <c r="AD259" s="68" t="str" cm="1">
        <f t="array" ref="AD259">CalculerNouvelleDate(N259,AC259)</f>
        <v/>
      </c>
      <c r="AE259" s="68" t="str" cm="1">
        <f t="array" ref="AE259">CalculerNouvelleDate(O259,AD259)</f>
        <v/>
      </c>
      <c r="AF259" s="68" t="str" cm="1">
        <f t="array" ref="AF259">CalculerNouvelleDate(P259,AE259)</f>
        <v/>
      </c>
      <c r="AG259" s="68" t="str" cm="1">
        <f t="array" ref="AG259">CalculerNouvelleDate(Q259,AF259)</f>
        <v/>
      </c>
      <c r="AH259" s="68" t="str" cm="1">
        <f t="array" ref="AH259">CalculerNouvelleDate(R259,AG259)</f>
        <v/>
      </c>
      <c r="AI259" s="68" t="str" cm="1">
        <f t="array" ref="AI259">CalculerNouvelleDate(S259,AH259)</f>
        <v/>
      </c>
      <c r="AJ259" s="68" t="str" cm="1">
        <f t="array" ref="AJ259">CalculerNouvelleDate(T259,AI259)</f>
        <v/>
      </c>
      <c r="AK259" s="68" t="str" cm="1">
        <f t="array" ref="AK259">CalculerNouvelleDate(U259,AJ259)</f>
        <v/>
      </c>
      <c r="AL259" s="68" t="str" cm="1">
        <f t="array" ref="AL259">CalculerNouvelleDate(V259,AK259)</f>
        <v/>
      </c>
      <c r="AM259" s="83" t="str" cm="1">
        <f t="array" ref="AM259">CorrespondanceDAte(X259:AL259,D260)</f>
        <v>0</v>
      </c>
      <c r="AN259" s="1"/>
      <c r="AO259" s="1"/>
      <c r="AP259" s="1"/>
      <c r="AQ259" s="1"/>
      <c r="AR259" s="1"/>
      <c r="AS259" s="1"/>
      <c r="AT259" s="1"/>
      <c r="AU259" s="1"/>
      <c r="AV259" s="1"/>
      <c r="AW259" s="1"/>
      <c r="AX259" s="1"/>
      <c r="AY259" s="1"/>
      <c r="AZ259" s="1"/>
      <c r="BA259" s="1"/>
    </row>
    <row r="260" spans="1:53" x14ac:dyDescent="0.3">
      <c r="A260" s="1"/>
      <c r="B260" s="11"/>
      <c r="C260" s="69" t="s">
        <v>535</v>
      </c>
      <c r="D260" s="1"/>
      <c r="E260" s="1"/>
      <c r="F260" s="1"/>
      <c r="G260" s="1"/>
      <c r="H260" s="43"/>
      <c r="I260" s="46"/>
      <c r="J260" s="46"/>
      <c r="K260" s="46"/>
      <c r="L260" s="46"/>
      <c r="M260" s="46"/>
      <c r="N260" s="46"/>
      <c r="O260" s="46"/>
      <c r="P260" s="46"/>
      <c r="Q260" s="46"/>
      <c r="R260" s="46"/>
      <c r="S260" s="46"/>
      <c r="T260" s="46"/>
      <c r="U260" s="46"/>
      <c r="V260" s="46"/>
      <c r="W260" s="62"/>
      <c r="X260" s="67"/>
      <c r="Y260" s="68" t="str" cm="1">
        <f t="array" ref="Y260">CalculerNouvelleDate(I260,X260)</f>
        <v/>
      </c>
      <c r="Z260" s="68" t="str" cm="1">
        <f t="array" ref="Z260">CalculerNouvelleDate(J260,Y260)</f>
        <v/>
      </c>
      <c r="AA260" s="68" t="str" cm="1">
        <f t="array" ref="AA260">CalculerNouvelleDate(K260,Z260)</f>
        <v/>
      </c>
      <c r="AB260" s="68" t="str" cm="1">
        <f t="array" ref="AB260">CalculerNouvelleDate(L260,AA260)</f>
        <v/>
      </c>
      <c r="AC260" s="68" t="str" cm="1">
        <f t="array" ref="AC260">CalculerNouvelleDate(M260,AB260)</f>
        <v/>
      </c>
      <c r="AD260" s="68" t="str" cm="1">
        <f t="array" ref="AD260">CalculerNouvelleDate(N260,AC260)</f>
        <v/>
      </c>
      <c r="AE260" s="68" t="str" cm="1">
        <f t="array" ref="AE260">CalculerNouvelleDate(O260,AD260)</f>
        <v/>
      </c>
      <c r="AF260" s="68" t="str" cm="1">
        <f t="array" ref="AF260">CalculerNouvelleDate(P260,AE260)</f>
        <v/>
      </c>
      <c r="AG260" s="68" t="str" cm="1">
        <f t="array" ref="AG260">CalculerNouvelleDate(Q260,AF260)</f>
        <v/>
      </c>
      <c r="AH260" s="68" t="str" cm="1">
        <f t="array" ref="AH260">CalculerNouvelleDate(R260,AG260)</f>
        <v/>
      </c>
      <c r="AI260" s="68" t="str" cm="1">
        <f t="array" ref="AI260">CalculerNouvelleDate(S260,AH260)</f>
        <v/>
      </c>
      <c r="AJ260" s="68" t="str" cm="1">
        <f t="array" ref="AJ260">CalculerNouvelleDate(T260,AI260)</f>
        <v/>
      </c>
      <c r="AK260" s="68" t="str" cm="1">
        <f t="array" ref="AK260">CalculerNouvelleDate(U260,AJ260)</f>
        <v/>
      </c>
      <c r="AL260" s="68" t="str" cm="1">
        <f t="array" ref="AL260">CalculerNouvelleDate(V260,AK260)</f>
        <v/>
      </c>
      <c r="AM260" s="83" t="str" cm="1">
        <f t="array" ref="AM260">CorrespondanceDAte(X260:AL260,D261)</f>
        <v>0</v>
      </c>
      <c r="AN260" s="1"/>
      <c r="AO260" s="1"/>
      <c r="AP260" s="1"/>
      <c r="AQ260" s="1"/>
      <c r="AR260" s="1"/>
      <c r="AS260" s="1"/>
      <c r="AT260" s="1"/>
      <c r="AU260" s="1"/>
      <c r="AV260" s="1"/>
      <c r="AW260" s="1"/>
      <c r="AX260" s="1"/>
      <c r="AY260" s="1"/>
      <c r="AZ260" s="1"/>
      <c r="BA260" s="1"/>
    </row>
    <row r="261" spans="1:53" x14ac:dyDescent="0.3">
      <c r="A261" s="1"/>
      <c r="B261" s="11"/>
      <c r="C261" s="69" t="s">
        <v>545</v>
      </c>
      <c r="D261" s="1"/>
      <c r="E261" s="1"/>
      <c r="F261" s="1"/>
      <c r="G261" s="1"/>
      <c r="H261" s="43"/>
      <c r="I261" s="46"/>
      <c r="J261" s="46"/>
      <c r="K261" s="46"/>
      <c r="L261" s="46"/>
      <c r="M261" s="46"/>
      <c r="N261" s="46"/>
      <c r="O261" s="46"/>
      <c r="P261" s="46"/>
      <c r="Q261" s="46"/>
      <c r="R261" s="46"/>
      <c r="S261" s="46"/>
      <c r="T261" s="46"/>
      <c r="U261" s="46"/>
      <c r="V261" s="46"/>
      <c r="W261" s="62"/>
      <c r="X261" s="67"/>
      <c r="Y261" s="68" t="str" cm="1">
        <f t="array" ref="Y261">CalculerNouvelleDate(I261,X261)</f>
        <v/>
      </c>
      <c r="Z261" s="68" t="str" cm="1">
        <f t="array" ref="Z261">CalculerNouvelleDate(J261,Y261)</f>
        <v/>
      </c>
      <c r="AA261" s="68" t="str" cm="1">
        <f t="array" ref="AA261">CalculerNouvelleDate(K261,Z261)</f>
        <v/>
      </c>
      <c r="AB261" s="68" t="str" cm="1">
        <f t="array" ref="AB261">CalculerNouvelleDate(L261,AA261)</f>
        <v/>
      </c>
      <c r="AC261" s="68" t="str" cm="1">
        <f t="array" ref="AC261">CalculerNouvelleDate(M261,AB261)</f>
        <v/>
      </c>
      <c r="AD261" s="68" t="str" cm="1">
        <f t="array" ref="AD261">CalculerNouvelleDate(N261,AC261)</f>
        <v/>
      </c>
      <c r="AE261" s="68" t="str" cm="1">
        <f t="array" ref="AE261">CalculerNouvelleDate(O261,AD261)</f>
        <v/>
      </c>
      <c r="AF261" s="68" t="str" cm="1">
        <f t="array" ref="AF261">CalculerNouvelleDate(P261,AE261)</f>
        <v/>
      </c>
      <c r="AG261" s="68" t="str" cm="1">
        <f t="array" ref="AG261">CalculerNouvelleDate(Q261,AF261)</f>
        <v/>
      </c>
      <c r="AH261" s="68" t="str" cm="1">
        <f t="array" ref="AH261">CalculerNouvelleDate(R261,AG261)</f>
        <v/>
      </c>
      <c r="AI261" s="68" t="str" cm="1">
        <f t="array" ref="AI261">CalculerNouvelleDate(S261,AH261)</f>
        <v/>
      </c>
      <c r="AJ261" s="68" t="str" cm="1">
        <f t="array" ref="AJ261">CalculerNouvelleDate(T261,AI261)</f>
        <v/>
      </c>
      <c r="AK261" s="68" t="str" cm="1">
        <f t="array" ref="AK261">CalculerNouvelleDate(U261,AJ261)</f>
        <v/>
      </c>
      <c r="AL261" s="68" t="str" cm="1">
        <f t="array" ref="AL261">CalculerNouvelleDate(V261,AK261)</f>
        <v/>
      </c>
      <c r="AM261" s="83" t="str" cm="1">
        <f t="array" ref="AM261">CorrespondanceDAte(X261:AL261,D262)</f>
        <v>0</v>
      </c>
      <c r="AN261" s="1"/>
      <c r="AO261" s="1"/>
      <c r="AP261" s="1"/>
      <c r="AQ261" s="1"/>
      <c r="AR261" s="1"/>
      <c r="AS261" s="1"/>
      <c r="AT261" s="1"/>
      <c r="AU261" s="1"/>
      <c r="AV261" s="1"/>
      <c r="AW261" s="1"/>
      <c r="AX261" s="1"/>
      <c r="AY261" s="1"/>
      <c r="AZ261" s="1"/>
      <c r="BA261" s="1"/>
    </row>
    <row r="262" spans="1:53" x14ac:dyDescent="0.3">
      <c r="A262" s="1"/>
      <c r="B262" s="11"/>
      <c r="C262" s="69" t="s">
        <v>653</v>
      </c>
      <c r="D262" s="1"/>
      <c r="E262" s="1"/>
      <c r="F262" s="1"/>
      <c r="G262" s="1"/>
      <c r="H262" s="43"/>
      <c r="I262" s="46"/>
      <c r="J262" s="46"/>
      <c r="K262" s="46"/>
      <c r="L262" s="46"/>
      <c r="M262" s="46"/>
      <c r="N262" s="46"/>
      <c r="O262" s="46"/>
      <c r="P262" s="46"/>
      <c r="Q262" s="46"/>
      <c r="R262" s="46"/>
      <c r="S262" s="46"/>
      <c r="T262" s="46"/>
      <c r="U262" s="46"/>
      <c r="V262" s="46"/>
      <c r="W262" s="62"/>
      <c r="X262" s="67"/>
      <c r="Y262" s="68" t="str" cm="1">
        <f t="array" ref="Y262">CalculerNouvelleDate(I262,X262)</f>
        <v/>
      </c>
      <c r="Z262" s="68" t="str" cm="1">
        <f t="array" ref="Z262">CalculerNouvelleDate(J262,Y262)</f>
        <v/>
      </c>
      <c r="AA262" s="68" t="str" cm="1">
        <f t="array" ref="AA262">CalculerNouvelleDate(K262,Z262)</f>
        <v/>
      </c>
      <c r="AB262" s="68" t="str" cm="1">
        <f t="array" ref="AB262">CalculerNouvelleDate(L262,AA262)</f>
        <v/>
      </c>
      <c r="AC262" s="68" t="str" cm="1">
        <f t="array" ref="AC262">CalculerNouvelleDate(M262,AB262)</f>
        <v/>
      </c>
      <c r="AD262" s="68" t="str" cm="1">
        <f t="array" ref="AD262">CalculerNouvelleDate(N262,AC262)</f>
        <v/>
      </c>
      <c r="AE262" s="68" t="str" cm="1">
        <f t="array" ref="AE262">CalculerNouvelleDate(O262,AD262)</f>
        <v/>
      </c>
      <c r="AF262" s="68" t="str" cm="1">
        <f t="array" ref="AF262">CalculerNouvelleDate(P262,AE262)</f>
        <v/>
      </c>
      <c r="AG262" s="68" t="str" cm="1">
        <f t="array" ref="AG262">CalculerNouvelleDate(Q262,AF262)</f>
        <v/>
      </c>
      <c r="AH262" s="68" t="str" cm="1">
        <f t="array" ref="AH262">CalculerNouvelleDate(R262,AG262)</f>
        <v/>
      </c>
      <c r="AI262" s="68" t="str" cm="1">
        <f t="array" ref="AI262">CalculerNouvelleDate(S262,AH262)</f>
        <v/>
      </c>
      <c r="AJ262" s="68" t="str" cm="1">
        <f t="array" ref="AJ262">CalculerNouvelleDate(T262,AI262)</f>
        <v/>
      </c>
      <c r="AK262" s="68" t="str" cm="1">
        <f t="array" ref="AK262">CalculerNouvelleDate(U262,AJ262)</f>
        <v/>
      </c>
      <c r="AL262" s="68" t="str" cm="1">
        <f t="array" ref="AL262">CalculerNouvelleDate(V262,AK262)</f>
        <v/>
      </c>
      <c r="AM262" s="83" t="str" cm="1">
        <f t="array" ref="AM262">CorrespondanceDAte(X262:AL262,D263)</f>
        <v>0</v>
      </c>
      <c r="AN262" s="1"/>
      <c r="AO262" s="1"/>
      <c r="AP262" s="1"/>
      <c r="AQ262" s="1"/>
      <c r="AR262" s="1"/>
      <c r="AS262" s="1"/>
      <c r="AT262" s="1"/>
      <c r="AU262" s="1"/>
      <c r="AV262" s="1"/>
      <c r="AW262" s="1"/>
      <c r="AX262" s="1"/>
      <c r="AY262" s="1"/>
      <c r="AZ262" s="1"/>
      <c r="BA262" s="1"/>
    </row>
    <row r="263" spans="1:53" x14ac:dyDescent="0.3">
      <c r="A263" s="1"/>
      <c r="B263" s="11"/>
      <c r="C263" s="69" t="s">
        <v>654</v>
      </c>
      <c r="D263" s="1"/>
      <c r="E263" s="1"/>
      <c r="F263" s="1"/>
      <c r="G263" s="1"/>
      <c r="H263" s="43"/>
      <c r="I263" s="46"/>
      <c r="J263" s="46"/>
      <c r="K263" s="46"/>
      <c r="L263" s="46"/>
      <c r="M263" s="46"/>
      <c r="N263" s="46"/>
      <c r="O263" s="46"/>
      <c r="P263" s="46"/>
      <c r="Q263" s="46"/>
      <c r="R263" s="46"/>
      <c r="S263" s="46"/>
      <c r="T263" s="46"/>
      <c r="U263" s="46"/>
      <c r="V263" s="46"/>
      <c r="W263" s="62"/>
      <c r="X263" s="67"/>
      <c r="Y263" s="68" t="str" cm="1">
        <f t="array" ref="Y263">CalculerNouvelleDate(I263,X263)</f>
        <v/>
      </c>
      <c r="Z263" s="68" t="str" cm="1">
        <f t="array" ref="Z263">CalculerNouvelleDate(J263,Y263)</f>
        <v/>
      </c>
      <c r="AA263" s="68" t="str" cm="1">
        <f t="array" ref="AA263">CalculerNouvelleDate(K263,Z263)</f>
        <v/>
      </c>
      <c r="AB263" s="68" t="str" cm="1">
        <f t="array" ref="AB263">CalculerNouvelleDate(L263,AA263)</f>
        <v/>
      </c>
      <c r="AC263" s="68" t="str" cm="1">
        <f t="array" ref="AC263">CalculerNouvelleDate(M263,AB263)</f>
        <v/>
      </c>
      <c r="AD263" s="68" t="str" cm="1">
        <f t="array" ref="AD263">CalculerNouvelleDate(N263,AC263)</f>
        <v/>
      </c>
      <c r="AE263" s="68" t="str" cm="1">
        <f t="array" ref="AE263">CalculerNouvelleDate(O263,AD263)</f>
        <v/>
      </c>
      <c r="AF263" s="68" t="str" cm="1">
        <f t="array" ref="AF263">CalculerNouvelleDate(P263,AE263)</f>
        <v/>
      </c>
      <c r="AG263" s="68" t="str" cm="1">
        <f t="array" ref="AG263">CalculerNouvelleDate(Q263,AF263)</f>
        <v/>
      </c>
      <c r="AH263" s="68" t="str" cm="1">
        <f t="array" ref="AH263">CalculerNouvelleDate(R263,AG263)</f>
        <v/>
      </c>
      <c r="AI263" s="68" t="str" cm="1">
        <f t="array" ref="AI263">CalculerNouvelleDate(S263,AH263)</f>
        <v/>
      </c>
      <c r="AJ263" s="68" t="str" cm="1">
        <f t="array" ref="AJ263">CalculerNouvelleDate(T263,AI263)</f>
        <v/>
      </c>
      <c r="AK263" s="68" t="str" cm="1">
        <f t="array" ref="AK263">CalculerNouvelleDate(U263,AJ263)</f>
        <v/>
      </c>
      <c r="AL263" s="68" t="str" cm="1">
        <f t="array" ref="AL263">CalculerNouvelleDate(V263,AK263)</f>
        <v/>
      </c>
      <c r="AM263" s="83" t="str" cm="1">
        <f t="array" ref="AM263">CorrespondanceDAte(X263:AL263,D264)</f>
        <v>0</v>
      </c>
      <c r="AN263" s="1"/>
      <c r="AO263" s="1"/>
      <c r="AP263" s="1"/>
      <c r="AQ263" s="1"/>
      <c r="AR263" s="1"/>
      <c r="AS263" s="1"/>
      <c r="AT263" s="1"/>
      <c r="AU263" s="1"/>
      <c r="AV263" s="1"/>
      <c r="AW263" s="1"/>
      <c r="AX263" s="1"/>
      <c r="AY263" s="1"/>
      <c r="AZ263" s="1"/>
      <c r="BA263" s="1"/>
    </row>
    <row r="264" spans="1:53" x14ac:dyDescent="0.3">
      <c r="A264" s="1"/>
      <c r="B264" s="11"/>
      <c r="C264" s="69" t="s">
        <v>655</v>
      </c>
      <c r="D264" s="1"/>
      <c r="E264" s="1"/>
      <c r="F264" s="1"/>
      <c r="G264" s="1"/>
      <c r="H264" s="43"/>
      <c r="I264" s="46"/>
      <c r="J264" s="46"/>
      <c r="K264" s="46"/>
      <c r="L264" s="46"/>
      <c r="M264" s="46"/>
      <c r="N264" s="46"/>
      <c r="O264" s="46"/>
      <c r="P264" s="46"/>
      <c r="Q264" s="46"/>
      <c r="R264" s="46"/>
      <c r="S264" s="46"/>
      <c r="T264" s="46"/>
      <c r="U264" s="46"/>
      <c r="V264" s="46"/>
      <c r="W264" s="62"/>
      <c r="X264" s="67"/>
      <c r="Y264" s="68" t="str" cm="1">
        <f t="array" ref="Y264">CalculerNouvelleDate(I264,X264)</f>
        <v/>
      </c>
      <c r="Z264" s="68" t="str" cm="1">
        <f t="array" ref="Z264">CalculerNouvelleDate(J264,Y264)</f>
        <v/>
      </c>
      <c r="AA264" s="68" t="str" cm="1">
        <f t="array" ref="AA264">CalculerNouvelleDate(K264,Z264)</f>
        <v/>
      </c>
      <c r="AB264" s="68" t="str" cm="1">
        <f t="array" ref="AB264">CalculerNouvelleDate(L264,AA264)</f>
        <v/>
      </c>
      <c r="AC264" s="68" t="str" cm="1">
        <f t="array" ref="AC264">CalculerNouvelleDate(M264,AB264)</f>
        <v/>
      </c>
      <c r="AD264" s="68" t="str" cm="1">
        <f t="array" ref="AD264">CalculerNouvelleDate(N264,AC264)</f>
        <v/>
      </c>
      <c r="AE264" s="68" t="str" cm="1">
        <f t="array" ref="AE264">CalculerNouvelleDate(O264,AD264)</f>
        <v/>
      </c>
      <c r="AF264" s="68" t="str" cm="1">
        <f t="array" ref="AF264">CalculerNouvelleDate(P264,AE264)</f>
        <v/>
      </c>
      <c r="AG264" s="68" t="str" cm="1">
        <f t="array" ref="AG264">CalculerNouvelleDate(Q264,AF264)</f>
        <v/>
      </c>
      <c r="AH264" s="68" t="str" cm="1">
        <f t="array" ref="AH264">CalculerNouvelleDate(R264,AG264)</f>
        <v/>
      </c>
      <c r="AI264" s="68" t="str" cm="1">
        <f t="array" ref="AI264">CalculerNouvelleDate(S264,AH264)</f>
        <v/>
      </c>
      <c r="AJ264" s="68" t="str" cm="1">
        <f t="array" ref="AJ264">CalculerNouvelleDate(T264,AI264)</f>
        <v/>
      </c>
      <c r="AK264" s="68" t="str" cm="1">
        <f t="array" ref="AK264">CalculerNouvelleDate(U264,AJ264)</f>
        <v/>
      </c>
      <c r="AL264" s="68" t="str" cm="1">
        <f t="array" ref="AL264">CalculerNouvelleDate(V264,AK264)</f>
        <v/>
      </c>
      <c r="AM264" s="83" t="str" cm="1">
        <f t="array" ref="AM264">CorrespondanceDAte(X264:AL264,D265)</f>
        <v>0</v>
      </c>
      <c r="AN264" s="1"/>
      <c r="AO264" s="1"/>
      <c r="AP264" s="1"/>
      <c r="AQ264" s="1"/>
      <c r="AR264" s="1"/>
      <c r="AS264" s="1"/>
      <c r="AT264" s="1"/>
      <c r="AU264" s="1"/>
      <c r="AV264" s="1"/>
      <c r="AW264" s="1"/>
      <c r="AX264" s="1"/>
      <c r="AY264" s="1"/>
      <c r="AZ264" s="1"/>
      <c r="BA264" s="1"/>
    </row>
    <row r="265" spans="1:53" x14ac:dyDescent="0.3">
      <c r="A265" s="1"/>
      <c r="B265" s="11"/>
      <c r="C265" s="69" t="s">
        <v>656</v>
      </c>
      <c r="D265" s="1"/>
      <c r="E265" s="1"/>
      <c r="F265" s="1"/>
      <c r="G265" s="1"/>
      <c r="H265" s="43"/>
      <c r="I265" s="46"/>
      <c r="J265" s="46"/>
      <c r="K265" s="46"/>
      <c r="L265" s="46"/>
      <c r="M265" s="46"/>
      <c r="N265" s="46"/>
      <c r="O265" s="46"/>
      <c r="P265" s="46"/>
      <c r="Q265" s="46"/>
      <c r="R265" s="46"/>
      <c r="S265" s="46"/>
      <c r="T265" s="46"/>
      <c r="U265" s="46"/>
      <c r="V265" s="46"/>
      <c r="W265" s="62"/>
      <c r="X265" s="67"/>
      <c r="Y265" s="68" t="str" cm="1">
        <f t="array" ref="Y265">CalculerNouvelleDate(I265,X265)</f>
        <v/>
      </c>
      <c r="Z265" s="68" t="str" cm="1">
        <f t="array" ref="Z265">CalculerNouvelleDate(J265,Y265)</f>
        <v/>
      </c>
      <c r="AA265" s="68" t="str" cm="1">
        <f t="array" ref="AA265">CalculerNouvelleDate(K265,Z265)</f>
        <v/>
      </c>
      <c r="AB265" s="68" t="str" cm="1">
        <f t="array" ref="AB265">CalculerNouvelleDate(L265,AA265)</f>
        <v/>
      </c>
      <c r="AC265" s="68" t="str" cm="1">
        <f t="array" ref="AC265">CalculerNouvelleDate(M265,AB265)</f>
        <v/>
      </c>
      <c r="AD265" s="68" t="str" cm="1">
        <f t="array" ref="AD265">CalculerNouvelleDate(N265,AC265)</f>
        <v/>
      </c>
      <c r="AE265" s="68" t="str" cm="1">
        <f t="array" ref="AE265">CalculerNouvelleDate(O265,AD265)</f>
        <v/>
      </c>
      <c r="AF265" s="68" t="str" cm="1">
        <f t="array" ref="AF265">CalculerNouvelleDate(P265,AE265)</f>
        <v/>
      </c>
      <c r="AG265" s="68" t="str" cm="1">
        <f t="array" ref="AG265">CalculerNouvelleDate(Q265,AF265)</f>
        <v/>
      </c>
      <c r="AH265" s="68" t="str" cm="1">
        <f t="array" ref="AH265">CalculerNouvelleDate(R265,AG265)</f>
        <v/>
      </c>
      <c r="AI265" s="68" t="str" cm="1">
        <f t="array" ref="AI265">CalculerNouvelleDate(S265,AH265)</f>
        <v/>
      </c>
      <c r="AJ265" s="68" t="str" cm="1">
        <f t="array" ref="AJ265">CalculerNouvelleDate(T265,AI265)</f>
        <v/>
      </c>
      <c r="AK265" s="68" t="str" cm="1">
        <f t="array" ref="AK265">CalculerNouvelleDate(U265,AJ265)</f>
        <v/>
      </c>
      <c r="AL265" s="68" t="str" cm="1">
        <f t="array" ref="AL265">CalculerNouvelleDate(V265,AK265)</f>
        <v/>
      </c>
      <c r="AM265" s="83" t="str" cm="1">
        <f t="array" ref="AM265">CorrespondanceDAte(X265:AL265,D266)</f>
        <v>0</v>
      </c>
      <c r="AN265" s="1"/>
      <c r="AO265" s="1"/>
      <c r="AP265" s="1"/>
      <c r="AQ265" s="1"/>
      <c r="AR265" s="1"/>
      <c r="AS265" s="1"/>
      <c r="AT265" s="1"/>
      <c r="AU265" s="1"/>
      <c r="AV265" s="1"/>
      <c r="AW265" s="1"/>
      <c r="AX265" s="1"/>
      <c r="AY265" s="1"/>
      <c r="AZ265" s="1"/>
      <c r="BA265" s="1"/>
    </row>
    <row r="266" spans="1:53" x14ac:dyDescent="0.3">
      <c r="A266" s="1"/>
      <c r="B266" s="11">
        <v>3</v>
      </c>
      <c r="C266" s="1" t="s">
        <v>62</v>
      </c>
      <c r="D266" s="1"/>
      <c r="E266" s="1"/>
      <c r="F266" s="1"/>
      <c r="G266" s="1"/>
      <c r="H266" s="43"/>
      <c r="I266" s="1"/>
      <c r="J266" s="1"/>
      <c r="K266" s="1"/>
      <c r="L266" s="1"/>
      <c r="M266" s="1"/>
      <c r="N266" s="1"/>
      <c r="O266" s="1"/>
      <c r="P266" s="1"/>
      <c r="Q266" s="1"/>
      <c r="R266" s="1"/>
      <c r="S266" s="1"/>
      <c r="T266" s="1"/>
      <c r="U266" s="1"/>
      <c r="V266" s="1"/>
      <c r="W266" s="11"/>
      <c r="X266" s="67"/>
      <c r="Y266" s="68" t="str" cm="1">
        <f t="array" ref="Y266">CalculerNouvelleDate(I266,X266)</f>
        <v/>
      </c>
      <c r="Z266" s="68" t="str" cm="1">
        <f t="array" ref="Z266">CalculerNouvelleDate(J266,Y266)</f>
        <v/>
      </c>
      <c r="AA266" s="68" t="str" cm="1">
        <f t="array" ref="AA266">CalculerNouvelleDate(K266,Z266)</f>
        <v/>
      </c>
      <c r="AB266" s="68" t="str" cm="1">
        <f t="array" ref="AB266">CalculerNouvelleDate(L266,AA266)</f>
        <v/>
      </c>
      <c r="AC266" s="68" t="str" cm="1">
        <f t="array" ref="AC266">CalculerNouvelleDate(M266,AB266)</f>
        <v/>
      </c>
      <c r="AD266" s="68" t="str" cm="1">
        <f t="array" ref="AD266">CalculerNouvelleDate(N266,AC266)</f>
        <v/>
      </c>
      <c r="AE266" s="68" t="str" cm="1">
        <f t="array" ref="AE266">CalculerNouvelleDate(O266,AD266)</f>
        <v/>
      </c>
      <c r="AF266" s="68" t="str" cm="1">
        <f t="array" ref="AF266">CalculerNouvelleDate(P266,AE266)</f>
        <v/>
      </c>
      <c r="AG266" s="68" t="str" cm="1">
        <f t="array" ref="AG266">CalculerNouvelleDate(Q266,AF266)</f>
        <v/>
      </c>
      <c r="AH266" s="68" t="str" cm="1">
        <f t="array" ref="AH266">CalculerNouvelleDate(R266,AG266)</f>
        <v/>
      </c>
      <c r="AI266" s="68" t="str" cm="1">
        <f t="array" ref="AI266">CalculerNouvelleDate(S266,AH266)</f>
        <v/>
      </c>
      <c r="AJ266" s="68" t="str" cm="1">
        <f t="array" ref="AJ266">CalculerNouvelleDate(T266,AI266)</f>
        <v/>
      </c>
      <c r="AK266" s="68" t="str" cm="1">
        <f t="array" ref="AK266">CalculerNouvelleDate(U266,AJ266)</f>
        <v/>
      </c>
      <c r="AL266" s="68" t="str" cm="1">
        <f t="array" ref="AL266">CalculerNouvelleDate(V266,AK266)</f>
        <v/>
      </c>
      <c r="AM266" s="83" t="str" cm="1">
        <f t="array" ref="AM266">CorrespondanceDAte(X266:AL266,D267)</f>
        <v>0</v>
      </c>
      <c r="AN266" s="1"/>
      <c r="AO266" s="1"/>
      <c r="AP266" s="1"/>
      <c r="AQ266" s="1"/>
      <c r="AR266" s="1"/>
      <c r="AS266" s="1"/>
      <c r="AT266" s="1"/>
      <c r="AU266" s="1"/>
      <c r="AV266" s="1"/>
      <c r="AW266" s="1"/>
      <c r="AX266" s="1"/>
      <c r="AY266" s="1"/>
      <c r="AZ266" s="1"/>
      <c r="BA266" s="1"/>
    </row>
    <row r="267" spans="1:53" x14ac:dyDescent="0.3">
      <c r="A267" s="1"/>
      <c r="B267" s="11"/>
      <c r="C267" s="69" t="s">
        <v>549</v>
      </c>
      <c r="D267" s="1"/>
      <c r="E267" s="1"/>
      <c r="F267" s="1"/>
      <c r="G267" s="1"/>
      <c r="H267" s="43"/>
      <c r="I267" s="46"/>
      <c r="J267" s="46"/>
      <c r="K267" s="46"/>
      <c r="L267" s="46"/>
      <c r="M267" s="46"/>
      <c r="N267" s="46"/>
      <c r="O267" s="46"/>
      <c r="P267" s="46"/>
      <c r="Q267" s="46"/>
      <c r="R267" s="46"/>
      <c r="S267" s="46"/>
      <c r="T267" s="46"/>
      <c r="U267" s="46"/>
      <c r="V267" s="46"/>
      <c r="W267" s="62"/>
      <c r="X267" s="67"/>
      <c r="Y267" s="68" t="str" cm="1">
        <f t="array" ref="Y267">CalculerNouvelleDate(I267,X267)</f>
        <v/>
      </c>
      <c r="Z267" s="68" t="str" cm="1">
        <f t="array" ref="Z267">CalculerNouvelleDate(J267,Y267)</f>
        <v/>
      </c>
      <c r="AA267" s="68" t="str" cm="1">
        <f t="array" ref="AA267">CalculerNouvelleDate(K267,Z267)</f>
        <v/>
      </c>
      <c r="AB267" s="68" t="str" cm="1">
        <f t="array" ref="AB267">CalculerNouvelleDate(L267,AA267)</f>
        <v/>
      </c>
      <c r="AC267" s="68" t="str" cm="1">
        <f t="array" ref="AC267">CalculerNouvelleDate(M267,AB267)</f>
        <v/>
      </c>
      <c r="AD267" s="68" t="str" cm="1">
        <f t="array" ref="AD267">CalculerNouvelleDate(N267,AC267)</f>
        <v/>
      </c>
      <c r="AE267" s="68" t="str" cm="1">
        <f t="array" ref="AE267">CalculerNouvelleDate(O267,AD267)</f>
        <v/>
      </c>
      <c r="AF267" s="68" t="str" cm="1">
        <f t="array" ref="AF267">CalculerNouvelleDate(P267,AE267)</f>
        <v/>
      </c>
      <c r="AG267" s="68" t="str" cm="1">
        <f t="array" ref="AG267">CalculerNouvelleDate(Q267,AF267)</f>
        <v/>
      </c>
      <c r="AH267" s="68" t="str" cm="1">
        <f t="array" ref="AH267">CalculerNouvelleDate(R267,AG267)</f>
        <v/>
      </c>
      <c r="AI267" s="68" t="str" cm="1">
        <f t="array" ref="AI267">CalculerNouvelleDate(S267,AH267)</f>
        <v/>
      </c>
      <c r="AJ267" s="68" t="str" cm="1">
        <f t="array" ref="AJ267">CalculerNouvelleDate(T267,AI267)</f>
        <v/>
      </c>
      <c r="AK267" s="68" t="str" cm="1">
        <f t="array" ref="AK267">CalculerNouvelleDate(U267,AJ267)</f>
        <v/>
      </c>
      <c r="AL267" s="68" t="str" cm="1">
        <f t="array" ref="AL267">CalculerNouvelleDate(V267,AK267)</f>
        <v/>
      </c>
      <c r="AM267" s="83" t="str" cm="1">
        <f t="array" ref="AM267">CorrespondanceDAte(X267:AL267,D268)</f>
        <v>0</v>
      </c>
      <c r="AN267" s="1"/>
      <c r="AO267" s="1"/>
      <c r="AP267" s="1"/>
      <c r="AQ267" s="1"/>
      <c r="AR267" s="1"/>
      <c r="AS267" s="1"/>
      <c r="AT267" s="1"/>
      <c r="AU267" s="1"/>
      <c r="AV267" s="1"/>
      <c r="AW267" s="1"/>
      <c r="AX267" s="1"/>
      <c r="AY267" s="1"/>
      <c r="AZ267" s="1"/>
      <c r="BA267" s="1"/>
    </row>
    <row r="268" spans="1:53" x14ac:dyDescent="0.3">
      <c r="A268" s="1"/>
      <c r="B268" s="11"/>
      <c r="C268" s="69" t="s">
        <v>536</v>
      </c>
      <c r="D268" s="1"/>
      <c r="E268" s="1"/>
      <c r="F268" s="1"/>
      <c r="G268" s="1"/>
      <c r="H268" s="43"/>
      <c r="I268" s="46"/>
      <c r="J268" s="46"/>
      <c r="K268" s="46"/>
      <c r="L268" s="46"/>
      <c r="M268" s="46"/>
      <c r="N268" s="46"/>
      <c r="O268" s="46"/>
      <c r="P268" s="46"/>
      <c r="Q268" s="46"/>
      <c r="R268" s="46"/>
      <c r="S268" s="46"/>
      <c r="T268" s="46"/>
      <c r="U268" s="46"/>
      <c r="V268" s="46"/>
      <c r="W268" s="62"/>
      <c r="X268" s="67"/>
      <c r="Y268" s="68" t="str" cm="1">
        <f t="array" ref="Y268">CalculerNouvelleDate(I268,X268)</f>
        <v/>
      </c>
      <c r="Z268" s="68" t="str" cm="1">
        <f t="array" ref="Z268">CalculerNouvelleDate(J268,Y268)</f>
        <v/>
      </c>
      <c r="AA268" s="68" t="str" cm="1">
        <f t="array" ref="AA268">CalculerNouvelleDate(K268,Z268)</f>
        <v/>
      </c>
      <c r="AB268" s="68" t="str" cm="1">
        <f t="array" ref="AB268">CalculerNouvelleDate(L268,AA268)</f>
        <v/>
      </c>
      <c r="AC268" s="68" t="str" cm="1">
        <f t="array" ref="AC268">CalculerNouvelleDate(M268,AB268)</f>
        <v/>
      </c>
      <c r="AD268" s="68" t="str" cm="1">
        <f t="array" ref="AD268">CalculerNouvelleDate(N268,AC268)</f>
        <v/>
      </c>
      <c r="AE268" s="68" t="str" cm="1">
        <f t="array" ref="AE268">CalculerNouvelleDate(O268,AD268)</f>
        <v/>
      </c>
      <c r="AF268" s="68" t="str" cm="1">
        <f t="array" ref="AF268">CalculerNouvelleDate(P268,AE268)</f>
        <v/>
      </c>
      <c r="AG268" s="68" t="str" cm="1">
        <f t="array" ref="AG268">CalculerNouvelleDate(Q268,AF268)</f>
        <v/>
      </c>
      <c r="AH268" s="68" t="str" cm="1">
        <f t="array" ref="AH268">CalculerNouvelleDate(R268,AG268)</f>
        <v/>
      </c>
      <c r="AI268" s="68" t="str" cm="1">
        <f t="array" ref="AI268">CalculerNouvelleDate(S268,AH268)</f>
        <v/>
      </c>
      <c r="AJ268" s="68" t="str" cm="1">
        <f t="array" ref="AJ268">CalculerNouvelleDate(T268,AI268)</f>
        <v/>
      </c>
      <c r="AK268" s="68" t="str" cm="1">
        <f t="array" ref="AK268">CalculerNouvelleDate(U268,AJ268)</f>
        <v/>
      </c>
      <c r="AL268" s="68" t="str" cm="1">
        <f t="array" ref="AL268">CalculerNouvelleDate(V268,AK268)</f>
        <v/>
      </c>
      <c r="AM268" s="83" t="str" cm="1">
        <f t="array" ref="AM268">CorrespondanceDAte(X268:AL268,D269)</f>
        <v>0</v>
      </c>
      <c r="AN268" s="1"/>
      <c r="AO268" s="1"/>
      <c r="AP268" s="1"/>
      <c r="AQ268" s="1"/>
      <c r="AR268" s="1"/>
      <c r="AS268" s="1"/>
      <c r="AT268" s="1"/>
      <c r="AU268" s="1"/>
      <c r="AV268" s="1"/>
      <c r="AW268" s="1"/>
      <c r="AX268" s="1"/>
      <c r="AY268" s="1"/>
      <c r="AZ268" s="1"/>
      <c r="BA268" s="1"/>
    </row>
    <row r="269" spans="1:53" x14ac:dyDescent="0.3">
      <c r="A269" s="1"/>
      <c r="B269" s="11"/>
      <c r="C269" s="69" t="s">
        <v>550</v>
      </c>
      <c r="D269" s="1"/>
      <c r="E269" s="1"/>
      <c r="F269" s="1"/>
      <c r="G269" s="1"/>
      <c r="H269" s="43"/>
      <c r="I269" s="46"/>
      <c r="J269" s="46"/>
      <c r="K269" s="46"/>
      <c r="L269" s="46"/>
      <c r="M269" s="46"/>
      <c r="N269" s="46"/>
      <c r="O269" s="46"/>
      <c r="P269" s="46"/>
      <c r="Q269" s="46"/>
      <c r="R269" s="46"/>
      <c r="S269" s="46"/>
      <c r="T269" s="46"/>
      <c r="U269" s="46"/>
      <c r="V269" s="46"/>
      <c r="W269" s="62"/>
      <c r="X269" s="67"/>
      <c r="Y269" s="68" t="str" cm="1">
        <f t="array" ref="Y269">CalculerNouvelleDate(I269,X269)</f>
        <v/>
      </c>
      <c r="Z269" s="68" t="str" cm="1">
        <f t="array" ref="Z269">CalculerNouvelleDate(J269,Y269)</f>
        <v/>
      </c>
      <c r="AA269" s="68" t="str" cm="1">
        <f t="array" ref="AA269">CalculerNouvelleDate(K269,Z269)</f>
        <v/>
      </c>
      <c r="AB269" s="68" t="str" cm="1">
        <f t="array" ref="AB269">CalculerNouvelleDate(L269,AA269)</f>
        <v/>
      </c>
      <c r="AC269" s="68" t="str" cm="1">
        <f t="array" ref="AC269">CalculerNouvelleDate(M269,AB269)</f>
        <v/>
      </c>
      <c r="AD269" s="68" t="str" cm="1">
        <f t="array" ref="AD269">CalculerNouvelleDate(N269,AC269)</f>
        <v/>
      </c>
      <c r="AE269" s="68" t="str" cm="1">
        <f t="array" ref="AE269">CalculerNouvelleDate(O269,AD269)</f>
        <v/>
      </c>
      <c r="AF269" s="68" t="str" cm="1">
        <f t="array" ref="AF269">CalculerNouvelleDate(P269,AE269)</f>
        <v/>
      </c>
      <c r="AG269" s="68" t="str" cm="1">
        <f t="array" ref="AG269">CalculerNouvelleDate(Q269,AF269)</f>
        <v/>
      </c>
      <c r="AH269" s="68" t="str" cm="1">
        <f t="array" ref="AH269">CalculerNouvelleDate(R269,AG269)</f>
        <v/>
      </c>
      <c r="AI269" s="68" t="str" cm="1">
        <f t="array" ref="AI269">CalculerNouvelleDate(S269,AH269)</f>
        <v/>
      </c>
      <c r="AJ269" s="68" t="str" cm="1">
        <f t="array" ref="AJ269">CalculerNouvelleDate(T269,AI269)</f>
        <v/>
      </c>
      <c r="AK269" s="68" t="str" cm="1">
        <f t="array" ref="AK269">CalculerNouvelleDate(U269,AJ269)</f>
        <v/>
      </c>
      <c r="AL269" s="68" t="str" cm="1">
        <f t="array" ref="AL269">CalculerNouvelleDate(V269,AK269)</f>
        <v/>
      </c>
      <c r="AM269" s="83" t="str" cm="1">
        <f t="array" ref="AM269">CorrespondanceDAte(X269:AL269,D270)</f>
        <v>0</v>
      </c>
      <c r="AN269" s="1"/>
      <c r="AO269" s="1"/>
      <c r="AP269" s="1"/>
      <c r="AQ269" s="1"/>
      <c r="AR269" s="1"/>
      <c r="AS269" s="1"/>
      <c r="AT269" s="1"/>
      <c r="AU269" s="1"/>
      <c r="AV269" s="1"/>
      <c r="AW269" s="1"/>
      <c r="AX269" s="1"/>
      <c r="AY269" s="1"/>
      <c r="AZ269" s="1"/>
      <c r="BA269" s="1"/>
    </row>
    <row r="270" spans="1:53" x14ac:dyDescent="0.3">
      <c r="A270" s="1"/>
      <c r="B270" s="11"/>
      <c r="C270" s="1" t="s">
        <v>551</v>
      </c>
      <c r="D270" s="1"/>
      <c r="E270" s="1"/>
      <c r="F270" s="1"/>
      <c r="G270" s="1"/>
      <c r="H270" s="43"/>
      <c r="I270" s="46"/>
      <c r="J270" s="46"/>
      <c r="K270" s="46"/>
      <c r="L270" s="46"/>
      <c r="M270" s="46"/>
      <c r="N270" s="46"/>
      <c r="O270" s="46"/>
      <c r="P270" s="46"/>
      <c r="Q270" s="46"/>
      <c r="R270" s="46"/>
      <c r="S270" s="46"/>
      <c r="T270" s="46"/>
      <c r="U270" s="46"/>
      <c r="V270" s="46"/>
      <c r="W270" s="62"/>
      <c r="X270" s="67"/>
      <c r="Y270" s="68" t="str" cm="1">
        <f t="array" ref="Y270">CalculerNouvelleDate(I270,X270)</f>
        <v/>
      </c>
      <c r="Z270" s="68" t="str" cm="1">
        <f t="array" ref="Z270">CalculerNouvelleDate(J270,Y270)</f>
        <v/>
      </c>
      <c r="AA270" s="68" t="str" cm="1">
        <f t="array" ref="AA270">CalculerNouvelleDate(K270,Z270)</f>
        <v/>
      </c>
      <c r="AB270" s="68" t="str" cm="1">
        <f t="array" ref="AB270">CalculerNouvelleDate(L270,AA270)</f>
        <v/>
      </c>
      <c r="AC270" s="68" t="str" cm="1">
        <f t="array" ref="AC270">CalculerNouvelleDate(M270,AB270)</f>
        <v/>
      </c>
      <c r="AD270" s="68" t="str" cm="1">
        <f t="array" ref="AD270">CalculerNouvelleDate(N270,AC270)</f>
        <v/>
      </c>
      <c r="AE270" s="68" t="str" cm="1">
        <f t="array" ref="AE270">CalculerNouvelleDate(O270,AD270)</f>
        <v/>
      </c>
      <c r="AF270" s="68" t="str" cm="1">
        <f t="array" ref="AF270">CalculerNouvelleDate(P270,AE270)</f>
        <v/>
      </c>
      <c r="AG270" s="68" t="str" cm="1">
        <f t="array" ref="AG270">CalculerNouvelleDate(Q270,AF270)</f>
        <v/>
      </c>
      <c r="AH270" s="68" t="str" cm="1">
        <f t="array" ref="AH270">CalculerNouvelleDate(R270,AG270)</f>
        <v/>
      </c>
      <c r="AI270" s="68" t="str" cm="1">
        <f t="array" ref="AI270">CalculerNouvelleDate(S270,AH270)</f>
        <v/>
      </c>
      <c r="AJ270" s="68" t="str" cm="1">
        <f t="array" ref="AJ270">CalculerNouvelleDate(T270,AI270)</f>
        <v/>
      </c>
      <c r="AK270" s="68" t="str" cm="1">
        <f t="array" ref="AK270">CalculerNouvelleDate(U270,AJ270)</f>
        <v/>
      </c>
      <c r="AL270" s="68" t="str" cm="1">
        <f t="array" ref="AL270">CalculerNouvelleDate(V270,AK270)</f>
        <v/>
      </c>
      <c r="AM270" s="83" t="str" cm="1">
        <f t="array" ref="AM270">CorrespondanceDAte(X270:AL270,D271)</f>
        <v>0</v>
      </c>
      <c r="AN270" s="1"/>
      <c r="AO270" s="1"/>
      <c r="AP270" s="1"/>
      <c r="AQ270" s="1"/>
      <c r="AR270" s="1"/>
      <c r="AS270" s="1"/>
      <c r="AT270" s="1"/>
      <c r="AU270" s="1"/>
      <c r="AV270" s="1"/>
      <c r="AW270" s="1"/>
      <c r="AX270" s="1"/>
      <c r="AY270" s="1"/>
      <c r="AZ270" s="1"/>
      <c r="BA270" s="1"/>
    </row>
    <row r="271" spans="1:53" x14ac:dyDescent="0.3">
      <c r="A271" s="1"/>
      <c r="B271" s="11"/>
      <c r="C271" s="1" t="s">
        <v>705</v>
      </c>
      <c r="D271" s="1"/>
      <c r="E271" s="1"/>
      <c r="F271" s="1"/>
      <c r="G271" s="1"/>
      <c r="H271" s="43"/>
      <c r="I271" s="46"/>
      <c r="J271" s="46"/>
      <c r="K271" s="46"/>
      <c r="L271" s="46"/>
      <c r="M271" s="46"/>
      <c r="N271" s="46"/>
      <c r="O271" s="46"/>
      <c r="P271" s="46"/>
      <c r="Q271" s="46"/>
      <c r="R271" s="46"/>
      <c r="S271" s="46"/>
      <c r="T271" s="46"/>
      <c r="U271" s="46"/>
      <c r="V271" s="46"/>
      <c r="W271" s="62"/>
      <c r="X271" s="67"/>
      <c r="Y271" s="68" t="str" cm="1">
        <f t="array" ref="Y271">CalculerNouvelleDate(I271,X271)</f>
        <v/>
      </c>
      <c r="Z271" s="68" t="str" cm="1">
        <f t="array" ref="Z271">CalculerNouvelleDate(J271,Y271)</f>
        <v/>
      </c>
      <c r="AA271" s="68" t="str" cm="1">
        <f t="array" ref="AA271">CalculerNouvelleDate(K271,Z271)</f>
        <v/>
      </c>
      <c r="AB271" s="68" t="str" cm="1">
        <f t="array" ref="AB271">CalculerNouvelleDate(L271,AA271)</f>
        <v/>
      </c>
      <c r="AC271" s="68" t="str" cm="1">
        <f t="array" ref="AC271">CalculerNouvelleDate(M271,AB271)</f>
        <v/>
      </c>
      <c r="AD271" s="68" t="str" cm="1">
        <f t="array" ref="AD271">CalculerNouvelleDate(N271,AC271)</f>
        <v/>
      </c>
      <c r="AE271" s="68" t="str" cm="1">
        <f t="array" ref="AE271">CalculerNouvelleDate(O271,AD271)</f>
        <v/>
      </c>
      <c r="AF271" s="68" t="str" cm="1">
        <f t="array" ref="AF271">CalculerNouvelleDate(P271,AE271)</f>
        <v/>
      </c>
      <c r="AG271" s="68" t="str" cm="1">
        <f t="array" ref="AG271">CalculerNouvelleDate(Q271,AF271)</f>
        <v/>
      </c>
      <c r="AH271" s="68" t="str" cm="1">
        <f t="array" ref="AH271">CalculerNouvelleDate(R271,AG271)</f>
        <v/>
      </c>
      <c r="AI271" s="68" t="str" cm="1">
        <f t="array" ref="AI271">CalculerNouvelleDate(S271,AH271)</f>
        <v/>
      </c>
      <c r="AJ271" s="68" t="str" cm="1">
        <f t="array" ref="AJ271">CalculerNouvelleDate(T271,AI271)</f>
        <v/>
      </c>
      <c r="AK271" s="68" t="str" cm="1">
        <f t="array" ref="AK271">CalculerNouvelleDate(U271,AJ271)</f>
        <v/>
      </c>
      <c r="AL271" s="68" t="str" cm="1">
        <f t="array" ref="AL271">CalculerNouvelleDate(V271,AK271)</f>
        <v/>
      </c>
      <c r="AM271" s="83" t="str" cm="1">
        <f t="array" ref="AM271">CorrespondanceDAte(X271:AL271,D272)</f>
        <v>0</v>
      </c>
      <c r="AN271" s="1"/>
      <c r="AO271" s="1"/>
      <c r="AP271" s="1"/>
      <c r="AQ271" s="1"/>
      <c r="AR271" s="1"/>
      <c r="AS271" s="1"/>
      <c r="AT271" s="1"/>
      <c r="AU271" s="1"/>
      <c r="AV271" s="1"/>
      <c r="AW271" s="1"/>
      <c r="AX271" s="1"/>
      <c r="AY271" s="1"/>
      <c r="AZ271" s="1"/>
      <c r="BA271" s="1"/>
    </row>
    <row r="272" spans="1:53" x14ac:dyDescent="0.3">
      <c r="A272" s="1"/>
      <c r="B272" s="11"/>
      <c r="C272" s="69" t="s">
        <v>711</v>
      </c>
      <c r="D272" s="1"/>
      <c r="E272" s="1"/>
      <c r="F272" s="1"/>
      <c r="G272" s="1"/>
      <c r="H272" s="43"/>
      <c r="I272" s="46"/>
      <c r="J272" s="46"/>
      <c r="K272" s="46"/>
      <c r="L272" s="46"/>
      <c r="M272" s="46"/>
      <c r="N272" s="46"/>
      <c r="O272" s="46"/>
      <c r="P272" s="46"/>
      <c r="Q272" s="46"/>
      <c r="R272" s="46"/>
      <c r="S272" s="46"/>
      <c r="T272" s="46"/>
      <c r="U272" s="46"/>
      <c r="V272" s="46"/>
      <c r="W272" s="62"/>
      <c r="X272" s="67"/>
      <c r="Y272" s="68" t="str" cm="1">
        <f t="array" ref="Y272">CalculerNouvelleDate(I272,X272)</f>
        <v/>
      </c>
      <c r="Z272" s="68" t="str" cm="1">
        <f t="array" ref="Z272">CalculerNouvelleDate(J272,Y272)</f>
        <v/>
      </c>
      <c r="AA272" s="68" t="str" cm="1">
        <f t="array" ref="AA272">CalculerNouvelleDate(K272,Z272)</f>
        <v/>
      </c>
      <c r="AB272" s="68" t="str" cm="1">
        <f t="array" ref="AB272">CalculerNouvelleDate(L272,AA272)</f>
        <v/>
      </c>
      <c r="AC272" s="68" t="str" cm="1">
        <f t="array" ref="AC272">CalculerNouvelleDate(M272,AB272)</f>
        <v/>
      </c>
      <c r="AD272" s="68" t="str" cm="1">
        <f t="array" ref="AD272">CalculerNouvelleDate(N272,AC272)</f>
        <v/>
      </c>
      <c r="AE272" s="68" t="str" cm="1">
        <f t="array" ref="AE272">CalculerNouvelleDate(O272,AD272)</f>
        <v/>
      </c>
      <c r="AF272" s="68" t="str" cm="1">
        <f t="array" ref="AF272">CalculerNouvelleDate(P272,AE272)</f>
        <v/>
      </c>
      <c r="AG272" s="68" t="str" cm="1">
        <f t="array" ref="AG272">CalculerNouvelleDate(Q272,AF272)</f>
        <v/>
      </c>
      <c r="AH272" s="68" t="str" cm="1">
        <f t="array" ref="AH272">CalculerNouvelleDate(R272,AG272)</f>
        <v/>
      </c>
      <c r="AI272" s="68" t="str" cm="1">
        <f t="array" ref="AI272">CalculerNouvelleDate(S272,AH272)</f>
        <v/>
      </c>
      <c r="AJ272" s="68" t="str" cm="1">
        <f t="array" ref="AJ272">CalculerNouvelleDate(T272,AI272)</f>
        <v/>
      </c>
      <c r="AK272" s="68" t="str" cm="1">
        <f t="array" ref="AK272">CalculerNouvelleDate(U272,AJ272)</f>
        <v/>
      </c>
      <c r="AL272" s="68" t="str" cm="1">
        <f t="array" ref="AL272">CalculerNouvelleDate(V272,AK272)</f>
        <v/>
      </c>
      <c r="AM272" s="83" t="str" cm="1">
        <f t="array" ref="AM272">CorrespondanceDAte(X272:AL272,D273)</f>
        <v>0</v>
      </c>
      <c r="AN272" s="1"/>
      <c r="AO272" s="1"/>
      <c r="AP272" s="1"/>
      <c r="AQ272" s="1"/>
      <c r="AR272" s="1"/>
      <c r="AS272" s="1"/>
      <c r="AT272" s="1"/>
      <c r="AU272" s="1"/>
      <c r="AV272" s="1"/>
      <c r="AW272" s="1"/>
      <c r="AX272" s="1"/>
      <c r="AY272" s="1"/>
      <c r="AZ272" s="1"/>
      <c r="BA272" s="1"/>
    </row>
    <row r="273" spans="1:53" x14ac:dyDescent="0.3">
      <c r="A273" s="1"/>
      <c r="B273" s="11"/>
      <c r="C273" s="69" t="s">
        <v>712</v>
      </c>
      <c r="D273" s="1"/>
      <c r="E273" s="1"/>
      <c r="F273" s="1"/>
      <c r="G273" s="1"/>
      <c r="H273" s="43"/>
      <c r="I273" s="46"/>
      <c r="J273" s="46"/>
      <c r="K273" s="46"/>
      <c r="L273" s="46"/>
      <c r="M273" s="46"/>
      <c r="N273" s="46"/>
      <c r="O273" s="46"/>
      <c r="P273" s="46"/>
      <c r="Q273" s="46"/>
      <c r="R273" s="46"/>
      <c r="S273" s="46"/>
      <c r="T273" s="46"/>
      <c r="U273" s="46"/>
      <c r="V273" s="46"/>
      <c r="W273" s="62"/>
      <c r="X273" s="67"/>
      <c r="Y273" s="68" t="str" cm="1">
        <f t="array" ref="Y273">CalculerNouvelleDate(I273,X273)</f>
        <v/>
      </c>
      <c r="Z273" s="68" t="str" cm="1">
        <f t="array" ref="Z273">CalculerNouvelleDate(J273,Y273)</f>
        <v/>
      </c>
      <c r="AA273" s="68" t="str" cm="1">
        <f t="array" ref="AA273">CalculerNouvelleDate(K273,Z273)</f>
        <v/>
      </c>
      <c r="AB273" s="68" t="str" cm="1">
        <f t="array" ref="AB273">CalculerNouvelleDate(L273,AA273)</f>
        <v/>
      </c>
      <c r="AC273" s="68" t="str" cm="1">
        <f t="array" ref="AC273">CalculerNouvelleDate(M273,AB273)</f>
        <v/>
      </c>
      <c r="AD273" s="68" t="str" cm="1">
        <f t="array" ref="AD273">CalculerNouvelleDate(N273,AC273)</f>
        <v/>
      </c>
      <c r="AE273" s="68" t="str" cm="1">
        <f t="array" ref="AE273">CalculerNouvelleDate(O273,AD273)</f>
        <v/>
      </c>
      <c r="AF273" s="68" t="str" cm="1">
        <f t="array" ref="AF273">CalculerNouvelleDate(P273,AE273)</f>
        <v/>
      </c>
      <c r="AG273" s="68" t="str" cm="1">
        <f t="array" ref="AG273">CalculerNouvelleDate(Q273,AF273)</f>
        <v/>
      </c>
      <c r="AH273" s="68" t="str" cm="1">
        <f t="array" ref="AH273">CalculerNouvelleDate(R273,AG273)</f>
        <v/>
      </c>
      <c r="AI273" s="68" t="str" cm="1">
        <f t="array" ref="AI273">CalculerNouvelleDate(S273,AH273)</f>
        <v/>
      </c>
      <c r="AJ273" s="68" t="str" cm="1">
        <f t="array" ref="AJ273">CalculerNouvelleDate(T273,AI273)</f>
        <v/>
      </c>
      <c r="AK273" s="68" t="str" cm="1">
        <f t="array" ref="AK273">CalculerNouvelleDate(U273,AJ273)</f>
        <v/>
      </c>
      <c r="AL273" s="68" t="str" cm="1">
        <f t="array" ref="AL273">CalculerNouvelleDate(V273,AK273)</f>
        <v/>
      </c>
      <c r="AM273" s="83" t="str" cm="1">
        <f t="array" ref="AM273">CorrespondanceDAte(X273:AL273,D274)</f>
        <v>0</v>
      </c>
      <c r="AN273" s="1"/>
      <c r="AO273" s="1"/>
      <c r="AP273" s="1"/>
      <c r="AQ273" s="1"/>
      <c r="AR273" s="1"/>
      <c r="AS273" s="1"/>
      <c r="AT273" s="1"/>
      <c r="AU273" s="1"/>
      <c r="AV273" s="1"/>
      <c r="AW273" s="1"/>
      <c r="AX273" s="1"/>
      <c r="AY273" s="1"/>
      <c r="AZ273" s="1"/>
      <c r="BA273" s="1"/>
    </row>
    <row r="274" spans="1:53" x14ac:dyDescent="0.3">
      <c r="A274" s="1"/>
      <c r="B274" s="11">
        <v>4</v>
      </c>
      <c r="C274" s="1" t="s">
        <v>63</v>
      </c>
      <c r="D274" s="1"/>
      <c r="E274" s="1"/>
      <c r="F274" s="1"/>
      <c r="G274" s="1"/>
      <c r="H274" s="43"/>
      <c r="I274" s="1"/>
      <c r="J274" s="1"/>
      <c r="K274" s="1"/>
      <c r="L274" s="1"/>
      <c r="M274" s="1"/>
      <c r="N274" s="1"/>
      <c r="O274" s="1"/>
      <c r="P274" s="1"/>
      <c r="Q274" s="1"/>
      <c r="R274" s="1"/>
      <c r="S274" s="1"/>
      <c r="T274" s="1"/>
      <c r="U274" s="1"/>
      <c r="V274" s="1"/>
      <c r="W274" s="11"/>
      <c r="X274" s="67"/>
      <c r="Y274" s="68" t="str" cm="1">
        <f t="array" ref="Y274">CalculerNouvelleDate(I274,X274)</f>
        <v/>
      </c>
      <c r="Z274" s="68" t="str" cm="1">
        <f t="array" ref="Z274">CalculerNouvelleDate(J274,Y274)</f>
        <v/>
      </c>
      <c r="AA274" s="68" t="str" cm="1">
        <f t="array" ref="AA274">CalculerNouvelleDate(K274,Z274)</f>
        <v/>
      </c>
      <c r="AB274" s="68" t="str" cm="1">
        <f t="array" ref="AB274">CalculerNouvelleDate(L274,AA274)</f>
        <v/>
      </c>
      <c r="AC274" s="68" t="str" cm="1">
        <f t="array" ref="AC274">CalculerNouvelleDate(M274,AB274)</f>
        <v/>
      </c>
      <c r="AD274" s="68" t="str" cm="1">
        <f t="array" ref="AD274">CalculerNouvelleDate(N274,AC274)</f>
        <v/>
      </c>
      <c r="AE274" s="68" t="str" cm="1">
        <f t="array" ref="AE274">CalculerNouvelleDate(O274,AD274)</f>
        <v/>
      </c>
      <c r="AF274" s="68" t="str" cm="1">
        <f t="array" ref="AF274">CalculerNouvelleDate(P274,AE274)</f>
        <v/>
      </c>
      <c r="AG274" s="68" t="str" cm="1">
        <f t="array" ref="AG274">CalculerNouvelleDate(Q274,AF274)</f>
        <v/>
      </c>
      <c r="AH274" s="68" t="str" cm="1">
        <f t="array" ref="AH274">CalculerNouvelleDate(R274,AG274)</f>
        <v/>
      </c>
      <c r="AI274" s="68" t="str" cm="1">
        <f t="array" ref="AI274">CalculerNouvelleDate(S274,AH274)</f>
        <v/>
      </c>
      <c r="AJ274" s="68" t="str" cm="1">
        <f t="array" ref="AJ274">CalculerNouvelleDate(T274,AI274)</f>
        <v/>
      </c>
      <c r="AK274" s="68" t="str" cm="1">
        <f t="array" ref="AK274">CalculerNouvelleDate(U274,AJ274)</f>
        <v/>
      </c>
      <c r="AL274" s="68" t="str" cm="1">
        <f t="array" ref="AL274">CalculerNouvelleDate(V274,AK274)</f>
        <v/>
      </c>
      <c r="AM274" s="83" t="str" cm="1">
        <f t="array" ref="AM274">CorrespondanceDAte(X274:AL274,D275)</f>
        <v>0</v>
      </c>
      <c r="AN274" s="1"/>
      <c r="AO274" s="1"/>
      <c r="AP274" s="1"/>
      <c r="AQ274" s="1"/>
      <c r="AR274" s="1"/>
      <c r="AS274" s="1"/>
      <c r="AT274" s="1"/>
      <c r="AU274" s="1"/>
      <c r="AV274" s="1"/>
      <c r="AW274" s="1"/>
      <c r="AX274" s="1"/>
      <c r="AY274" s="1"/>
      <c r="AZ274" s="1"/>
      <c r="BA274" s="1"/>
    </row>
    <row r="275" spans="1:53" x14ac:dyDescent="0.3">
      <c r="A275" s="1"/>
      <c r="B275" s="11"/>
      <c r="C275" s="69" t="s">
        <v>556</v>
      </c>
      <c r="D275" s="1"/>
      <c r="E275" s="1"/>
      <c r="F275" s="1"/>
      <c r="G275" s="1"/>
      <c r="H275" s="43"/>
      <c r="I275" s="46"/>
      <c r="J275" s="46"/>
      <c r="K275" s="46"/>
      <c r="L275" s="46"/>
      <c r="M275" s="46"/>
      <c r="N275" s="46"/>
      <c r="O275" s="46"/>
      <c r="P275" s="46"/>
      <c r="Q275" s="46"/>
      <c r="R275" s="46"/>
      <c r="S275" s="46"/>
      <c r="T275" s="46"/>
      <c r="U275" s="46"/>
      <c r="V275" s="46"/>
      <c r="W275" s="62"/>
      <c r="X275" s="67"/>
      <c r="Y275" s="68" t="str" cm="1">
        <f t="array" ref="Y275">CalculerNouvelleDate(I275,X275)</f>
        <v/>
      </c>
      <c r="Z275" s="68" t="str" cm="1">
        <f t="array" ref="Z275">CalculerNouvelleDate(J275,Y275)</f>
        <v/>
      </c>
      <c r="AA275" s="68" t="str" cm="1">
        <f t="array" ref="AA275">CalculerNouvelleDate(K275,Z275)</f>
        <v/>
      </c>
      <c r="AB275" s="68" t="str" cm="1">
        <f t="array" ref="AB275">CalculerNouvelleDate(L275,AA275)</f>
        <v/>
      </c>
      <c r="AC275" s="68" t="str" cm="1">
        <f t="array" ref="AC275">CalculerNouvelleDate(M275,AB275)</f>
        <v/>
      </c>
      <c r="AD275" s="68" t="str" cm="1">
        <f t="array" ref="AD275">CalculerNouvelleDate(N275,AC275)</f>
        <v/>
      </c>
      <c r="AE275" s="68" t="str" cm="1">
        <f t="array" ref="AE275">CalculerNouvelleDate(O275,AD275)</f>
        <v/>
      </c>
      <c r="AF275" s="68" t="str" cm="1">
        <f t="array" ref="AF275">CalculerNouvelleDate(P275,AE275)</f>
        <v/>
      </c>
      <c r="AG275" s="68" t="str" cm="1">
        <f t="array" ref="AG275">CalculerNouvelleDate(Q275,AF275)</f>
        <v/>
      </c>
      <c r="AH275" s="68" t="str" cm="1">
        <f t="array" ref="AH275">CalculerNouvelleDate(R275,AG275)</f>
        <v/>
      </c>
      <c r="AI275" s="68" t="str" cm="1">
        <f t="array" ref="AI275">CalculerNouvelleDate(S275,AH275)</f>
        <v/>
      </c>
      <c r="AJ275" s="68" t="str" cm="1">
        <f t="array" ref="AJ275">CalculerNouvelleDate(T275,AI275)</f>
        <v/>
      </c>
      <c r="AK275" s="68" t="str" cm="1">
        <f t="array" ref="AK275">CalculerNouvelleDate(U275,AJ275)</f>
        <v/>
      </c>
      <c r="AL275" s="68" t="str" cm="1">
        <f t="array" ref="AL275">CalculerNouvelleDate(V275,AK275)</f>
        <v/>
      </c>
      <c r="AM275" s="83" t="str" cm="1">
        <f t="array" ref="AM275">CorrespondanceDAte(X275:AL275,D276)</f>
        <v>0</v>
      </c>
      <c r="AN275" s="1"/>
      <c r="AO275" s="1"/>
      <c r="AP275" s="1"/>
      <c r="AQ275" s="1"/>
      <c r="AR275" s="1"/>
      <c r="AS275" s="1"/>
      <c r="AT275" s="1"/>
      <c r="AU275" s="1"/>
      <c r="AV275" s="1"/>
      <c r="AW275" s="1"/>
      <c r="AX275" s="1"/>
      <c r="AY275" s="1"/>
      <c r="AZ275" s="1"/>
      <c r="BA275" s="1"/>
    </row>
    <row r="276" spans="1:53" x14ac:dyDescent="0.3">
      <c r="A276" s="1"/>
      <c r="B276" s="11"/>
      <c r="C276" s="69" t="s">
        <v>537</v>
      </c>
      <c r="D276" s="1"/>
      <c r="E276" s="1"/>
      <c r="F276" s="1"/>
      <c r="G276" s="1"/>
      <c r="H276" s="43"/>
      <c r="I276" s="46"/>
      <c r="J276" s="46"/>
      <c r="K276" s="46"/>
      <c r="L276" s="46"/>
      <c r="M276" s="46"/>
      <c r="N276" s="46"/>
      <c r="O276" s="46"/>
      <c r="P276" s="46"/>
      <c r="Q276" s="46"/>
      <c r="R276" s="46"/>
      <c r="S276" s="46"/>
      <c r="T276" s="46"/>
      <c r="U276" s="46"/>
      <c r="V276" s="46"/>
      <c r="W276" s="62"/>
      <c r="X276" s="67"/>
      <c r="Y276" s="68" t="str" cm="1">
        <f t="array" ref="Y276">CalculerNouvelleDate(I276,X276)</f>
        <v/>
      </c>
      <c r="Z276" s="68" t="str" cm="1">
        <f t="array" ref="Z276">CalculerNouvelleDate(J276,Y276)</f>
        <v/>
      </c>
      <c r="AA276" s="68" t="str" cm="1">
        <f t="array" ref="AA276">CalculerNouvelleDate(K276,Z276)</f>
        <v/>
      </c>
      <c r="AB276" s="68" t="str" cm="1">
        <f t="array" ref="AB276">CalculerNouvelleDate(L276,AA276)</f>
        <v/>
      </c>
      <c r="AC276" s="68" t="str" cm="1">
        <f t="array" ref="AC276">CalculerNouvelleDate(M276,AB276)</f>
        <v/>
      </c>
      <c r="AD276" s="68" t="str" cm="1">
        <f t="array" ref="AD276">CalculerNouvelleDate(N276,AC276)</f>
        <v/>
      </c>
      <c r="AE276" s="68" t="str" cm="1">
        <f t="array" ref="AE276">CalculerNouvelleDate(O276,AD276)</f>
        <v/>
      </c>
      <c r="AF276" s="68" t="str" cm="1">
        <f t="array" ref="AF276">CalculerNouvelleDate(P276,AE276)</f>
        <v/>
      </c>
      <c r="AG276" s="68" t="str" cm="1">
        <f t="array" ref="AG276">CalculerNouvelleDate(Q276,AF276)</f>
        <v/>
      </c>
      <c r="AH276" s="68" t="str" cm="1">
        <f t="array" ref="AH276">CalculerNouvelleDate(R276,AG276)</f>
        <v/>
      </c>
      <c r="AI276" s="68" t="str" cm="1">
        <f t="array" ref="AI276">CalculerNouvelleDate(S276,AH276)</f>
        <v/>
      </c>
      <c r="AJ276" s="68" t="str" cm="1">
        <f t="array" ref="AJ276">CalculerNouvelleDate(T276,AI276)</f>
        <v/>
      </c>
      <c r="AK276" s="68" t="str" cm="1">
        <f t="array" ref="AK276">CalculerNouvelleDate(U276,AJ276)</f>
        <v/>
      </c>
      <c r="AL276" s="68" t="str" cm="1">
        <f t="array" ref="AL276">CalculerNouvelleDate(V276,AK276)</f>
        <v/>
      </c>
      <c r="AM276" s="83" t="str" cm="1">
        <f t="array" ref="AM276">CorrespondanceDAte(X276:AL276,D277)</f>
        <v>0</v>
      </c>
      <c r="AN276" s="1"/>
      <c r="AO276" s="1"/>
      <c r="AP276" s="1"/>
      <c r="AQ276" s="1"/>
      <c r="AR276" s="1"/>
      <c r="AS276" s="1"/>
      <c r="AT276" s="1"/>
      <c r="AU276" s="1"/>
      <c r="AV276" s="1"/>
      <c r="AW276" s="1"/>
      <c r="AX276" s="1"/>
      <c r="AY276" s="1"/>
      <c r="AZ276" s="1"/>
      <c r="BA276" s="1"/>
    </row>
    <row r="277" spans="1:53" x14ac:dyDescent="0.3">
      <c r="A277" s="1"/>
      <c r="B277" s="11"/>
      <c r="C277" s="69" t="s">
        <v>557</v>
      </c>
      <c r="D277" s="1"/>
      <c r="E277" s="1"/>
      <c r="F277" s="1"/>
      <c r="G277" s="1"/>
      <c r="H277" s="43"/>
      <c r="I277" s="46"/>
      <c r="J277" s="46"/>
      <c r="K277" s="46"/>
      <c r="L277" s="46"/>
      <c r="M277" s="46"/>
      <c r="N277" s="46"/>
      <c r="O277" s="46"/>
      <c r="P277" s="46"/>
      <c r="Q277" s="46"/>
      <c r="R277" s="46"/>
      <c r="S277" s="46"/>
      <c r="T277" s="46"/>
      <c r="U277" s="46"/>
      <c r="V277" s="46"/>
      <c r="W277" s="62"/>
      <c r="X277" s="67"/>
      <c r="Y277" s="68" t="str" cm="1">
        <f t="array" ref="Y277">CalculerNouvelleDate(I277,X277)</f>
        <v/>
      </c>
      <c r="Z277" s="68" t="str" cm="1">
        <f t="array" ref="Z277">CalculerNouvelleDate(J277,Y277)</f>
        <v/>
      </c>
      <c r="AA277" s="68" t="str" cm="1">
        <f t="array" ref="AA277">CalculerNouvelleDate(K277,Z277)</f>
        <v/>
      </c>
      <c r="AB277" s="68" t="str" cm="1">
        <f t="array" ref="AB277">CalculerNouvelleDate(L277,AA277)</f>
        <v/>
      </c>
      <c r="AC277" s="68" t="str" cm="1">
        <f t="array" ref="AC277">CalculerNouvelleDate(M277,AB277)</f>
        <v/>
      </c>
      <c r="AD277" s="68" t="str" cm="1">
        <f t="array" ref="AD277">CalculerNouvelleDate(N277,AC277)</f>
        <v/>
      </c>
      <c r="AE277" s="68" t="str" cm="1">
        <f t="array" ref="AE277">CalculerNouvelleDate(O277,AD277)</f>
        <v/>
      </c>
      <c r="AF277" s="68" t="str" cm="1">
        <f t="array" ref="AF277">CalculerNouvelleDate(P277,AE277)</f>
        <v/>
      </c>
      <c r="AG277" s="68" t="str" cm="1">
        <f t="array" ref="AG277">CalculerNouvelleDate(Q277,AF277)</f>
        <v/>
      </c>
      <c r="AH277" s="68" t="str" cm="1">
        <f t="array" ref="AH277">CalculerNouvelleDate(R277,AG277)</f>
        <v/>
      </c>
      <c r="AI277" s="68" t="str" cm="1">
        <f t="array" ref="AI277">CalculerNouvelleDate(S277,AH277)</f>
        <v/>
      </c>
      <c r="AJ277" s="68" t="str" cm="1">
        <f t="array" ref="AJ277">CalculerNouvelleDate(T277,AI277)</f>
        <v/>
      </c>
      <c r="AK277" s="68" t="str" cm="1">
        <f t="array" ref="AK277">CalculerNouvelleDate(U277,AJ277)</f>
        <v/>
      </c>
      <c r="AL277" s="68" t="str" cm="1">
        <f t="array" ref="AL277">CalculerNouvelleDate(V277,AK277)</f>
        <v/>
      </c>
      <c r="AM277" s="83" t="str" cm="1">
        <f t="array" ref="AM277">CorrespondanceDAte(X277:AL277,D278)</f>
        <v>0</v>
      </c>
      <c r="AN277" s="1"/>
      <c r="AO277" s="1"/>
      <c r="AP277" s="1"/>
      <c r="AQ277" s="1"/>
      <c r="AR277" s="1"/>
      <c r="AS277" s="1"/>
      <c r="AT277" s="1"/>
      <c r="AU277" s="1"/>
      <c r="AV277" s="1"/>
      <c r="AW277" s="1"/>
      <c r="AX277" s="1"/>
      <c r="AY277" s="1"/>
      <c r="AZ277" s="1"/>
      <c r="BA277" s="1"/>
    </row>
    <row r="278" spans="1:53" x14ac:dyDescent="0.3">
      <c r="A278" s="1"/>
      <c r="B278" s="11"/>
      <c r="C278" s="69" t="s">
        <v>608</v>
      </c>
      <c r="D278" s="1"/>
      <c r="E278" s="1"/>
      <c r="F278" s="1"/>
      <c r="G278" s="1"/>
      <c r="H278" s="43"/>
      <c r="I278" s="46"/>
      <c r="J278" s="46"/>
      <c r="K278" s="46"/>
      <c r="L278" s="46"/>
      <c r="M278" s="46"/>
      <c r="N278" s="46"/>
      <c r="O278" s="46"/>
      <c r="P278" s="46"/>
      <c r="Q278" s="46"/>
      <c r="R278" s="46"/>
      <c r="S278" s="46"/>
      <c r="T278" s="46"/>
      <c r="U278" s="46"/>
      <c r="V278" s="46"/>
      <c r="W278" s="62"/>
      <c r="X278" s="67"/>
      <c r="Y278" s="68" t="str" cm="1">
        <f t="array" ref="Y278">CalculerNouvelleDate(I278,X278)</f>
        <v/>
      </c>
      <c r="Z278" s="68" t="str" cm="1">
        <f t="array" ref="Z278">CalculerNouvelleDate(J278,Y278)</f>
        <v/>
      </c>
      <c r="AA278" s="68" t="str" cm="1">
        <f t="array" ref="AA278">CalculerNouvelleDate(K278,Z278)</f>
        <v/>
      </c>
      <c r="AB278" s="68" t="str" cm="1">
        <f t="array" ref="AB278">CalculerNouvelleDate(L278,AA278)</f>
        <v/>
      </c>
      <c r="AC278" s="68" t="str" cm="1">
        <f t="array" ref="AC278">CalculerNouvelleDate(M278,AB278)</f>
        <v/>
      </c>
      <c r="AD278" s="68" t="str" cm="1">
        <f t="array" ref="AD278">CalculerNouvelleDate(N278,AC278)</f>
        <v/>
      </c>
      <c r="AE278" s="68" t="str" cm="1">
        <f t="array" ref="AE278">CalculerNouvelleDate(O278,AD278)</f>
        <v/>
      </c>
      <c r="AF278" s="68" t="str" cm="1">
        <f t="array" ref="AF278">CalculerNouvelleDate(P278,AE278)</f>
        <v/>
      </c>
      <c r="AG278" s="68" t="str" cm="1">
        <f t="array" ref="AG278">CalculerNouvelleDate(Q278,AF278)</f>
        <v/>
      </c>
      <c r="AH278" s="68" t="str" cm="1">
        <f t="array" ref="AH278">CalculerNouvelleDate(R278,AG278)</f>
        <v/>
      </c>
      <c r="AI278" s="68" t="str" cm="1">
        <f t="array" ref="AI278">CalculerNouvelleDate(S278,AH278)</f>
        <v/>
      </c>
      <c r="AJ278" s="68" t="str" cm="1">
        <f t="array" ref="AJ278">CalculerNouvelleDate(T278,AI278)</f>
        <v/>
      </c>
      <c r="AK278" s="68" t="str" cm="1">
        <f t="array" ref="AK278">CalculerNouvelleDate(U278,AJ278)</f>
        <v/>
      </c>
      <c r="AL278" s="68" t="str" cm="1">
        <f t="array" ref="AL278">CalculerNouvelleDate(V278,AK278)</f>
        <v/>
      </c>
      <c r="AM278" s="83" t="str" cm="1">
        <f t="array" ref="AM278">CorrespondanceDAte(X278:AL278,D279)</f>
        <v>0</v>
      </c>
      <c r="AN278" s="1"/>
      <c r="AO278" s="1"/>
      <c r="AP278" s="1"/>
      <c r="AQ278" s="1"/>
      <c r="AR278" s="1"/>
      <c r="AS278" s="1"/>
      <c r="AT278" s="1"/>
      <c r="AU278" s="1"/>
      <c r="AV278" s="1"/>
      <c r="AW278" s="1"/>
      <c r="AX278" s="1"/>
      <c r="AY278" s="1"/>
      <c r="AZ278" s="1"/>
      <c r="BA278" s="1"/>
    </row>
    <row r="279" spans="1:53" x14ac:dyDescent="0.3">
      <c r="A279" s="1"/>
      <c r="B279" s="11"/>
      <c r="C279" s="69" t="s">
        <v>707</v>
      </c>
      <c r="D279" s="1"/>
      <c r="E279" s="1"/>
      <c r="F279" s="1"/>
      <c r="G279" s="1"/>
      <c r="H279" s="43"/>
      <c r="I279" s="46"/>
      <c r="J279" s="46"/>
      <c r="K279" s="46"/>
      <c r="L279" s="46"/>
      <c r="M279" s="46"/>
      <c r="N279" s="46"/>
      <c r="O279" s="46"/>
      <c r="P279" s="46"/>
      <c r="Q279" s="46"/>
      <c r="R279" s="46"/>
      <c r="S279" s="46"/>
      <c r="T279" s="46"/>
      <c r="U279" s="46"/>
      <c r="V279" s="46"/>
      <c r="W279" s="62"/>
      <c r="X279" s="67"/>
      <c r="Y279" s="68" t="str" cm="1">
        <f t="array" ref="Y279">CalculerNouvelleDate(I279,X279)</f>
        <v/>
      </c>
      <c r="Z279" s="68" t="str" cm="1">
        <f t="array" ref="Z279">CalculerNouvelleDate(J279,Y279)</f>
        <v/>
      </c>
      <c r="AA279" s="68" t="str" cm="1">
        <f t="array" ref="AA279">CalculerNouvelleDate(K279,Z279)</f>
        <v/>
      </c>
      <c r="AB279" s="68" t="str" cm="1">
        <f t="array" ref="AB279">CalculerNouvelleDate(L279,AA279)</f>
        <v/>
      </c>
      <c r="AC279" s="68" t="str" cm="1">
        <f t="array" ref="AC279">CalculerNouvelleDate(M279,AB279)</f>
        <v/>
      </c>
      <c r="AD279" s="68" t="str" cm="1">
        <f t="array" ref="AD279">CalculerNouvelleDate(N279,AC279)</f>
        <v/>
      </c>
      <c r="AE279" s="68" t="str" cm="1">
        <f t="array" ref="AE279">CalculerNouvelleDate(O279,AD279)</f>
        <v/>
      </c>
      <c r="AF279" s="68" t="str" cm="1">
        <f t="array" ref="AF279">CalculerNouvelleDate(P279,AE279)</f>
        <v/>
      </c>
      <c r="AG279" s="68" t="str" cm="1">
        <f t="array" ref="AG279">CalculerNouvelleDate(Q279,AF279)</f>
        <v/>
      </c>
      <c r="AH279" s="68" t="str" cm="1">
        <f t="array" ref="AH279">CalculerNouvelleDate(R279,AG279)</f>
        <v/>
      </c>
      <c r="AI279" s="68" t="str" cm="1">
        <f t="array" ref="AI279">CalculerNouvelleDate(S279,AH279)</f>
        <v/>
      </c>
      <c r="AJ279" s="68" t="str" cm="1">
        <f t="array" ref="AJ279">CalculerNouvelleDate(T279,AI279)</f>
        <v/>
      </c>
      <c r="AK279" s="68" t="str" cm="1">
        <f t="array" ref="AK279">CalculerNouvelleDate(U279,AJ279)</f>
        <v/>
      </c>
      <c r="AL279" s="68" t="str" cm="1">
        <f t="array" ref="AL279">CalculerNouvelleDate(V279,AK279)</f>
        <v/>
      </c>
      <c r="AM279" s="83" t="str" cm="1">
        <f t="array" ref="AM279">CorrespondanceDAte(X279:AL279,D280)</f>
        <v>0</v>
      </c>
      <c r="AN279" s="1"/>
      <c r="AO279" s="1"/>
      <c r="AP279" s="1"/>
      <c r="AQ279" s="1"/>
      <c r="AR279" s="1"/>
      <c r="AS279" s="1"/>
      <c r="AT279" s="1"/>
      <c r="AU279" s="1"/>
      <c r="AV279" s="1"/>
      <c r="AW279" s="1"/>
      <c r="AX279" s="1"/>
      <c r="AY279" s="1"/>
      <c r="AZ279" s="1"/>
      <c r="BA279" s="1"/>
    </row>
    <row r="280" spans="1:53" x14ac:dyDescent="0.3">
      <c r="A280" s="1"/>
      <c r="B280" s="11"/>
      <c r="C280" s="1" t="s">
        <v>708</v>
      </c>
      <c r="D280" s="1"/>
      <c r="E280" s="1"/>
      <c r="F280" s="1"/>
      <c r="G280" s="1"/>
      <c r="H280" s="43"/>
      <c r="I280" s="46"/>
      <c r="J280" s="46"/>
      <c r="K280" s="46"/>
      <c r="L280" s="46"/>
      <c r="M280" s="46"/>
      <c r="N280" s="46"/>
      <c r="O280" s="46"/>
      <c r="P280" s="46"/>
      <c r="Q280" s="46"/>
      <c r="R280" s="46"/>
      <c r="S280" s="46"/>
      <c r="T280" s="46"/>
      <c r="U280" s="46"/>
      <c r="V280" s="46"/>
      <c r="W280" s="62"/>
      <c r="X280" s="67"/>
      <c r="Y280" s="68" t="str" cm="1">
        <f t="array" ref="Y280">CalculerNouvelleDate(I280,X280)</f>
        <v/>
      </c>
      <c r="Z280" s="68" t="str" cm="1">
        <f t="array" ref="Z280">CalculerNouvelleDate(J280,Y280)</f>
        <v/>
      </c>
      <c r="AA280" s="68" t="str" cm="1">
        <f t="array" ref="AA280">CalculerNouvelleDate(K280,Z280)</f>
        <v/>
      </c>
      <c r="AB280" s="68" t="str" cm="1">
        <f t="array" ref="AB280">CalculerNouvelleDate(L280,AA280)</f>
        <v/>
      </c>
      <c r="AC280" s="68" t="str" cm="1">
        <f t="array" ref="AC280">CalculerNouvelleDate(M280,AB280)</f>
        <v/>
      </c>
      <c r="AD280" s="68" t="str" cm="1">
        <f t="array" ref="AD280">CalculerNouvelleDate(N280,AC280)</f>
        <v/>
      </c>
      <c r="AE280" s="68" t="str" cm="1">
        <f t="array" ref="AE280">CalculerNouvelleDate(O280,AD280)</f>
        <v/>
      </c>
      <c r="AF280" s="68" t="str" cm="1">
        <f t="array" ref="AF280">CalculerNouvelleDate(P280,AE280)</f>
        <v/>
      </c>
      <c r="AG280" s="68" t="str" cm="1">
        <f t="array" ref="AG280">CalculerNouvelleDate(Q280,AF280)</f>
        <v/>
      </c>
      <c r="AH280" s="68" t="str" cm="1">
        <f t="array" ref="AH280">CalculerNouvelleDate(R280,AG280)</f>
        <v/>
      </c>
      <c r="AI280" s="68" t="str" cm="1">
        <f t="array" ref="AI280">CalculerNouvelleDate(S280,AH280)</f>
        <v/>
      </c>
      <c r="AJ280" s="68" t="str" cm="1">
        <f t="array" ref="AJ280">CalculerNouvelleDate(T280,AI280)</f>
        <v/>
      </c>
      <c r="AK280" s="68" t="str" cm="1">
        <f t="array" ref="AK280">CalculerNouvelleDate(U280,AJ280)</f>
        <v/>
      </c>
      <c r="AL280" s="68" t="str" cm="1">
        <f t="array" ref="AL280">CalculerNouvelleDate(V280,AK280)</f>
        <v/>
      </c>
      <c r="AM280" s="83" t="str" cm="1">
        <f t="array" ref="AM280">CorrespondanceDAte(X280:AL280,D281)</f>
        <v>0</v>
      </c>
      <c r="AN280" s="1"/>
      <c r="AO280" s="1"/>
      <c r="AP280" s="1"/>
      <c r="AQ280" s="1"/>
      <c r="AR280" s="1"/>
      <c r="AS280" s="1"/>
      <c r="AT280" s="1"/>
      <c r="AU280" s="1"/>
      <c r="AV280" s="1"/>
      <c r="AW280" s="1"/>
      <c r="AX280" s="1"/>
      <c r="AY280" s="1"/>
      <c r="AZ280" s="1"/>
      <c r="BA280" s="1"/>
    </row>
    <row r="281" spans="1:53" x14ac:dyDescent="0.3">
      <c r="A281" s="1"/>
      <c r="B281" s="11">
        <v>5</v>
      </c>
      <c r="C281" s="1" t="s">
        <v>64</v>
      </c>
      <c r="D281" s="1"/>
      <c r="E281" s="1"/>
      <c r="F281" s="1"/>
      <c r="G281" s="1"/>
      <c r="H281" s="43"/>
      <c r="I281" s="1"/>
      <c r="J281" s="1"/>
      <c r="K281" s="1"/>
      <c r="L281" s="1"/>
      <c r="M281" s="1"/>
      <c r="N281" s="1"/>
      <c r="O281" s="1"/>
      <c r="P281" s="1"/>
      <c r="Q281" s="1"/>
      <c r="R281" s="1"/>
      <c r="S281" s="1"/>
      <c r="T281" s="1"/>
      <c r="U281" s="1"/>
      <c r="V281" s="1"/>
      <c r="W281" s="11"/>
      <c r="X281" s="67"/>
      <c r="Y281" s="68" t="str" cm="1">
        <f t="array" ref="Y281">CalculerNouvelleDate(I281,X281)</f>
        <v/>
      </c>
      <c r="Z281" s="68" t="str" cm="1">
        <f t="array" ref="Z281">CalculerNouvelleDate(J281,Y281)</f>
        <v/>
      </c>
      <c r="AA281" s="68" t="str" cm="1">
        <f t="array" ref="AA281">CalculerNouvelleDate(K281,Z281)</f>
        <v/>
      </c>
      <c r="AB281" s="68" t="str" cm="1">
        <f t="array" ref="AB281">CalculerNouvelleDate(L281,AA281)</f>
        <v/>
      </c>
      <c r="AC281" s="68" t="str" cm="1">
        <f t="array" ref="AC281">CalculerNouvelleDate(M281,AB281)</f>
        <v/>
      </c>
      <c r="AD281" s="68" t="str" cm="1">
        <f t="array" ref="AD281">CalculerNouvelleDate(N281,AC281)</f>
        <v/>
      </c>
      <c r="AE281" s="68" t="str" cm="1">
        <f t="array" ref="AE281">CalculerNouvelleDate(O281,AD281)</f>
        <v/>
      </c>
      <c r="AF281" s="68" t="str" cm="1">
        <f t="array" ref="AF281">CalculerNouvelleDate(P281,AE281)</f>
        <v/>
      </c>
      <c r="AG281" s="68" t="str" cm="1">
        <f t="array" ref="AG281">CalculerNouvelleDate(Q281,AF281)</f>
        <v/>
      </c>
      <c r="AH281" s="68" t="str" cm="1">
        <f t="array" ref="AH281">CalculerNouvelleDate(R281,AG281)</f>
        <v/>
      </c>
      <c r="AI281" s="68" t="str" cm="1">
        <f t="array" ref="AI281">CalculerNouvelleDate(S281,AH281)</f>
        <v/>
      </c>
      <c r="AJ281" s="68" t="str" cm="1">
        <f t="array" ref="AJ281">CalculerNouvelleDate(T281,AI281)</f>
        <v/>
      </c>
      <c r="AK281" s="68" t="str" cm="1">
        <f t="array" ref="AK281">CalculerNouvelleDate(U281,AJ281)</f>
        <v/>
      </c>
      <c r="AL281" s="68" t="str" cm="1">
        <f t="array" ref="AL281">CalculerNouvelleDate(V281,AK281)</f>
        <v/>
      </c>
      <c r="AM281" s="83" t="str" cm="1">
        <f t="array" ref="AM281">CorrespondanceDAte(X281:AL281,D282)</f>
        <v>0</v>
      </c>
      <c r="AN281" s="1"/>
      <c r="AO281" s="1"/>
      <c r="AP281" s="1"/>
      <c r="AQ281" s="1"/>
      <c r="AR281" s="1"/>
      <c r="AS281" s="1"/>
      <c r="AT281" s="1"/>
      <c r="AU281" s="1"/>
      <c r="AV281" s="1"/>
      <c r="AW281" s="1"/>
      <c r="AX281" s="1"/>
      <c r="AY281" s="1"/>
      <c r="AZ281" s="1"/>
      <c r="BA281" s="1"/>
    </row>
    <row r="282" spans="1:53" x14ac:dyDescent="0.3">
      <c r="A282" s="1"/>
      <c r="B282" s="11"/>
      <c r="C282" s="1" t="s">
        <v>560</v>
      </c>
      <c r="D282" s="1"/>
      <c r="E282" s="1"/>
      <c r="F282" s="1"/>
      <c r="G282" s="1"/>
      <c r="H282" s="43"/>
      <c r="I282" s="46"/>
      <c r="J282" s="46"/>
      <c r="K282" s="46"/>
      <c r="L282" s="46"/>
      <c r="M282" s="46"/>
      <c r="N282" s="46"/>
      <c r="O282" s="46"/>
      <c r="P282" s="46"/>
      <c r="Q282" s="46"/>
      <c r="R282" s="46"/>
      <c r="S282" s="46"/>
      <c r="T282" s="46"/>
      <c r="U282" s="46"/>
      <c r="V282" s="46"/>
      <c r="W282" s="62"/>
      <c r="X282" s="67"/>
      <c r="Y282" s="68" t="str" cm="1">
        <f t="array" ref="Y282">CalculerNouvelleDate(I282,X282)</f>
        <v/>
      </c>
      <c r="Z282" s="68" t="str" cm="1">
        <f t="array" ref="Z282">CalculerNouvelleDate(J282,Y282)</f>
        <v/>
      </c>
      <c r="AA282" s="68" t="str" cm="1">
        <f t="array" ref="AA282">CalculerNouvelleDate(K282,Z282)</f>
        <v/>
      </c>
      <c r="AB282" s="68" t="str" cm="1">
        <f t="array" ref="AB282">CalculerNouvelleDate(L282,AA282)</f>
        <v/>
      </c>
      <c r="AC282" s="68" t="str" cm="1">
        <f t="array" ref="AC282">CalculerNouvelleDate(M282,AB282)</f>
        <v/>
      </c>
      <c r="AD282" s="68" t="str" cm="1">
        <f t="array" ref="AD282">CalculerNouvelleDate(N282,AC282)</f>
        <v/>
      </c>
      <c r="AE282" s="68" t="str" cm="1">
        <f t="array" ref="AE282">CalculerNouvelleDate(O282,AD282)</f>
        <v/>
      </c>
      <c r="AF282" s="68" t="str" cm="1">
        <f t="array" ref="AF282">CalculerNouvelleDate(P282,AE282)</f>
        <v/>
      </c>
      <c r="AG282" s="68" t="str" cm="1">
        <f t="array" ref="AG282">CalculerNouvelleDate(Q282,AF282)</f>
        <v/>
      </c>
      <c r="AH282" s="68" t="str" cm="1">
        <f t="array" ref="AH282">CalculerNouvelleDate(R282,AG282)</f>
        <v/>
      </c>
      <c r="AI282" s="68" t="str" cm="1">
        <f t="array" ref="AI282">CalculerNouvelleDate(S282,AH282)</f>
        <v/>
      </c>
      <c r="AJ282" s="68" t="str" cm="1">
        <f t="array" ref="AJ282">CalculerNouvelleDate(T282,AI282)</f>
        <v/>
      </c>
      <c r="AK282" s="68" t="str" cm="1">
        <f t="array" ref="AK282">CalculerNouvelleDate(U282,AJ282)</f>
        <v/>
      </c>
      <c r="AL282" s="68" t="str" cm="1">
        <f t="array" ref="AL282">CalculerNouvelleDate(V282,AK282)</f>
        <v/>
      </c>
      <c r="AM282" s="83" t="str" cm="1">
        <f t="array" ref="AM282">CorrespondanceDAte(X282:AL282,D283)</f>
        <v>0</v>
      </c>
      <c r="AN282" s="1"/>
      <c r="AO282" s="1"/>
      <c r="AP282" s="1"/>
      <c r="AQ282" s="1"/>
      <c r="AR282" s="1"/>
      <c r="AS282" s="1"/>
      <c r="AT282" s="1"/>
      <c r="AU282" s="1"/>
      <c r="AV282" s="1"/>
      <c r="AW282" s="1"/>
      <c r="AX282" s="1"/>
      <c r="AY282" s="1"/>
      <c r="AZ282" s="1"/>
      <c r="BA282" s="1"/>
    </row>
    <row r="283" spans="1:53" x14ac:dyDescent="0.3">
      <c r="A283" s="1"/>
      <c r="B283" s="11"/>
      <c r="C283" s="1" t="s">
        <v>561</v>
      </c>
      <c r="D283" s="1"/>
      <c r="E283" s="1"/>
      <c r="F283" s="1"/>
      <c r="G283" s="1"/>
      <c r="H283" s="43"/>
      <c r="I283" s="46"/>
      <c r="J283" s="46"/>
      <c r="K283" s="46"/>
      <c r="L283" s="46"/>
      <c r="M283" s="46"/>
      <c r="N283" s="46"/>
      <c r="O283" s="46"/>
      <c r="P283" s="46"/>
      <c r="Q283" s="46"/>
      <c r="R283" s="46"/>
      <c r="S283" s="46"/>
      <c r="T283" s="46"/>
      <c r="U283" s="46"/>
      <c r="V283" s="46"/>
      <c r="W283" s="62"/>
      <c r="X283" s="67"/>
      <c r="Y283" s="68" t="str" cm="1">
        <f t="array" ref="Y283">CalculerNouvelleDate(I283,X283)</f>
        <v/>
      </c>
      <c r="Z283" s="68" t="str" cm="1">
        <f t="array" ref="Z283">CalculerNouvelleDate(J283,Y283)</f>
        <v/>
      </c>
      <c r="AA283" s="68" t="str" cm="1">
        <f t="array" ref="AA283">CalculerNouvelleDate(K283,Z283)</f>
        <v/>
      </c>
      <c r="AB283" s="68" t="str" cm="1">
        <f t="array" ref="AB283">CalculerNouvelleDate(L283,AA283)</f>
        <v/>
      </c>
      <c r="AC283" s="68" t="str" cm="1">
        <f t="array" ref="AC283">CalculerNouvelleDate(M283,AB283)</f>
        <v/>
      </c>
      <c r="AD283" s="68" t="str" cm="1">
        <f t="array" ref="AD283">CalculerNouvelleDate(N283,AC283)</f>
        <v/>
      </c>
      <c r="AE283" s="68" t="str" cm="1">
        <f t="array" ref="AE283">CalculerNouvelleDate(O283,AD283)</f>
        <v/>
      </c>
      <c r="AF283" s="68" t="str" cm="1">
        <f t="array" ref="AF283">CalculerNouvelleDate(P283,AE283)</f>
        <v/>
      </c>
      <c r="AG283" s="68" t="str" cm="1">
        <f t="array" ref="AG283">CalculerNouvelleDate(Q283,AF283)</f>
        <v/>
      </c>
      <c r="AH283" s="68" t="str" cm="1">
        <f t="array" ref="AH283">CalculerNouvelleDate(R283,AG283)</f>
        <v/>
      </c>
      <c r="AI283" s="68" t="str" cm="1">
        <f t="array" ref="AI283">CalculerNouvelleDate(S283,AH283)</f>
        <v/>
      </c>
      <c r="AJ283" s="68" t="str" cm="1">
        <f t="array" ref="AJ283">CalculerNouvelleDate(T283,AI283)</f>
        <v/>
      </c>
      <c r="AK283" s="68" t="str" cm="1">
        <f t="array" ref="AK283">CalculerNouvelleDate(U283,AJ283)</f>
        <v/>
      </c>
      <c r="AL283" s="68" t="str" cm="1">
        <f t="array" ref="AL283">CalculerNouvelleDate(V283,AK283)</f>
        <v/>
      </c>
      <c r="AM283" s="83" t="str" cm="1">
        <f t="array" ref="AM283">CorrespondanceDAte(X283:AL283,D284)</f>
        <v>0</v>
      </c>
      <c r="AN283" s="1"/>
      <c r="AO283" s="1"/>
      <c r="AP283" s="1"/>
      <c r="AQ283" s="1"/>
      <c r="AR283" s="1"/>
      <c r="AS283" s="1"/>
      <c r="AT283" s="1"/>
      <c r="AU283" s="1"/>
      <c r="AV283" s="1"/>
      <c r="AW283" s="1"/>
      <c r="AX283" s="1"/>
      <c r="AY283" s="1"/>
      <c r="AZ283" s="1"/>
      <c r="BA283" s="1"/>
    </row>
    <row r="284" spans="1:53" x14ac:dyDescent="0.3">
      <c r="A284" s="1"/>
      <c r="B284" s="11"/>
      <c r="C284" s="1" t="s">
        <v>562</v>
      </c>
      <c r="D284" s="1"/>
      <c r="E284" s="1"/>
      <c r="F284" s="1"/>
      <c r="G284" s="1"/>
      <c r="H284" s="43"/>
      <c r="I284" s="46"/>
      <c r="J284" s="46"/>
      <c r="K284" s="46"/>
      <c r="L284" s="46"/>
      <c r="M284" s="46"/>
      <c r="N284" s="46"/>
      <c r="O284" s="46"/>
      <c r="P284" s="46"/>
      <c r="Q284" s="46"/>
      <c r="R284" s="46"/>
      <c r="S284" s="46"/>
      <c r="T284" s="46"/>
      <c r="U284" s="46"/>
      <c r="V284" s="46"/>
      <c r="W284" s="62"/>
      <c r="X284" s="67"/>
      <c r="Y284" s="68" t="str" cm="1">
        <f t="array" ref="Y284">CalculerNouvelleDate(I284,X284)</f>
        <v/>
      </c>
      <c r="Z284" s="68" t="str" cm="1">
        <f t="array" ref="Z284">CalculerNouvelleDate(J284,Y284)</f>
        <v/>
      </c>
      <c r="AA284" s="68" t="str" cm="1">
        <f t="array" ref="AA284">CalculerNouvelleDate(K284,Z284)</f>
        <v/>
      </c>
      <c r="AB284" s="68" t="str" cm="1">
        <f t="array" ref="AB284">CalculerNouvelleDate(L284,AA284)</f>
        <v/>
      </c>
      <c r="AC284" s="68" t="str" cm="1">
        <f t="array" ref="AC284">CalculerNouvelleDate(M284,AB284)</f>
        <v/>
      </c>
      <c r="AD284" s="68" t="str" cm="1">
        <f t="array" ref="AD284">CalculerNouvelleDate(N284,AC284)</f>
        <v/>
      </c>
      <c r="AE284" s="68" t="str" cm="1">
        <f t="array" ref="AE284">CalculerNouvelleDate(O284,AD284)</f>
        <v/>
      </c>
      <c r="AF284" s="68" t="str" cm="1">
        <f t="array" ref="AF284">CalculerNouvelleDate(P284,AE284)</f>
        <v/>
      </c>
      <c r="AG284" s="68" t="str" cm="1">
        <f t="array" ref="AG284">CalculerNouvelleDate(Q284,AF284)</f>
        <v/>
      </c>
      <c r="AH284" s="68" t="str" cm="1">
        <f t="array" ref="AH284">CalculerNouvelleDate(R284,AG284)</f>
        <v/>
      </c>
      <c r="AI284" s="68" t="str" cm="1">
        <f t="array" ref="AI284">CalculerNouvelleDate(S284,AH284)</f>
        <v/>
      </c>
      <c r="AJ284" s="68" t="str" cm="1">
        <f t="array" ref="AJ284">CalculerNouvelleDate(T284,AI284)</f>
        <v/>
      </c>
      <c r="AK284" s="68" t="str" cm="1">
        <f t="array" ref="AK284">CalculerNouvelleDate(U284,AJ284)</f>
        <v/>
      </c>
      <c r="AL284" s="68" t="str" cm="1">
        <f t="array" ref="AL284">CalculerNouvelleDate(V284,AK284)</f>
        <v/>
      </c>
      <c r="AM284" s="83" t="str" cm="1">
        <f t="array" ref="AM284">CorrespondanceDAte(X284:AL284,D285)</f>
        <v>0</v>
      </c>
      <c r="AN284" s="1"/>
      <c r="AO284" s="1"/>
      <c r="AP284" s="1"/>
      <c r="AQ284" s="1"/>
      <c r="AR284" s="1"/>
      <c r="AS284" s="1"/>
      <c r="AT284" s="1"/>
      <c r="AU284" s="1"/>
      <c r="AV284" s="1"/>
      <c r="AW284" s="1"/>
      <c r="AX284" s="1"/>
      <c r="AY284" s="1"/>
      <c r="AZ284" s="1"/>
      <c r="BA284" s="1"/>
    </row>
    <row r="285" spans="1:53" x14ac:dyDescent="0.3">
      <c r="A285" s="1"/>
      <c r="B285" s="11"/>
      <c r="C285" s="1" t="s">
        <v>617</v>
      </c>
      <c r="D285" s="1"/>
      <c r="E285" s="1"/>
      <c r="F285" s="1"/>
      <c r="G285" s="1"/>
      <c r="H285" s="43"/>
      <c r="I285" s="46"/>
      <c r="J285" s="46"/>
      <c r="K285" s="46"/>
      <c r="L285" s="46"/>
      <c r="M285" s="46"/>
      <c r="N285" s="46"/>
      <c r="O285" s="46"/>
      <c r="P285" s="46"/>
      <c r="Q285" s="46"/>
      <c r="R285" s="46"/>
      <c r="S285" s="46"/>
      <c r="T285" s="46"/>
      <c r="U285" s="46"/>
      <c r="V285" s="46"/>
      <c r="W285" s="62"/>
      <c r="X285" s="67"/>
      <c r="Y285" s="68" t="str" cm="1">
        <f t="array" ref="Y285">CalculerNouvelleDate(I285,X285)</f>
        <v/>
      </c>
      <c r="Z285" s="68" t="str" cm="1">
        <f t="array" ref="Z285">CalculerNouvelleDate(J285,Y285)</f>
        <v/>
      </c>
      <c r="AA285" s="68" t="str" cm="1">
        <f t="array" ref="AA285">CalculerNouvelleDate(K285,Z285)</f>
        <v/>
      </c>
      <c r="AB285" s="68" t="str" cm="1">
        <f t="array" ref="AB285">CalculerNouvelleDate(L285,AA285)</f>
        <v/>
      </c>
      <c r="AC285" s="68" t="str" cm="1">
        <f t="array" ref="AC285">CalculerNouvelleDate(M285,AB285)</f>
        <v/>
      </c>
      <c r="AD285" s="68" t="str" cm="1">
        <f t="array" ref="AD285">CalculerNouvelleDate(N285,AC285)</f>
        <v/>
      </c>
      <c r="AE285" s="68" t="str" cm="1">
        <f t="array" ref="AE285">CalculerNouvelleDate(O285,AD285)</f>
        <v/>
      </c>
      <c r="AF285" s="68" t="str" cm="1">
        <f t="array" ref="AF285">CalculerNouvelleDate(P285,AE285)</f>
        <v/>
      </c>
      <c r="AG285" s="68" t="str" cm="1">
        <f t="array" ref="AG285">CalculerNouvelleDate(Q285,AF285)</f>
        <v/>
      </c>
      <c r="AH285" s="68" t="str" cm="1">
        <f t="array" ref="AH285">CalculerNouvelleDate(R285,AG285)</f>
        <v/>
      </c>
      <c r="AI285" s="68" t="str" cm="1">
        <f t="array" ref="AI285">CalculerNouvelleDate(S285,AH285)</f>
        <v/>
      </c>
      <c r="AJ285" s="68" t="str" cm="1">
        <f t="array" ref="AJ285">CalculerNouvelleDate(T285,AI285)</f>
        <v/>
      </c>
      <c r="AK285" s="68" t="str" cm="1">
        <f t="array" ref="AK285">CalculerNouvelleDate(U285,AJ285)</f>
        <v/>
      </c>
      <c r="AL285" s="68" t="str" cm="1">
        <f t="array" ref="AL285">CalculerNouvelleDate(V285,AK285)</f>
        <v/>
      </c>
      <c r="AM285" s="83" t="str" cm="1">
        <f t="array" ref="AM285">CorrespondanceDAte(X285:AL285,D286)</f>
        <v>0</v>
      </c>
      <c r="AN285" s="1"/>
      <c r="AO285" s="1"/>
      <c r="AP285" s="1"/>
      <c r="AQ285" s="1"/>
      <c r="AR285" s="1"/>
      <c r="AS285" s="1"/>
      <c r="AT285" s="1"/>
      <c r="AU285" s="1"/>
      <c r="AV285" s="1"/>
      <c r="AW285" s="1"/>
      <c r="AX285" s="1"/>
      <c r="AY285" s="1"/>
      <c r="AZ285" s="1"/>
      <c r="BA285" s="1"/>
    </row>
    <row r="286" spans="1:53" x14ac:dyDescent="0.3">
      <c r="A286" s="1"/>
      <c r="B286" s="11"/>
      <c r="C286" s="1" t="s">
        <v>618</v>
      </c>
      <c r="D286" s="1"/>
      <c r="E286" s="1"/>
      <c r="F286" s="1"/>
      <c r="G286" s="1"/>
      <c r="H286" s="43"/>
      <c r="I286" s="46"/>
      <c r="J286" s="46"/>
      <c r="K286" s="46"/>
      <c r="L286" s="46"/>
      <c r="M286" s="46"/>
      <c r="N286" s="46"/>
      <c r="O286" s="46"/>
      <c r="P286" s="46"/>
      <c r="Q286" s="46"/>
      <c r="R286" s="46"/>
      <c r="S286" s="46"/>
      <c r="T286" s="46"/>
      <c r="U286" s="46"/>
      <c r="V286" s="46"/>
      <c r="W286" s="62"/>
      <c r="X286" s="67"/>
      <c r="Y286" s="68" t="str" cm="1">
        <f t="array" ref="Y286">CalculerNouvelleDate(I286,X286)</f>
        <v/>
      </c>
      <c r="Z286" s="68" t="str" cm="1">
        <f t="array" ref="Z286">CalculerNouvelleDate(J286,Y286)</f>
        <v/>
      </c>
      <c r="AA286" s="68" t="str" cm="1">
        <f t="array" ref="AA286">CalculerNouvelleDate(K286,Z286)</f>
        <v/>
      </c>
      <c r="AB286" s="68" t="str" cm="1">
        <f t="array" ref="AB286">CalculerNouvelleDate(L286,AA286)</f>
        <v/>
      </c>
      <c r="AC286" s="68" t="str" cm="1">
        <f t="array" ref="AC286">CalculerNouvelleDate(M286,AB286)</f>
        <v/>
      </c>
      <c r="AD286" s="68" t="str" cm="1">
        <f t="array" ref="AD286">CalculerNouvelleDate(N286,AC286)</f>
        <v/>
      </c>
      <c r="AE286" s="68" t="str" cm="1">
        <f t="array" ref="AE286">CalculerNouvelleDate(O286,AD286)</f>
        <v/>
      </c>
      <c r="AF286" s="68" t="str" cm="1">
        <f t="array" ref="AF286">CalculerNouvelleDate(P286,AE286)</f>
        <v/>
      </c>
      <c r="AG286" s="68" t="str" cm="1">
        <f t="array" ref="AG286">CalculerNouvelleDate(Q286,AF286)</f>
        <v/>
      </c>
      <c r="AH286" s="68" t="str" cm="1">
        <f t="array" ref="AH286">CalculerNouvelleDate(R286,AG286)</f>
        <v/>
      </c>
      <c r="AI286" s="68" t="str" cm="1">
        <f t="array" ref="AI286">CalculerNouvelleDate(S286,AH286)</f>
        <v/>
      </c>
      <c r="AJ286" s="68" t="str" cm="1">
        <f t="array" ref="AJ286">CalculerNouvelleDate(T286,AI286)</f>
        <v/>
      </c>
      <c r="AK286" s="68" t="str" cm="1">
        <f t="array" ref="AK286">CalculerNouvelleDate(U286,AJ286)</f>
        <v/>
      </c>
      <c r="AL286" s="68" t="str" cm="1">
        <f t="array" ref="AL286">CalculerNouvelleDate(V286,AK286)</f>
        <v/>
      </c>
      <c r="AM286" s="83" t="str" cm="1">
        <f t="array" ref="AM286">CorrespondanceDAte(X286:AL286,D287)</f>
        <v>0</v>
      </c>
      <c r="AN286" s="1"/>
      <c r="AO286" s="1"/>
      <c r="AP286" s="1"/>
      <c r="AQ286" s="1"/>
      <c r="AR286" s="1"/>
      <c r="AS286" s="1"/>
      <c r="AT286" s="1"/>
      <c r="AU286" s="1"/>
      <c r="AV286" s="1"/>
      <c r="AW286" s="1"/>
      <c r="AX286" s="1"/>
      <c r="AY286" s="1"/>
      <c r="AZ286" s="1"/>
      <c r="BA286" s="1"/>
    </row>
    <row r="287" spans="1:53" x14ac:dyDescent="0.3">
      <c r="A287" s="1"/>
      <c r="B287" s="11">
        <v>6</v>
      </c>
      <c r="C287" s="1" t="s">
        <v>65</v>
      </c>
      <c r="D287" s="1"/>
      <c r="E287" s="1"/>
      <c r="F287" s="1"/>
      <c r="G287" s="1"/>
      <c r="H287" s="43"/>
      <c r="I287" s="1"/>
      <c r="J287" s="1"/>
      <c r="K287" s="1"/>
      <c r="L287" s="1"/>
      <c r="M287" s="1"/>
      <c r="N287" s="1"/>
      <c r="O287" s="1"/>
      <c r="P287" s="1"/>
      <c r="Q287" s="1"/>
      <c r="R287" s="1"/>
      <c r="S287" s="1"/>
      <c r="T287" s="1"/>
      <c r="U287" s="1"/>
      <c r="V287" s="1"/>
      <c r="W287" s="11"/>
      <c r="X287" s="67"/>
      <c r="Y287" s="68" t="str" cm="1">
        <f t="array" ref="Y287">CalculerNouvelleDate(I287,X287)</f>
        <v/>
      </c>
      <c r="Z287" s="68" t="str" cm="1">
        <f t="array" ref="Z287">CalculerNouvelleDate(J287,Y287)</f>
        <v/>
      </c>
      <c r="AA287" s="68" t="str" cm="1">
        <f t="array" ref="AA287">CalculerNouvelleDate(K287,Z287)</f>
        <v/>
      </c>
      <c r="AB287" s="68" t="str" cm="1">
        <f t="array" ref="AB287">CalculerNouvelleDate(L287,AA287)</f>
        <v/>
      </c>
      <c r="AC287" s="68" t="str" cm="1">
        <f t="array" ref="AC287">CalculerNouvelleDate(M287,AB287)</f>
        <v/>
      </c>
      <c r="AD287" s="68" t="str" cm="1">
        <f t="array" ref="AD287">CalculerNouvelleDate(N287,AC287)</f>
        <v/>
      </c>
      <c r="AE287" s="68" t="str" cm="1">
        <f t="array" ref="AE287">CalculerNouvelleDate(O287,AD287)</f>
        <v/>
      </c>
      <c r="AF287" s="68" t="str" cm="1">
        <f t="array" ref="AF287">CalculerNouvelleDate(P287,AE287)</f>
        <v/>
      </c>
      <c r="AG287" s="68" t="str" cm="1">
        <f t="array" ref="AG287">CalculerNouvelleDate(Q287,AF287)</f>
        <v/>
      </c>
      <c r="AH287" s="68" t="str" cm="1">
        <f t="array" ref="AH287">CalculerNouvelleDate(R287,AG287)</f>
        <v/>
      </c>
      <c r="AI287" s="68" t="str" cm="1">
        <f t="array" ref="AI287">CalculerNouvelleDate(S287,AH287)</f>
        <v/>
      </c>
      <c r="AJ287" s="68" t="str" cm="1">
        <f t="array" ref="AJ287">CalculerNouvelleDate(T287,AI287)</f>
        <v/>
      </c>
      <c r="AK287" s="68" t="str" cm="1">
        <f t="array" ref="AK287">CalculerNouvelleDate(U287,AJ287)</f>
        <v/>
      </c>
      <c r="AL287" s="68" t="str" cm="1">
        <f t="array" ref="AL287">CalculerNouvelleDate(V287,AK287)</f>
        <v/>
      </c>
      <c r="AM287" s="83" t="str" cm="1">
        <f t="array" ref="AM287">CorrespondanceDAte(X287:AL287,D288)</f>
        <v>0</v>
      </c>
      <c r="AN287" s="1"/>
      <c r="AO287" s="1"/>
      <c r="AP287" s="1"/>
      <c r="AQ287" s="1"/>
      <c r="AR287" s="1"/>
      <c r="AS287" s="1"/>
      <c r="AT287" s="1"/>
      <c r="AU287" s="1"/>
      <c r="AV287" s="1"/>
      <c r="AW287" s="1"/>
      <c r="AX287" s="1"/>
      <c r="AY287" s="1"/>
      <c r="AZ287" s="1"/>
      <c r="BA287" s="1"/>
    </row>
    <row r="288" spans="1:53" x14ac:dyDescent="0.3">
      <c r="A288" s="1"/>
      <c r="B288" s="11"/>
      <c r="C288" s="1" t="s">
        <v>566</v>
      </c>
      <c r="D288" s="1"/>
      <c r="E288" s="1"/>
      <c r="F288" s="1"/>
      <c r="G288" s="1"/>
      <c r="H288" s="43"/>
      <c r="I288" s="46"/>
      <c r="J288" s="46"/>
      <c r="K288" s="46"/>
      <c r="L288" s="46"/>
      <c r="M288" s="46"/>
      <c r="N288" s="46"/>
      <c r="O288" s="46"/>
      <c r="P288" s="46"/>
      <c r="Q288" s="46"/>
      <c r="R288" s="46"/>
      <c r="S288" s="46"/>
      <c r="T288" s="46"/>
      <c r="U288" s="46"/>
      <c r="V288" s="46"/>
      <c r="W288" s="62"/>
      <c r="X288" s="67"/>
      <c r="Y288" s="68" t="str" cm="1">
        <f t="array" ref="Y288">CalculerNouvelleDate(I288,X288)</f>
        <v/>
      </c>
      <c r="Z288" s="68" t="str" cm="1">
        <f t="array" ref="Z288">CalculerNouvelleDate(J288,Y288)</f>
        <v/>
      </c>
      <c r="AA288" s="68" t="str" cm="1">
        <f t="array" ref="AA288">CalculerNouvelleDate(K288,Z288)</f>
        <v/>
      </c>
      <c r="AB288" s="68" t="str" cm="1">
        <f t="array" ref="AB288">CalculerNouvelleDate(L288,AA288)</f>
        <v/>
      </c>
      <c r="AC288" s="68" t="str" cm="1">
        <f t="array" ref="AC288">CalculerNouvelleDate(M288,AB288)</f>
        <v/>
      </c>
      <c r="AD288" s="68" t="str" cm="1">
        <f t="array" ref="AD288">CalculerNouvelleDate(N288,AC288)</f>
        <v/>
      </c>
      <c r="AE288" s="68" t="str" cm="1">
        <f t="array" ref="AE288">CalculerNouvelleDate(O288,AD288)</f>
        <v/>
      </c>
      <c r="AF288" s="68" t="str" cm="1">
        <f t="array" ref="AF288">CalculerNouvelleDate(P288,AE288)</f>
        <v/>
      </c>
      <c r="AG288" s="68" t="str" cm="1">
        <f t="array" ref="AG288">CalculerNouvelleDate(Q288,AF288)</f>
        <v/>
      </c>
      <c r="AH288" s="68" t="str" cm="1">
        <f t="array" ref="AH288">CalculerNouvelleDate(R288,AG288)</f>
        <v/>
      </c>
      <c r="AI288" s="68" t="str" cm="1">
        <f t="array" ref="AI288">CalculerNouvelleDate(S288,AH288)</f>
        <v/>
      </c>
      <c r="AJ288" s="68" t="str" cm="1">
        <f t="array" ref="AJ288">CalculerNouvelleDate(T288,AI288)</f>
        <v/>
      </c>
      <c r="AK288" s="68" t="str" cm="1">
        <f t="array" ref="AK288">CalculerNouvelleDate(U288,AJ288)</f>
        <v/>
      </c>
      <c r="AL288" s="68" t="str" cm="1">
        <f t="array" ref="AL288">CalculerNouvelleDate(V288,AK288)</f>
        <v/>
      </c>
      <c r="AM288" s="83" t="str" cm="1">
        <f t="array" ref="AM288">CorrespondanceDAte(X288:AL288,D289)</f>
        <v>0</v>
      </c>
      <c r="AN288" s="1"/>
      <c r="AO288" s="1"/>
      <c r="AP288" s="1"/>
      <c r="AQ288" s="1"/>
      <c r="AR288" s="1"/>
      <c r="AS288" s="1"/>
      <c r="AT288" s="1"/>
      <c r="AU288" s="1"/>
      <c r="AV288" s="1"/>
      <c r="AW288" s="1"/>
      <c r="AX288" s="1"/>
      <c r="AY288" s="1"/>
      <c r="AZ288" s="1"/>
      <c r="BA288" s="1"/>
    </row>
    <row r="289" spans="1:53" x14ac:dyDescent="0.3">
      <c r="A289" s="1"/>
      <c r="B289" s="11"/>
      <c r="C289" s="1" t="s">
        <v>626</v>
      </c>
      <c r="D289" s="1"/>
      <c r="E289" s="1"/>
      <c r="F289" s="1"/>
      <c r="G289" s="1"/>
      <c r="H289" s="43"/>
      <c r="I289" s="46"/>
      <c r="J289" s="46"/>
      <c r="K289" s="46"/>
      <c r="L289" s="46"/>
      <c r="M289" s="46"/>
      <c r="N289" s="46"/>
      <c r="O289" s="46"/>
      <c r="P289" s="46"/>
      <c r="Q289" s="46"/>
      <c r="R289" s="46"/>
      <c r="S289" s="46"/>
      <c r="T289" s="46"/>
      <c r="U289" s="46"/>
      <c r="V289" s="46"/>
      <c r="W289" s="62"/>
      <c r="X289" s="67"/>
      <c r="Y289" s="68" t="str" cm="1">
        <f t="array" ref="Y289">CalculerNouvelleDate(I289,X289)</f>
        <v/>
      </c>
      <c r="Z289" s="68" t="str" cm="1">
        <f t="array" ref="Z289">CalculerNouvelleDate(J289,Y289)</f>
        <v/>
      </c>
      <c r="AA289" s="68" t="str" cm="1">
        <f t="array" ref="AA289">CalculerNouvelleDate(K289,Z289)</f>
        <v/>
      </c>
      <c r="AB289" s="68" t="str" cm="1">
        <f t="array" ref="AB289">CalculerNouvelleDate(L289,AA289)</f>
        <v/>
      </c>
      <c r="AC289" s="68" t="str" cm="1">
        <f t="array" ref="AC289">CalculerNouvelleDate(M289,AB289)</f>
        <v/>
      </c>
      <c r="AD289" s="68" t="str" cm="1">
        <f t="array" ref="AD289">CalculerNouvelleDate(N289,AC289)</f>
        <v/>
      </c>
      <c r="AE289" s="68" t="str" cm="1">
        <f t="array" ref="AE289">CalculerNouvelleDate(O289,AD289)</f>
        <v/>
      </c>
      <c r="AF289" s="68" t="str" cm="1">
        <f t="array" ref="AF289">CalculerNouvelleDate(P289,AE289)</f>
        <v/>
      </c>
      <c r="AG289" s="68" t="str" cm="1">
        <f t="array" ref="AG289">CalculerNouvelleDate(Q289,AF289)</f>
        <v/>
      </c>
      <c r="AH289" s="68" t="str" cm="1">
        <f t="array" ref="AH289">CalculerNouvelleDate(R289,AG289)</f>
        <v/>
      </c>
      <c r="AI289" s="68" t="str" cm="1">
        <f t="array" ref="AI289">CalculerNouvelleDate(S289,AH289)</f>
        <v/>
      </c>
      <c r="AJ289" s="68" t="str" cm="1">
        <f t="array" ref="AJ289">CalculerNouvelleDate(T289,AI289)</f>
        <v/>
      </c>
      <c r="AK289" s="68" t="str" cm="1">
        <f t="array" ref="AK289">CalculerNouvelleDate(U289,AJ289)</f>
        <v/>
      </c>
      <c r="AL289" s="68" t="str" cm="1">
        <f t="array" ref="AL289">CalculerNouvelleDate(V289,AK289)</f>
        <v/>
      </c>
      <c r="AM289" s="83" t="str" cm="1">
        <f t="array" ref="AM289">CorrespondanceDAte(X289:AL289,D290)</f>
        <v>0</v>
      </c>
      <c r="AN289" s="1"/>
      <c r="AO289" s="1"/>
      <c r="AP289" s="1"/>
      <c r="AQ289" s="1"/>
      <c r="AR289" s="1"/>
      <c r="AS289" s="1"/>
      <c r="AT289" s="1"/>
      <c r="AU289" s="1"/>
      <c r="AV289" s="1"/>
      <c r="AW289" s="1"/>
      <c r="AX289" s="1"/>
      <c r="AY289" s="1"/>
      <c r="AZ289" s="1"/>
      <c r="BA289" s="1"/>
    </row>
    <row r="290" spans="1:53" x14ac:dyDescent="0.3">
      <c r="A290" s="1"/>
      <c r="B290" s="11"/>
      <c r="C290" s="1" t="s">
        <v>627</v>
      </c>
      <c r="D290" s="1"/>
      <c r="E290" s="1"/>
      <c r="F290" s="1"/>
      <c r="G290" s="1"/>
      <c r="H290" s="43"/>
      <c r="I290" s="46"/>
      <c r="J290" s="46"/>
      <c r="K290" s="46"/>
      <c r="L290" s="46"/>
      <c r="M290" s="46"/>
      <c r="N290" s="46"/>
      <c r="O290" s="46"/>
      <c r="P290" s="46"/>
      <c r="Q290" s="46"/>
      <c r="R290" s="46"/>
      <c r="S290" s="46"/>
      <c r="T290" s="46"/>
      <c r="U290" s="46"/>
      <c r="V290" s="46"/>
      <c r="W290" s="62"/>
      <c r="X290" s="67"/>
      <c r="Y290" s="68" t="str" cm="1">
        <f t="array" ref="Y290">CalculerNouvelleDate(I290,X290)</f>
        <v/>
      </c>
      <c r="Z290" s="68" t="str" cm="1">
        <f t="array" ref="Z290">CalculerNouvelleDate(J290,Y290)</f>
        <v/>
      </c>
      <c r="AA290" s="68" t="str" cm="1">
        <f t="array" ref="AA290">CalculerNouvelleDate(K290,Z290)</f>
        <v/>
      </c>
      <c r="AB290" s="68" t="str" cm="1">
        <f t="array" ref="AB290">CalculerNouvelleDate(L290,AA290)</f>
        <v/>
      </c>
      <c r="AC290" s="68" t="str" cm="1">
        <f t="array" ref="AC290">CalculerNouvelleDate(M290,AB290)</f>
        <v/>
      </c>
      <c r="AD290" s="68" t="str" cm="1">
        <f t="array" ref="AD290">CalculerNouvelleDate(N290,AC290)</f>
        <v/>
      </c>
      <c r="AE290" s="68" t="str" cm="1">
        <f t="array" ref="AE290">CalculerNouvelleDate(O290,AD290)</f>
        <v/>
      </c>
      <c r="AF290" s="68" t="str" cm="1">
        <f t="array" ref="AF290">CalculerNouvelleDate(P290,AE290)</f>
        <v/>
      </c>
      <c r="AG290" s="68" t="str" cm="1">
        <f t="array" ref="AG290">CalculerNouvelleDate(Q290,AF290)</f>
        <v/>
      </c>
      <c r="AH290" s="68" t="str" cm="1">
        <f t="array" ref="AH290">CalculerNouvelleDate(R290,AG290)</f>
        <v/>
      </c>
      <c r="AI290" s="68" t="str" cm="1">
        <f t="array" ref="AI290">CalculerNouvelleDate(S290,AH290)</f>
        <v/>
      </c>
      <c r="AJ290" s="68" t="str" cm="1">
        <f t="array" ref="AJ290">CalculerNouvelleDate(T290,AI290)</f>
        <v/>
      </c>
      <c r="AK290" s="68" t="str" cm="1">
        <f t="array" ref="AK290">CalculerNouvelleDate(U290,AJ290)</f>
        <v/>
      </c>
      <c r="AL290" s="68" t="str" cm="1">
        <f t="array" ref="AL290">CalculerNouvelleDate(V290,AK290)</f>
        <v/>
      </c>
      <c r="AM290" s="83" t="str" cm="1">
        <f t="array" ref="AM290">CorrespondanceDAte(X290:AL290,D291)</f>
        <v>0</v>
      </c>
      <c r="AN290" s="1"/>
      <c r="AO290" s="1"/>
      <c r="AP290" s="1"/>
      <c r="AQ290" s="1"/>
      <c r="AR290" s="1"/>
      <c r="AS290" s="1"/>
      <c r="AT290" s="1"/>
      <c r="AU290" s="1"/>
      <c r="AV290" s="1"/>
      <c r="AW290" s="1"/>
      <c r="AX290" s="1"/>
      <c r="AY290" s="1"/>
      <c r="AZ290" s="1"/>
      <c r="BA290" s="1"/>
    </row>
    <row r="291" spans="1:53" x14ac:dyDescent="0.3">
      <c r="A291" s="1"/>
      <c r="B291" s="11"/>
      <c r="C291" s="1" t="s">
        <v>688</v>
      </c>
      <c r="D291" s="1"/>
      <c r="E291" s="1"/>
      <c r="F291" s="1"/>
      <c r="G291" s="1"/>
      <c r="H291" s="43"/>
      <c r="I291" s="46"/>
      <c r="J291" s="46"/>
      <c r="K291" s="46"/>
      <c r="L291" s="46"/>
      <c r="M291" s="46"/>
      <c r="N291" s="46"/>
      <c r="O291" s="46"/>
      <c r="P291" s="46"/>
      <c r="Q291" s="46"/>
      <c r="R291" s="46"/>
      <c r="S291" s="46"/>
      <c r="T291" s="46"/>
      <c r="U291" s="46"/>
      <c r="V291" s="46"/>
      <c r="W291" s="62"/>
      <c r="X291" s="67"/>
      <c r="Y291" s="68" t="str" cm="1">
        <f t="array" ref="Y291">CalculerNouvelleDate(I291,X291)</f>
        <v/>
      </c>
      <c r="Z291" s="68" t="str" cm="1">
        <f t="array" ref="Z291">CalculerNouvelleDate(J291,Y291)</f>
        <v/>
      </c>
      <c r="AA291" s="68" t="str" cm="1">
        <f t="array" ref="AA291">CalculerNouvelleDate(K291,Z291)</f>
        <v/>
      </c>
      <c r="AB291" s="68" t="str" cm="1">
        <f t="array" ref="AB291">CalculerNouvelleDate(L291,AA291)</f>
        <v/>
      </c>
      <c r="AC291" s="68" t="str" cm="1">
        <f t="array" ref="AC291">CalculerNouvelleDate(M291,AB291)</f>
        <v/>
      </c>
      <c r="AD291" s="68" t="str" cm="1">
        <f t="array" ref="AD291">CalculerNouvelleDate(N291,AC291)</f>
        <v/>
      </c>
      <c r="AE291" s="68" t="str" cm="1">
        <f t="array" ref="AE291">CalculerNouvelleDate(O291,AD291)</f>
        <v/>
      </c>
      <c r="AF291" s="68" t="str" cm="1">
        <f t="array" ref="AF291">CalculerNouvelleDate(P291,AE291)</f>
        <v/>
      </c>
      <c r="AG291" s="68" t="str" cm="1">
        <f t="array" ref="AG291">CalculerNouvelleDate(Q291,AF291)</f>
        <v/>
      </c>
      <c r="AH291" s="68" t="str" cm="1">
        <f t="array" ref="AH291">CalculerNouvelleDate(R291,AG291)</f>
        <v/>
      </c>
      <c r="AI291" s="68" t="str" cm="1">
        <f t="array" ref="AI291">CalculerNouvelleDate(S291,AH291)</f>
        <v/>
      </c>
      <c r="AJ291" s="68" t="str" cm="1">
        <f t="array" ref="AJ291">CalculerNouvelleDate(T291,AI291)</f>
        <v/>
      </c>
      <c r="AK291" s="68" t="str" cm="1">
        <f t="array" ref="AK291">CalculerNouvelleDate(U291,AJ291)</f>
        <v/>
      </c>
      <c r="AL291" s="68" t="str" cm="1">
        <f t="array" ref="AL291">CalculerNouvelleDate(V291,AK291)</f>
        <v/>
      </c>
      <c r="AM291" s="83" t="str" cm="1">
        <f t="array" ref="AM291">CorrespondanceDAte(X291:AL291,D292)</f>
        <v>0</v>
      </c>
      <c r="AN291" s="1"/>
      <c r="AO291" s="1"/>
      <c r="AP291" s="1"/>
      <c r="AQ291" s="1"/>
      <c r="AR291" s="1"/>
      <c r="AS291" s="1"/>
      <c r="AT291" s="1"/>
      <c r="AU291" s="1"/>
      <c r="AV291" s="1"/>
      <c r="AW291" s="1"/>
      <c r="AX291" s="1"/>
      <c r="AY291" s="1"/>
      <c r="AZ291" s="1"/>
      <c r="BA291" s="1"/>
    </row>
    <row r="292" spans="1:53" x14ac:dyDescent="0.3">
      <c r="A292" s="1"/>
      <c r="B292" s="11"/>
      <c r="C292" s="1" t="s">
        <v>726</v>
      </c>
      <c r="D292" s="1"/>
      <c r="E292" s="1"/>
      <c r="F292" s="1"/>
      <c r="G292" s="1"/>
      <c r="H292" s="43"/>
      <c r="I292" s="46"/>
      <c r="J292" s="46"/>
      <c r="K292" s="46"/>
      <c r="L292" s="46"/>
      <c r="M292" s="46"/>
      <c r="N292" s="46"/>
      <c r="O292" s="46"/>
      <c r="P292" s="46"/>
      <c r="Q292" s="46"/>
      <c r="R292" s="46"/>
      <c r="S292" s="46"/>
      <c r="T292" s="46"/>
      <c r="U292" s="46"/>
      <c r="V292" s="46"/>
      <c r="W292" s="62"/>
      <c r="X292" s="67"/>
      <c r="Y292" s="68" t="str" cm="1">
        <f t="array" ref="Y292">CalculerNouvelleDate(I292,X292)</f>
        <v/>
      </c>
      <c r="Z292" s="68" t="str" cm="1">
        <f t="array" ref="Z292">CalculerNouvelleDate(J292,Y292)</f>
        <v/>
      </c>
      <c r="AA292" s="68" t="str" cm="1">
        <f t="array" ref="AA292">CalculerNouvelleDate(K292,Z292)</f>
        <v/>
      </c>
      <c r="AB292" s="68" t="str" cm="1">
        <f t="array" ref="AB292">CalculerNouvelleDate(L292,AA292)</f>
        <v/>
      </c>
      <c r="AC292" s="68" t="str" cm="1">
        <f t="array" ref="AC292">CalculerNouvelleDate(M292,AB292)</f>
        <v/>
      </c>
      <c r="AD292" s="68" t="str" cm="1">
        <f t="array" ref="AD292">CalculerNouvelleDate(N292,AC292)</f>
        <v/>
      </c>
      <c r="AE292" s="68" t="str" cm="1">
        <f t="array" ref="AE292">CalculerNouvelleDate(O292,AD292)</f>
        <v/>
      </c>
      <c r="AF292" s="68" t="str" cm="1">
        <f t="array" ref="AF292">CalculerNouvelleDate(P292,AE292)</f>
        <v/>
      </c>
      <c r="AG292" s="68" t="str" cm="1">
        <f t="array" ref="AG292">CalculerNouvelleDate(Q292,AF292)</f>
        <v/>
      </c>
      <c r="AH292" s="68" t="str" cm="1">
        <f t="array" ref="AH292">CalculerNouvelleDate(R292,AG292)</f>
        <v/>
      </c>
      <c r="AI292" s="68" t="str" cm="1">
        <f t="array" ref="AI292">CalculerNouvelleDate(S292,AH292)</f>
        <v/>
      </c>
      <c r="AJ292" s="68" t="str" cm="1">
        <f t="array" ref="AJ292">CalculerNouvelleDate(T292,AI292)</f>
        <v/>
      </c>
      <c r="AK292" s="68" t="str" cm="1">
        <f t="array" ref="AK292">CalculerNouvelleDate(U292,AJ292)</f>
        <v/>
      </c>
      <c r="AL292" s="68" t="str" cm="1">
        <f t="array" ref="AL292">CalculerNouvelleDate(V292,AK292)</f>
        <v/>
      </c>
      <c r="AM292" s="83" t="str" cm="1">
        <f t="array" ref="AM292">CorrespondanceDAte(X292:AL292,D293)</f>
        <v>0</v>
      </c>
      <c r="AN292" s="1"/>
      <c r="AO292" s="1"/>
      <c r="AP292" s="1"/>
      <c r="AQ292" s="1"/>
      <c r="AR292" s="1"/>
      <c r="AS292" s="1"/>
      <c r="AT292" s="1"/>
      <c r="AU292" s="1"/>
      <c r="AV292" s="1"/>
      <c r="AW292" s="1"/>
      <c r="AX292" s="1"/>
      <c r="AY292" s="1"/>
      <c r="AZ292" s="1"/>
      <c r="BA292" s="1"/>
    </row>
    <row r="293" spans="1:53" x14ac:dyDescent="0.3">
      <c r="A293" s="1"/>
      <c r="B293" s="11">
        <v>7</v>
      </c>
      <c r="C293" s="1" t="s">
        <v>66</v>
      </c>
      <c r="D293" s="1"/>
      <c r="E293" s="1"/>
      <c r="F293" s="1"/>
      <c r="G293" s="1"/>
      <c r="H293" s="43"/>
      <c r="I293" s="1"/>
      <c r="J293" s="1"/>
      <c r="K293" s="1"/>
      <c r="L293" s="1"/>
      <c r="M293" s="1"/>
      <c r="N293" s="1"/>
      <c r="O293" s="1"/>
      <c r="P293" s="1"/>
      <c r="Q293" s="1"/>
      <c r="R293" s="1"/>
      <c r="S293" s="1"/>
      <c r="T293" s="1"/>
      <c r="U293" s="1"/>
      <c r="V293" s="1"/>
      <c r="W293" s="11"/>
      <c r="X293" s="67"/>
      <c r="Y293" s="68" t="str" cm="1">
        <f t="array" ref="Y293">CalculerNouvelleDate(I293,X293)</f>
        <v/>
      </c>
      <c r="Z293" s="68" t="str" cm="1">
        <f t="array" ref="Z293">CalculerNouvelleDate(J293,Y293)</f>
        <v/>
      </c>
      <c r="AA293" s="68" t="str" cm="1">
        <f t="array" ref="AA293">CalculerNouvelleDate(K293,Z293)</f>
        <v/>
      </c>
      <c r="AB293" s="68" t="str" cm="1">
        <f t="array" ref="AB293">CalculerNouvelleDate(L293,AA293)</f>
        <v/>
      </c>
      <c r="AC293" s="68" t="str" cm="1">
        <f t="array" ref="AC293">CalculerNouvelleDate(M293,AB293)</f>
        <v/>
      </c>
      <c r="AD293" s="68" t="str" cm="1">
        <f t="array" ref="AD293">CalculerNouvelleDate(N293,AC293)</f>
        <v/>
      </c>
      <c r="AE293" s="68" t="str" cm="1">
        <f t="array" ref="AE293">CalculerNouvelleDate(O293,AD293)</f>
        <v/>
      </c>
      <c r="AF293" s="68" t="str" cm="1">
        <f t="array" ref="AF293">CalculerNouvelleDate(P293,AE293)</f>
        <v/>
      </c>
      <c r="AG293" s="68" t="str" cm="1">
        <f t="array" ref="AG293">CalculerNouvelleDate(Q293,AF293)</f>
        <v/>
      </c>
      <c r="AH293" s="68" t="str" cm="1">
        <f t="array" ref="AH293">CalculerNouvelleDate(R293,AG293)</f>
        <v/>
      </c>
      <c r="AI293" s="68" t="str" cm="1">
        <f t="array" ref="AI293">CalculerNouvelleDate(S293,AH293)</f>
        <v/>
      </c>
      <c r="AJ293" s="68" t="str" cm="1">
        <f t="array" ref="AJ293">CalculerNouvelleDate(T293,AI293)</f>
        <v/>
      </c>
      <c r="AK293" s="68" t="str" cm="1">
        <f t="array" ref="AK293">CalculerNouvelleDate(U293,AJ293)</f>
        <v/>
      </c>
      <c r="AL293" s="68" t="str" cm="1">
        <f t="array" ref="AL293">CalculerNouvelleDate(V293,AK293)</f>
        <v/>
      </c>
      <c r="AM293" s="83" t="str" cm="1">
        <f t="array" ref="AM293">CorrespondanceDAte(X293:AL293,D294)</f>
        <v>0</v>
      </c>
      <c r="AN293" s="1"/>
      <c r="AO293" s="1"/>
      <c r="AP293" s="1"/>
      <c r="AQ293" s="1"/>
      <c r="AR293" s="1"/>
      <c r="AS293" s="1"/>
      <c r="AT293" s="1"/>
      <c r="AU293" s="1"/>
      <c r="AV293" s="1"/>
      <c r="AW293" s="1"/>
      <c r="AX293" s="1"/>
      <c r="AY293" s="1"/>
      <c r="AZ293" s="1"/>
      <c r="BA293" s="1"/>
    </row>
    <row r="294" spans="1:53" x14ac:dyDescent="0.3">
      <c r="A294" s="1"/>
      <c r="B294" s="11"/>
      <c r="C294" s="1" t="s">
        <v>568</v>
      </c>
      <c r="D294" s="1"/>
      <c r="E294" s="1"/>
      <c r="F294" s="1"/>
      <c r="G294" s="1"/>
      <c r="H294" s="43"/>
      <c r="I294" s="46"/>
      <c r="J294" s="46"/>
      <c r="K294" s="46"/>
      <c r="L294" s="46"/>
      <c r="M294" s="46"/>
      <c r="N294" s="46"/>
      <c r="O294" s="46"/>
      <c r="P294" s="46"/>
      <c r="Q294" s="46"/>
      <c r="R294" s="46"/>
      <c r="S294" s="46"/>
      <c r="T294" s="46"/>
      <c r="U294" s="46"/>
      <c r="V294" s="46"/>
      <c r="W294" s="62"/>
      <c r="X294" s="67"/>
      <c r="Y294" s="68" t="str" cm="1">
        <f t="array" ref="Y294">CalculerNouvelleDate(I294,X294)</f>
        <v/>
      </c>
      <c r="Z294" s="68" t="str" cm="1">
        <f t="array" ref="Z294">CalculerNouvelleDate(J294,Y294)</f>
        <v/>
      </c>
      <c r="AA294" s="68" t="str" cm="1">
        <f t="array" ref="AA294">CalculerNouvelleDate(K294,Z294)</f>
        <v/>
      </c>
      <c r="AB294" s="68" t="str" cm="1">
        <f t="array" ref="AB294">CalculerNouvelleDate(L294,AA294)</f>
        <v/>
      </c>
      <c r="AC294" s="68" t="str" cm="1">
        <f t="array" ref="AC294">CalculerNouvelleDate(M294,AB294)</f>
        <v/>
      </c>
      <c r="AD294" s="68" t="str" cm="1">
        <f t="array" ref="AD294">CalculerNouvelleDate(N294,AC294)</f>
        <v/>
      </c>
      <c r="AE294" s="68" t="str" cm="1">
        <f t="array" ref="AE294">CalculerNouvelleDate(O294,AD294)</f>
        <v/>
      </c>
      <c r="AF294" s="68" t="str" cm="1">
        <f t="array" ref="AF294">CalculerNouvelleDate(P294,AE294)</f>
        <v/>
      </c>
      <c r="AG294" s="68" t="str" cm="1">
        <f t="array" ref="AG294">CalculerNouvelleDate(Q294,AF294)</f>
        <v/>
      </c>
      <c r="AH294" s="68" t="str" cm="1">
        <f t="array" ref="AH294">CalculerNouvelleDate(R294,AG294)</f>
        <v/>
      </c>
      <c r="AI294" s="68" t="str" cm="1">
        <f t="array" ref="AI294">CalculerNouvelleDate(S294,AH294)</f>
        <v/>
      </c>
      <c r="AJ294" s="68" t="str" cm="1">
        <f t="array" ref="AJ294">CalculerNouvelleDate(T294,AI294)</f>
        <v/>
      </c>
      <c r="AK294" s="68" t="str" cm="1">
        <f t="array" ref="AK294">CalculerNouvelleDate(U294,AJ294)</f>
        <v/>
      </c>
      <c r="AL294" s="68" t="str" cm="1">
        <f t="array" ref="AL294">CalculerNouvelleDate(V294,AK294)</f>
        <v/>
      </c>
      <c r="AM294" s="83" t="str" cm="1">
        <f t="array" ref="AM294">CorrespondanceDAte(X294:AL294,D295)</f>
        <v>0</v>
      </c>
      <c r="AN294" s="1"/>
      <c r="AO294" s="1"/>
      <c r="AP294" s="1"/>
      <c r="AQ294" s="1"/>
      <c r="AR294" s="1"/>
      <c r="AS294" s="1"/>
      <c r="AT294" s="1"/>
      <c r="AU294" s="1"/>
      <c r="AV294" s="1"/>
      <c r="AW294" s="1"/>
      <c r="AX294" s="1"/>
      <c r="AY294" s="1"/>
      <c r="AZ294" s="1"/>
      <c r="BA294" s="1"/>
    </row>
    <row r="295" spans="1:53" x14ac:dyDescent="0.3">
      <c r="A295" s="1"/>
      <c r="B295" s="11"/>
      <c r="C295" s="1" t="s">
        <v>569</v>
      </c>
      <c r="D295" s="1"/>
      <c r="E295" s="1"/>
      <c r="F295" s="1"/>
      <c r="G295" s="1"/>
      <c r="H295" s="43"/>
      <c r="I295" s="46"/>
      <c r="J295" s="46"/>
      <c r="K295" s="46"/>
      <c r="L295" s="46"/>
      <c r="M295" s="46"/>
      <c r="N295" s="46"/>
      <c r="O295" s="46"/>
      <c r="P295" s="46"/>
      <c r="Q295" s="46"/>
      <c r="R295" s="46"/>
      <c r="S295" s="46"/>
      <c r="T295" s="46"/>
      <c r="U295" s="46"/>
      <c r="V295" s="46"/>
      <c r="W295" s="62"/>
      <c r="X295" s="67"/>
      <c r="Y295" s="68" t="str" cm="1">
        <f t="array" ref="Y295">CalculerNouvelleDate(I295,X295)</f>
        <v/>
      </c>
      <c r="Z295" s="68" t="str" cm="1">
        <f t="array" ref="Z295">CalculerNouvelleDate(J295,Y295)</f>
        <v/>
      </c>
      <c r="AA295" s="68" t="str" cm="1">
        <f t="array" ref="AA295">CalculerNouvelleDate(K295,Z295)</f>
        <v/>
      </c>
      <c r="AB295" s="68" t="str" cm="1">
        <f t="array" ref="AB295">CalculerNouvelleDate(L295,AA295)</f>
        <v/>
      </c>
      <c r="AC295" s="68" t="str" cm="1">
        <f t="array" ref="AC295">CalculerNouvelleDate(M295,AB295)</f>
        <v/>
      </c>
      <c r="AD295" s="68" t="str" cm="1">
        <f t="array" ref="AD295">CalculerNouvelleDate(N295,AC295)</f>
        <v/>
      </c>
      <c r="AE295" s="68" t="str" cm="1">
        <f t="array" ref="AE295">CalculerNouvelleDate(O295,AD295)</f>
        <v/>
      </c>
      <c r="AF295" s="68" t="str" cm="1">
        <f t="array" ref="AF295">CalculerNouvelleDate(P295,AE295)</f>
        <v/>
      </c>
      <c r="AG295" s="68" t="str" cm="1">
        <f t="array" ref="AG295">CalculerNouvelleDate(Q295,AF295)</f>
        <v/>
      </c>
      <c r="AH295" s="68" t="str" cm="1">
        <f t="array" ref="AH295">CalculerNouvelleDate(R295,AG295)</f>
        <v/>
      </c>
      <c r="AI295" s="68" t="str" cm="1">
        <f t="array" ref="AI295">CalculerNouvelleDate(S295,AH295)</f>
        <v/>
      </c>
      <c r="AJ295" s="68" t="str" cm="1">
        <f t="array" ref="AJ295">CalculerNouvelleDate(T295,AI295)</f>
        <v/>
      </c>
      <c r="AK295" s="68" t="str" cm="1">
        <f t="array" ref="AK295">CalculerNouvelleDate(U295,AJ295)</f>
        <v/>
      </c>
      <c r="AL295" s="68" t="str" cm="1">
        <f t="array" ref="AL295">CalculerNouvelleDate(V295,AK295)</f>
        <v/>
      </c>
      <c r="AM295" s="83" t="str" cm="1">
        <f t="array" ref="AM295">CorrespondanceDAte(X295:AL295,D296)</f>
        <v>0</v>
      </c>
      <c r="AN295" s="1"/>
      <c r="AO295" s="1"/>
      <c r="AP295" s="1"/>
      <c r="AQ295" s="1"/>
      <c r="AR295" s="1"/>
      <c r="AS295" s="1"/>
      <c r="AT295" s="1"/>
      <c r="AU295" s="1"/>
      <c r="AV295" s="1"/>
      <c r="AW295" s="1"/>
      <c r="AX295" s="1"/>
      <c r="AY295" s="1"/>
      <c r="AZ295" s="1"/>
      <c r="BA295" s="1"/>
    </row>
    <row r="296" spans="1:53" x14ac:dyDescent="0.3">
      <c r="A296" s="1"/>
      <c r="B296" s="11"/>
      <c r="C296" s="1" t="s">
        <v>570</v>
      </c>
      <c r="D296" s="1"/>
      <c r="E296" s="1"/>
      <c r="F296" s="1"/>
      <c r="G296" s="1"/>
      <c r="H296" s="43"/>
      <c r="I296" s="46"/>
      <c r="J296" s="46"/>
      <c r="K296" s="46"/>
      <c r="L296" s="46"/>
      <c r="M296" s="46"/>
      <c r="N296" s="46"/>
      <c r="O296" s="46"/>
      <c r="P296" s="46"/>
      <c r="Q296" s="46"/>
      <c r="R296" s="46"/>
      <c r="S296" s="46"/>
      <c r="T296" s="46"/>
      <c r="U296" s="46"/>
      <c r="V296" s="46"/>
      <c r="W296" s="62"/>
      <c r="X296" s="67"/>
      <c r="Y296" s="68" t="str" cm="1">
        <f t="array" ref="Y296">CalculerNouvelleDate(I296,X296)</f>
        <v/>
      </c>
      <c r="Z296" s="68" t="str" cm="1">
        <f t="array" ref="Z296">CalculerNouvelleDate(J296,Y296)</f>
        <v/>
      </c>
      <c r="AA296" s="68" t="str" cm="1">
        <f t="array" ref="AA296">CalculerNouvelleDate(K296,Z296)</f>
        <v/>
      </c>
      <c r="AB296" s="68" t="str" cm="1">
        <f t="array" ref="AB296">CalculerNouvelleDate(L296,AA296)</f>
        <v/>
      </c>
      <c r="AC296" s="68" t="str" cm="1">
        <f t="array" ref="AC296">CalculerNouvelleDate(M296,AB296)</f>
        <v/>
      </c>
      <c r="AD296" s="68" t="str" cm="1">
        <f t="array" ref="AD296">CalculerNouvelleDate(N296,AC296)</f>
        <v/>
      </c>
      <c r="AE296" s="68" t="str" cm="1">
        <f t="array" ref="AE296">CalculerNouvelleDate(O296,AD296)</f>
        <v/>
      </c>
      <c r="AF296" s="68" t="str" cm="1">
        <f t="array" ref="AF296">CalculerNouvelleDate(P296,AE296)</f>
        <v/>
      </c>
      <c r="AG296" s="68" t="str" cm="1">
        <f t="array" ref="AG296">CalculerNouvelleDate(Q296,AF296)</f>
        <v/>
      </c>
      <c r="AH296" s="68" t="str" cm="1">
        <f t="array" ref="AH296">CalculerNouvelleDate(R296,AG296)</f>
        <v/>
      </c>
      <c r="AI296" s="68" t="str" cm="1">
        <f t="array" ref="AI296">CalculerNouvelleDate(S296,AH296)</f>
        <v/>
      </c>
      <c r="AJ296" s="68" t="str" cm="1">
        <f t="array" ref="AJ296">CalculerNouvelleDate(T296,AI296)</f>
        <v/>
      </c>
      <c r="AK296" s="68" t="str" cm="1">
        <f t="array" ref="AK296">CalculerNouvelleDate(U296,AJ296)</f>
        <v/>
      </c>
      <c r="AL296" s="68" t="str" cm="1">
        <f t="array" ref="AL296">CalculerNouvelleDate(V296,AK296)</f>
        <v/>
      </c>
      <c r="AM296" s="83" t="str" cm="1">
        <f t="array" ref="AM296">CorrespondanceDAte(X296:AL296,D297)</f>
        <v>0</v>
      </c>
      <c r="AN296" s="1"/>
      <c r="AO296" s="1"/>
      <c r="AP296" s="1"/>
      <c r="AQ296" s="1"/>
      <c r="AR296" s="1"/>
      <c r="AS296" s="1"/>
      <c r="AT296" s="1"/>
      <c r="AU296" s="1"/>
      <c r="AV296" s="1"/>
      <c r="AW296" s="1"/>
      <c r="AX296" s="1"/>
      <c r="AY296" s="1"/>
      <c r="AZ296" s="1"/>
      <c r="BA296" s="1"/>
    </row>
    <row r="297" spans="1:53" x14ac:dyDescent="0.3">
      <c r="A297" s="1"/>
      <c r="B297" s="11"/>
      <c r="C297" s="1" t="s">
        <v>709</v>
      </c>
      <c r="D297" s="1"/>
      <c r="E297" s="1"/>
      <c r="F297" s="1"/>
      <c r="G297" s="1"/>
      <c r="H297" s="43"/>
      <c r="I297" s="46"/>
      <c r="J297" s="46"/>
      <c r="K297" s="46"/>
      <c r="L297" s="46"/>
      <c r="M297" s="46"/>
      <c r="N297" s="46"/>
      <c r="O297" s="46"/>
      <c r="P297" s="46"/>
      <c r="Q297" s="46"/>
      <c r="R297" s="46"/>
      <c r="S297" s="46"/>
      <c r="T297" s="46"/>
      <c r="U297" s="46"/>
      <c r="V297" s="46"/>
      <c r="W297" s="62"/>
      <c r="X297" s="67"/>
      <c r="Y297" s="68" t="str" cm="1">
        <f t="array" ref="Y297">CalculerNouvelleDate(I297,X297)</f>
        <v/>
      </c>
      <c r="Z297" s="68" t="str" cm="1">
        <f t="array" ref="Z297">CalculerNouvelleDate(J297,Y297)</f>
        <v/>
      </c>
      <c r="AA297" s="68" t="str" cm="1">
        <f t="array" ref="AA297">CalculerNouvelleDate(K297,Z297)</f>
        <v/>
      </c>
      <c r="AB297" s="68" t="str" cm="1">
        <f t="array" ref="AB297">CalculerNouvelleDate(L297,AA297)</f>
        <v/>
      </c>
      <c r="AC297" s="68" t="str" cm="1">
        <f t="array" ref="AC297">CalculerNouvelleDate(M297,AB297)</f>
        <v/>
      </c>
      <c r="AD297" s="68" t="str" cm="1">
        <f t="array" ref="AD297">CalculerNouvelleDate(N297,AC297)</f>
        <v/>
      </c>
      <c r="AE297" s="68" t="str" cm="1">
        <f t="array" ref="AE297">CalculerNouvelleDate(O297,AD297)</f>
        <v/>
      </c>
      <c r="AF297" s="68" t="str" cm="1">
        <f t="array" ref="AF297">CalculerNouvelleDate(P297,AE297)</f>
        <v/>
      </c>
      <c r="AG297" s="68" t="str" cm="1">
        <f t="array" ref="AG297">CalculerNouvelleDate(Q297,AF297)</f>
        <v/>
      </c>
      <c r="AH297" s="68" t="str" cm="1">
        <f t="array" ref="AH297">CalculerNouvelleDate(R297,AG297)</f>
        <v/>
      </c>
      <c r="AI297" s="68" t="str" cm="1">
        <f t="array" ref="AI297">CalculerNouvelleDate(S297,AH297)</f>
        <v/>
      </c>
      <c r="AJ297" s="68" t="str" cm="1">
        <f t="array" ref="AJ297">CalculerNouvelleDate(T297,AI297)</f>
        <v/>
      </c>
      <c r="AK297" s="68" t="str" cm="1">
        <f t="array" ref="AK297">CalculerNouvelleDate(U297,AJ297)</f>
        <v/>
      </c>
      <c r="AL297" s="68" t="str" cm="1">
        <f t="array" ref="AL297">CalculerNouvelleDate(V297,AK297)</f>
        <v/>
      </c>
      <c r="AM297" s="83" t="str" cm="1">
        <f t="array" ref="AM297">CorrespondanceDAte(X297:AL297,D298)</f>
        <v>0</v>
      </c>
      <c r="AN297" s="1"/>
      <c r="AO297" s="1"/>
      <c r="AP297" s="1"/>
      <c r="AQ297" s="1"/>
      <c r="AR297" s="1"/>
      <c r="AS297" s="1"/>
      <c r="AT297" s="1"/>
      <c r="AU297" s="1"/>
      <c r="AV297" s="1"/>
      <c r="AW297" s="1"/>
      <c r="AX297" s="1"/>
      <c r="AY297" s="1"/>
      <c r="AZ297" s="1"/>
      <c r="BA297" s="1"/>
    </row>
    <row r="298" spans="1:53" x14ac:dyDescent="0.3">
      <c r="A298" s="1"/>
      <c r="B298" s="11"/>
      <c r="C298" s="1" t="s">
        <v>727</v>
      </c>
      <c r="D298" s="1"/>
      <c r="E298" s="1"/>
      <c r="F298" s="1"/>
      <c r="G298" s="1"/>
      <c r="H298" s="43"/>
      <c r="I298" s="46"/>
      <c r="J298" s="46"/>
      <c r="K298" s="46"/>
      <c r="L298" s="46"/>
      <c r="M298" s="46"/>
      <c r="N298" s="46"/>
      <c r="O298" s="46"/>
      <c r="P298" s="46"/>
      <c r="Q298" s="46"/>
      <c r="R298" s="46"/>
      <c r="S298" s="46"/>
      <c r="T298" s="46"/>
      <c r="U298" s="46"/>
      <c r="V298" s="46"/>
      <c r="W298" s="62"/>
      <c r="X298" s="67"/>
      <c r="Y298" s="68" t="str" cm="1">
        <f t="array" ref="Y298">CalculerNouvelleDate(I298,X298)</f>
        <v/>
      </c>
      <c r="Z298" s="68" t="str" cm="1">
        <f t="array" ref="Z298">CalculerNouvelleDate(J298,Y298)</f>
        <v/>
      </c>
      <c r="AA298" s="68" t="str" cm="1">
        <f t="array" ref="AA298">CalculerNouvelleDate(K298,Z298)</f>
        <v/>
      </c>
      <c r="AB298" s="68" t="str" cm="1">
        <f t="array" ref="AB298">CalculerNouvelleDate(L298,AA298)</f>
        <v/>
      </c>
      <c r="AC298" s="68" t="str" cm="1">
        <f t="array" ref="AC298">CalculerNouvelleDate(M298,AB298)</f>
        <v/>
      </c>
      <c r="AD298" s="68" t="str" cm="1">
        <f t="array" ref="AD298">CalculerNouvelleDate(N298,AC298)</f>
        <v/>
      </c>
      <c r="AE298" s="68" t="str" cm="1">
        <f t="array" ref="AE298">CalculerNouvelleDate(O298,AD298)</f>
        <v/>
      </c>
      <c r="AF298" s="68" t="str" cm="1">
        <f t="array" ref="AF298">CalculerNouvelleDate(P298,AE298)</f>
        <v/>
      </c>
      <c r="AG298" s="68" t="str" cm="1">
        <f t="array" ref="AG298">CalculerNouvelleDate(Q298,AF298)</f>
        <v/>
      </c>
      <c r="AH298" s="68" t="str" cm="1">
        <f t="array" ref="AH298">CalculerNouvelleDate(R298,AG298)</f>
        <v/>
      </c>
      <c r="AI298" s="68" t="str" cm="1">
        <f t="array" ref="AI298">CalculerNouvelleDate(S298,AH298)</f>
        <v/>
      </c>
      <c r="AJ298" s="68" t="str" cm="1">
        <f t="array" ref="AJ298">CalculerNouvelleDate(T298,AI298)</f>
        <v/>
      </c>
      <c r="AK298" s="68" t="str" cm="1">
        <f t="array" ref="AK298">CalculerNouvelleDate(U298,AJ298)</f>
        <v/>
      </c>
      <c r="AL298" s="68" t="str" cm="1">
        <f t="array" ref="AL298">CalculerNouvelleDate(V298,AK298)</f>
        <v/>
      </c>
      <c r="AM298" s="83" t="str" cm="1">
        <f t="array" ref="AM298">CorrespondanceDAte(X298:AL298,D299)</f>
        <v>0</v>
      </c>
      <c r="AN298" s="1"/>
      <c r="AO298" s="1"/>
      <c r="AP298" s="1"/>
      <c r="AQ298" s="1"/>
      <c r="AR298" s="1"/>
      <c r="AS298" s="1"/>
      <c r="AT298" s="1"/>
      <c r="AU298" s="1"/>
      <c r="AV298" s="1"/>
      <c r="AW298" s="1"/>
      <c r="AX298" s="1"/>
      <c r="AY298" s="1"/>
      <c r="AZ298" s="1"/>
      <c r="BA298" s="1"/>
    </row>
    <row r="299" spans="1:53" x14ac:dyDescent="0.3">
      <c r="A299" s="1"/>
      <c r="B299" s="11">
        <v>8</v>
      </c>
      <c r="C299" s="1" t="s">
        <v>67</v>
      </c>
      <c r="D299" s="1"/>
      <c r="E299" s="1"/>
      <c r="F299" s="1"/>
      <c r="G299" s="1"/>
      <c r="H299" s="43"/>
      <c r="I299" s="1"/>
      <c r="J299" s="1"/>
      <c r="K299" s="1"/>
      <c r="L299" s="1"/>
      <c r="M299" s="1"/>
      <c r="N299" s="1"/>
      <c r="O299" s="1"/>
      <c r="P299" s="1"/>
      <c r="Q299" s="1"/>
      <c r="R299" s="1"/>
      <c r="S299" s="1"/>
      <c r="T299" s="1"/>
      <c r="U299" s="1"/>
      <c r="V299" s="1"/>
      <c r="W299" s="11"/>
      <c r="X299" s="67"/>
      <c r="Y299" s="68" t="str" cm="1">
        <f t="array" ref="Y299">CalculerNouvelleDate(I299,X299)</f>
        <v/>
      </c>
      <c r="Z299" s="68" t="str" cm="1">
        <f t="array" ref="Z299">CalculerNouvelleDate(J299,Y299)</f>
        <v/>
      </c>
      <c r="AA299" s="68" t="str" cm="1">
        <f t="array" ref="AA299">CalculerNouvelleDate(K299,Z299)</f>
        <v/>
      </c>
      <c r="AB299" s="68" t="str" cm="1">
        <f t="array" ref="AB299">CalculerNouvelleDate(L299,AA299)</f>
        <v/>
      </c>
      <c r="AC299" s="68" t="str" cm="1">
        <f t="array" ref="AC299">CalculerNouvelleDate(M299,AB299)</f>
        <v/>
      </c>
      <c r="AD299" s="68" t="str" cm="1">
        <f t="array" ref="AD299">CalculerNouvelleDate(N299,AC299)</f>
        <v/>
      </c>
      <c r="AE299" s="68" t="str" cm="1">
        <f t="array" ref="AE299">CalculerNouvelleDate(O299,AD299)</f>
        <v/>
      </c>
      <c r="AF299" s="68" t="str" cm="1">
        <f t="array" ref="AF299">CalculerNouvelleDate(P299,AE299)</f>
        <v/>
      </c>
      <c r="AG299" s="68" t="str" cm="1">
        <f t="array" ref="AG299">CalculerNouvelleDate(Q299,AF299)</f>
        <v/>
      </c>
      <c r="AH299" s="68" t="str" cm="1">
        <f t="array" ref="AH299">CalculerNouvelleDate(R299,AG299)</f>
        <v/>
      </c>
      <c r="AI299" s="68" t="str" cm="1">
        <f t="array" ref="AI299">CalculerNouvelleDate(S299,AH299)</f>
        <v/>
      </c>
      <c r="AJ299" s="68" t="str" cm="1">
        <f t="array" ref="AJ299">CalculerNouvelleDate(T299,AI299)</f>
        <v/>
      </c>
      <c r="AK299" s="68" t="str" cm="1">
        <f t="array" ref="AK299">CalculerNouvelleDate(U299,AJ299)</f>
        <v/>
      </c>
      <c r="AL299" s="68" t="str" cm="1">
        <f t="array" ref="AL299">CalculerNouvelleDate(V299,AK299)</f>
        <v/>
      </c>
      <c r="AM299" s="83" t="str" cm="1">
        <f t="array" ref="AM299">CorrespondanceDAte(X299:AL299,D300)</f>
        <v>0</v>
      </c>
      <c r="AN299" s="1"/>
      <c r="AO299" s="1"/>
      <c r="AP299" s="1"/>
      <c r="AQ299" s="1"/>
      <c r="AR299" s="1"/>
      <c r="AS299" s="1"/>
      <c r="AT299" s="1"/>
      <c r="AU299" s="1"/>
      <c r="AV299" s="1"/>
      <c r="AW299" s="1"/>
      <c r="AX299" s="1"/>
      <c r="AY299" s="1"/>
      <c r="AZ299" s="1"/>
      <c r="BA299" s="1"/>
    </row>
    <row r="300" spans="1:53" x14ac:dyDescent="0.3">
      <c r="A300" s="1"/>
      <c r="B300" s="11"/>
      <c r="C300" s="1" t="s">
        <v>574</v>
      </c>
      <c r="D300" s="1"/>
      <c r="E300" s="1"/>
      <c r="F300" s="1"/>
      <c r="G300" s="1"/>
      <c r="H300" s="43"/>
      <c r="I300" s="46"/>
      <c r="J300" s="46"/>
      <c r="K300" s="46"/>
      <c r="L300" s="46"/>
      <c r="M300" s="46"/>
      <c r="N300" s="46"/>
      <c r="O300" s="46"/>
      <c r="P300" s="46"/>
      <c r="Q300" s="46"/>
      <c r="R300" s="46"/>
      <c r="S300" s="46"/>
      <c r="T300" s="46"/>
      <c r="U300" s="46"/>
      <c r="V300" s="46"/>
      <c r="W300" s="62"/>
      <c r="X300" s="67"/>
      <c r="Y300" s="68" t="str" cm="1">
        <f t="array" ref="Y300">CalculerNouvelleDate(I300,X300)</f>
        <v/>
      </c>
      <c r="Z300" s="68" t="str" cm="1">
        <f t="array" ref="Z300">CalculerNouvelleDate(J300,Y300)</f>
        <v/>
      </c>
      <c r="AA300" s="68" t="str" cm="1">
        <f t="array" ref="AA300">CalculerNouvelleDate(K300,Z300)</f>
        <v/>
      </c>
      <c r="AB300" s="68" t="str" cm="1">
        <f t="array" ref="AB300">CalculerNouvelleDate(L300,AA300)</f>
        <v/>
      </c>
      <c r="AC300" s="68" t="str" cm="1">
        <f t="array" ref="AC300">CalculerNouvelleDate(M300,AB300)</f>
        <v/>
      </c>
      <c r="AD300" s="68" t="str" cm="1">
        <f t="array" ref="AD300">CalculerNouvelleDate(N300,AC300)</f>
        <v/>
      </c>
      <c r="AE300" s="68" t="str" cm="1">
        <f t="array" ref="AE300">CalculerNouvelleDate(O300,AD300)</f>
        <v/>
      </c>
      <c r="AF300" s="68" t="str" cm="1">
        <f t="array" ref="AF300">CalculerNouvelleDate(P300,AE300)</f>
        <v/>
      </c>
      <c r="AG300" s="68" t="str" cm="1">
        <f t="array" ref="AG300">CalculerNouvelleDate(Q300,AF300)</f>
        <v/>
      </c>
      <c r="AH300" s="68" t="str" cm="1">
        <f t="array" ref="AH300">CalculerNouvelleDate(R300,AG300)</f>
        <v/>
      </c>
      <c r="AI300" s="68" t="str" cm="1">
        <f t="array" ref="AI300">CalculerNouvelleDate(S300,AH300)</f>
        <v/>
      </c>
      <c r="AJ300" s="68" t="str" cm="1">
        <f t="array" ref="AJ300">CalculerNouvelleDate(T300,AI300)</f>
        <v/>
      </c>
      <c r="AK300" s="68" t="str" cm="1">
        <f t="array" ref="AK300">CalculerNouvelleDate(U300,AJ300)</f>
        <v/>
      </c>
      <c r="AL300" s="68" t="str" cm="1">
        <f t="array" ref="AL300">CalculerNouvelleDate(V300,AK300)</f>
        <v/>
      </c>
      <c r="AM300" s="83" t="str" cm="1">
        <f t="array" ref="AM300">CorrespondanceDAte(X300:AL300,D301)</f>
        <v>0</v>
      </c>
      <c r="AN300" s="1"/>
      <c r="AO300" s="1"/>
      <c r="AP300" s="1"/>
      <c r="AQ300" s="1"/>
      <c r="AR300" s="1"/>
      <c r="AS300" s="1"/>
      <c r="AT300" s="1"/>
      <c r="AU300" s="1"/>
      <c r="AV300" s="1"/>
      <c r="AW300" s="1"/>
      <c r="AX300" s="1"/>
      <c r="AY300" s="1"/>
      <c r="AZ300" s="1"/>
      <c r="BA300" s="1"/>
    </row>
    <row r="301" spans="1:53" x14ac:dyDescent="0.3">
      <c r="A301" s="1"/>
      <c r="B301" s="11"/>
      <c r="C301" s="1" t="s">
        <v>575</v>
      </c>
      <c r="D301" s="1"/>
      <c r="E301" s="1"/>
      <c r="F301" s="1"/>
      <c r="G301" s="1"/>
      <c r="H301" s="43"/>
      <c r="I301" s="46"/>
      <c r="J301" s="46"/>
      <c r="K301" s="46"/>
      <c r="L301" s="46"/>
      <c r="M301" s="46"/>
      <c r="N301" s="46"/>
      <c r="O301" s="46"/>
      <c r="P301" s="46"/>
      <c r="Q301" s="46"/>
      <c r="R301" s="46"/>
      <c r="S301" s="46"/>
      <c r="T301" s="46"/>
      <c r="U301" s="46"/>
      <c r="V301" s="46"/>
      <c r="W301" s="62"/>
      <c r="X301" s="67"/>
      <c r="Y301" s="68" t="str" cm="1">
        <f t="array" ref="Y301">CalculerNouvelleDate(I301,X301)</f>
        <v/>
      </c>
      <c r="Z301" s="68" t="str" cm="1">
        <f t="array" ref="Z301">CalculerNouvelleDate(J301,Y301)</f>
        <v/>
      </c>
      <c r="AA301" s="68" t="str" cm="1">
        <f t="array" ref="AA301">CalculerNouvelleDate(K301,Z301)</f>
        <v/>
      </c>
      <c r="AB301" s="68" t="str" cm="1">
        <f t="array" ref="AB301">CalculerNouvelleDate(L301,AA301)</f>
        <v/>
      </c>
      <c r="AC301" s="68" t="str" cm="1">
        <f t="array" ref="AC301">CalculerNouvelleDate(M301,AB301)</f>
        <v/>
      </c>
      <c r="AD301" s="68" t="str" cm="1">
        <f t="array" ref="AD301">CalculerNouvelleDate(N301,AC301)</f>
        <v/>
      </c>
      <c r="AE301" s="68" t="str" cm="1">
        <f t="array" ref="AE301">CalculerNouvelleDate(O301,AD301)</f>
        <v/>
      </c>
      <c r="AF301" s="68" t="str" cm="1">
        <f t="array" ref="AF301">CalculerNouvelleDate(P301,AE301)</f>
        <v/>
      </c>
      <c r="AG301" s="68" t="str" cm="1">
        <f t="array" ref="AG301">CalculerNouvelleDate(Q301,AF301)</f>
        <v/>
      </c>
      <c r="AH301" s="68" t="str" cm="1">
        <f t="array" ref="AH301">CalculerNouvelleDate(R301,AG301)</f>
        <v/>
      </c>
      <c r="AI301" s="68" t="str" cm="1">
        <f t="array" ref="AI301">CalculerNouvelleDate(S301,AH301)</f>
        <v/>
      </c>
      <c r="AJ301" s="68" t="str" cm="1">
        <f t="array" ref="AJ301">CalculerNouvelleDate(T301,AI301)</f>
        <v/>
      </c>
      <c r="AK301" s="68" t="str" cm="1">
        <f t="array" ref="AK301">CalculerNouvelleDate(U301,AJ301)</f>
        <v/>
      </c>
      <c r="AL301" s="68" t="str" cm="1">
        <f t="array" ref="AL301">CalculerNouvelleDate(V301,AK301)</f>
        <v/>
      </c>
      <c r="AM301" s="83" t="str" cm="1">
        <f t="array" ref="AM301">CorrespondanceDAte(X301:AL301,D302)</f>
        <v>0</v>
      </c>
      <c r="AN301" s="1"/>
      <c r="AO301" s="1"/>
      <c r="AP301" s="1"/>
      <c r="AQ301" s="1"/>
      <c r="AR301" s="1"/>
      <c r="AS301" s="1"/>
      <c r="AT301" s="1"/>
      <c r="AU301" s="1"/>
      <c r="AV301" s="1"/>
      <c r="AW301" s="1"/>
      <c r="AX301" s="1"/>
      <c r="AY301" s="1"/>
      <c r="AZ301" s="1"/>
      <c r="BA301" s="1"/>
    </row>
    <row r="302" spans="1:53" x14ac:dyDescent="0.3">
      <c r="A302" s="1"/>
      <c r="B302" s="11"/>
      <c r="C302" s="1" t="s">
        <v>576</v>
      </c>
      <c r="D302" s="1"/>
      <c r="E302" s="1"/>
      <c r="F302" s="1"/>
      <c r="G302" s="1"/>
      <c r="H302" s="43"/>
      <c r="I302" s="46"/>
      <c r="J302" s="46"/>
      <c r="K302" s="46"/>
      <c r="L302" s="46"/>
      <c r="M302" s="46"/>
      <c r="N302" s="46"/>
      <c r="O302" s="46"/>
      <c r="P302" s="46"/>
      <c r="Q302" s="46"/>
      <c r="R302" s="46"/>
      <c r="S302" s="46"/>
      <c r="T302" s="46"/>
      <c r="U302" s="46"/>
      <c r="V302" s="46"/>
      <c r="W302" s="62"/>
      <c r="X302" s="67"/>
      <c r="Y302" s="68" t="str" cm="1">
        <f t="array" ref="Y302">CalculerNouvelleDate(I302,X302)</f>
        <v/>
      </c>
      <c r="Z302" s="68" t="str" cm="1">
        <f t="array" ref="Z302">CalculerNouvelleDate(J302,Y302)</f>
        <v/>
      </c>
      <c r="AA302" s="68" t="str" cm="1">
        <f t="array" ref="AA302">CalculerNouvelleDate(K302,Z302)</f>
        <v/>
      </c>
      <c r="AB302" s="68" t="str" cm="1">
        <f t="array" ref="AB302">CalculerNouvelleDate(L302,AA302)</f>
        <v/>
      </c>
      <c r="AC302" s="68" t="str" cm="1">
        <f t="array" ref="AC302">CalculerNouvelleDate(M302,AB302)</f>
        <v/>
      </c>
      <c r="AD302" s="68" t="str" cm="1">
        <f t="array" ref="AD302">CalculerNouvelleDate(N302,AC302)</f>
        <v/>
      </c>
      <c r="AE302" s="68" t="str" cm="1">
        <f t="array" ref="AE302">CalculerNouvelleDate(O302,AD302)</f>
        <v/>
      </c>
      <c r="AF302" s="68" t="str" cm="1">
        <f t="array" ref="AF302">CalculerNouvelleDate(P302,AE302)</f>
        <v/>
      </c>
      <c r="AG302" s="68" t="str" cm="1">
        <f t="array" ref="AG302">CalculerNouvelleDate(Q302,AF302)</f>
        <v/>
      </c>
      <c r="AH302" s="68" t="str" cm="1">
        <f t="array" ref="AH302">CalculerNouvelleDate(R302,AG302)</f>
        <v/>
      </c>
      <c r="AI302" s="68" t="str" cm="1">
        <f t="array" ref="AI302">CalculerNouvelleDate(S302,AH302)</f>
        <v/>
      </c>
      <c r="AJ302" s="68" t="str" cm="1">
        <f t="array" ref="AJ302">CalculerNouvelleDate(T302,AI302)</f>
        <v/>
      </c>
      <c r="AK302" s="68" t="str" cm="1">
        <f t="array" ref="AK302">CalculerNouvelleDate(U302,AJ302)</f>
        <v/>
      </c>
      <c r="AL302" s="68" t="str" cm="1">
        <f t="array" ref="AL302">CalculerNouvelleDate(V302,AK302)</f>
        <v/>
      </c>
      <c r="AM302" s="83" t="str" cm="1">
        <f t="array" ref="AM302">CorrespondanceDAte(X302:AL302,D303)</f>
        <v>0</v>
      </c>
      <c r="AN302" s="1"/>
      <c r="AO302" s="1"/>
      <c r="AP302" s="1"/>
      <c r="AQ302" s="1"/>
      <c r="AR302" s="1"/>
      <c r="AS302" s="1"/>
      <c r="AT302" s="1"/>
      <c r="AU302" s="1"/>
      <c r="AV302" s="1"/>
      <c r="AW302" s="1"/>
      <c r="AX302" s="1"/>
      <c r="AY302" s="1"/>
      <c r="AZ302" s="1"/>
      <c r="BA302" s="1"/>
    </row>
    <row r="303" spans="1:53" x14ac:dyDescent="0.3">
      <c r="A303" s="1"/>
      <c r="B303" s="11"/>
      <c r="C303" s="1" t="s">
        <v>729</v>
      </c>
      <c r="D303" s="1"/>
      <c r="E303" s="1"/>
      <c r="F303" s="1"/>
      <c r="G303" s="1"/>
      <c r="H303" s="43"/>
      <c r="I303" s="46"/>
      <c r="J303" s="46"/>
      <c r="K303" s="46"/>
      <c r="L303" s="46"/>
      <c r="M303" s="46"/>
      <c r="N303" s="46"/>
      <c r="O303" s="46"/>
      <c r="P303" s="46"/>
      <c r="Q303" s="46"/>
      <c r="R303" s="46"/>
      <c r="S303" s="46"/>
      <c r="T303" s="46"/>
      <c r="U303" s="46"/>
      <c r="V303" s="46"/>
      <c r="W303" s="62"/>
      <c r="X303" s="67"/>
      <c r="Y303" s="68" t="str" cm="1">
        <f t="array" ref="Y303">CalculerNouvelleDate(I303,X303)</f>
        <v/>
      </c>
      <c r="Z303" s="68" t="str" cm="1">
        <f t="array" ref="Z303">CalculerNouvelleDate(J303,Y303)</f>
        <v/>
      </c>
      <c r="AA303" s="68" t="str" cm="1">
        <f t="array" ref="AA303">CalculerNouvelleDate(K303,Z303)</f>
        <v/>
      </c>
      <c r="AB303" s="68" t="str" cm="1">
        <f t="array" ref="AB303">CalculerNouvelleDate(L303,AA303)</f>
        <v/>
      </c>
      <c r="AC303" s="68" t="str" cm="1">
        <f t="array" ref="AC303">CalculerNouvelleDate(M303,AB303)</f>
        <v/>
      </c>
      <c r="AD303" s="68" t="str" cm="1">
        <f t="array" ref="AD303">CalculerNouvelleDate(N303,AC303)</f>
        <v/>
      </c>
      <c r="AE303" s="68" t="str" cm="1">
        <f t="array" ref="AE303">CalculerNouvelleDate(O303,AD303)</f>
        <v/>
      </c>
      <c r="AF303" s="68" t="str" cm="1">
        <f t="array" ref="AF303">CalculerNouvelleDate(P303,AE303)</f>
        <v/>
      </c>
      <c r="AG303" s="68" t="str" cm="1">
        <f t="array" ref="AG303">CalculerNouvelleDate(Q303,AF303)</f>
        <v/>
      </c>
      <c r="AH303" s="68" t="str" cm="1">
        <f t="array" ref="AH303">CalculerNouvelleDate(R303,AG303)</f>
        <v/>
      </c>
      <c r="AI303" s="68" t="str" cm="1">
        <f t="array" ref="AI303">CalculerNouvelleDate(S303,AH303)</f>
        <v/>
      </c>
      <c r="AJ303" s="68" t="str" cm="1">
        <f t="array" ref="AJ303">CalculerNouvelleDate(T303,AI303)</f>
        <v/>
      </c>
      <c r="AK303" s="68" t="str" cm="1">
        <f t="array" ref="AK303">CalculerNouvelleDate(U303,AJ303)</f>
        <v/>
      </c>
      <c r="AL303" s="68" t="str" cm="1">
        <f t="array" ref="AL303">CalculerNouvelleDate(V303,AK303)</f>
        <v/>
      </c>
      <c r="AM303" s="83" t="str" cm="1">
        <f t="array" ref="AM303">CorrespondanceDAte(X303:AL303,D304)</f>
        <v>0</v>
      </c>
      <c r="AN303" s="1"/>
      <c r="AO303" s="1"/>
      <c r="AP303" s="1"/>
      <c r="AQ303" s="1"/>
      <c r="AR303" s="1"/>
      <c r="AS303" s="1"/>
      <c r="AT303" s="1"/>
      <c r="AU303" s="1"/>
      <c r="AV303" s="1"/>
      <c r="AW303" s="1"/>
      <c r="AX303" s="1"/>
      <c r="AY303" s="1"/>
      <c r="AZ303" s="1"/>
      <c r="BA303" s="1"/>
    </row>
    <row r="304" spans="1:53" x14ac:dyDescent="0.3">
      <c r="A304" s="1"/>
      <c r="B304" s="11"/>
      <c r="C304" s="1" t="s">
        <v>730</v>
      </c>
      <c r="D304" s="1"/>
      <c r="E304" s="1"/>
      <c r="F304" s="1"/>
      <c r="G304" s="1"/>
      <c r="H304" s="43"/>
      <c r="I304" s="46"/>
      <c r="J304" s="46"/>
      <c r="K304" s="46"/>
      <c r="L304" s="46"/>
      <c r="M304" s="46"/>
      <c r="N304" s="46"/>
      <c r="O304" s="46"/>
      <c r="P304" s="46"/>
      <c r="Q304" s="46"/>
      <c r="R304" s="46"/>
      <c r="S304" s="46"/>
      <c r="T304" s="46"/>
      <c r="U304" s="46"/>
      <c r="V304" s="46"/>
      <c r="W304" s="62"/>
      <c r="X304" s="67"/>
      <c r="Y304" s="68" t="str" cm="1">
        <f t="array" ref="Y304">CalculerNouvelleDate(I304,X304)</f>
        <v/>
      </c>
      <c r="Z304" s="68" t="str" cm="1">
        <f t="array" ref="Z304">CalculerNouvelleDate(J304,Y304)</f>
        <v/>
      </c>
      <c r="AA304" s="68" t="str" cm="1">
        <f t="array" ref="AA304">CalculerNouvelleDate(K304,Z304)</f>
        <v/>
      </c>
      <c r="AB304" s="68" t="str" cm="1">
        <f t="array" ref="AB304">CalculerNouvelleDate(L304,AA304)</f>
        <v/>
      </c>
      <c r="AC304" s="68" t="str" cm="1">
        <f t="array" ref="AC304">CalculerNouvelleDate(M304,AB304)</f>
        <v/>
      </c>
      <c r="AD304" s="68" t="str" cm="1">
        <f t="array" ref="AD304">CalculerNouvelleDate(N304,AC304)</f>
        <v/>
      </c>
      <c r="AE304" s="68" t="str" cm="1">
        <f t="array" ref="AE304">CalculerNouvelleDate(O304,AD304)</f>
        <v/>
      </c>
      <c r="AF304" s="68" t="str" cm="1">
        <f t="array" ref="AF304">CalculerNouvelleDate(P304,AE304)</f>
        <v/>
      </c>
      <c r="AG304" s="68" t="str" cm="1">
        <f t="array" ref="AG304">CalculerNouvelleDate(Q304,AF304)</f>
        <v/>
      </c>
      <c r="AH304" s="68" t="str" cm="1">
        <f t="array" ref="AH304">CalculerNouvelleDate(R304,AG304)</f>
        <v/>
      </c>
      <c r="AI304" s="68" t="str" cm="1">
        <f t="array" ref="AI304">CalculerNouvelleDate(S304,AH304)</f>
        <v/>
      </c>
      <c r="AJ304" s="68" t="str" cm="1">
        <f t="array" ref="AJ304">CalculerNouvelleDate(T304,AI304)</f>
        <v/>
      </c>
      <c r="AK304" s="68" t="str" cm="1">
        <f t="array" ref="AK304">CalculerNouvelleDate(U304,AJ304)</f>
        <v/>
      </c>
      <c r="AL304" s="68" t="str" cm="1">
        <f t="array" ref="AL304">CalculerNouvelleDate(V304,AK304)</f>
        <v/>
      </c>
      <c r="AM304" s="83" t="str" cm="1">
        <f t="array" ref="AM304">CorrespondanceDAte(X304:AL304,D305)</f>
        <v>0</v>
      </c>
      <c r="AN304" s="1"/>
      <c r="AO304" s="1"/>
      <c r="AP304" s="1"/>
      <c r="AQ304" s="1"/>
      <c r="AR304" s="1"/>
      <c r="AS304" s="1"/>
      <c r="AT304" s="1"/>
      <c r="AU304" s="1"/>
      <c r="AV304" s="1"/>
      <c r="AW304" s="1"/>
      <c r="AX304" s="1"/>
      <c r="AY304" s="1"/>
      <c r="AZ304" s="1"/>
      <c r="BA304" s="1"/>
    </row>
    <row r="305" spans="1:53" x14ac:dyDescent="0.3">
      <c r="A305" s="1"/>
      <c r="B305" s="11"/>
      <c r="C305" s="1" t="s">
        <v>731</v>
      </c>
      <c r="D305" s="1"/>
      <c r="E305" s="1"/>
      <c r="F305" s="1"/>
      <c r="G305" s="1"/>
      <c r="H305" s="43"/>
      <c r="I305" s="46"/>
      <c r="J305" s="46"/>
      <c r="K305" s="46"/>
      <c r="L305" s="46"/>
      <c r="M305" s="46"/>
      <c r="N305" s="46"/>
      <c r="O305" s="46"/>
      <c r="P305" s="46"/>
      <c r="Q305" s="46"/>
      <c r="R305" s="46"/>
      <c r="S305" s="46"/>
      <c r="T305" s="46"/>
      <c r="U305" s="46"/>
      <c r="V305" s="46"/>
      <c r="W305" s="62"/>
      <c r="X305" s="67"/>
      <c r="Y305" s="68" t="str" cm="1">
        <f t="array" ref="Y305">CalculerNouvelleDate(I305,X305)</f>
        <v/>
      </c>
      <c r="Z305" s="68" t="str" cm="1">
        <f t="array" ref="Z305">CalculerNouvelleDate(J305,Y305)</f>
        <v/>
      </c>
      <c r="AA305" s="68" t="str" cm="1">
        <f t="array" ref="AA305">CalculerNouvelleDate(K305,Z305)</f>
        <v/>
      </c>
      <c r="AB305" s="68" t="str" cm="1">
        <f t="array" ref="AB305">CalculerNouvelleDate(L305,AA305)</f>
        <v/>
      </c>
      <c r="AC305" s="68" t="str" cm="1">
        <f t="array" ref="AC305">CalculerNouvelleDate(M305,AB305)</f>
        <v/>
      </c>
      <c r="AD305" s="68" t="str" cm="1">
        <f t="array" ref="AD305">CalculerNouvelleDate(N305,AC305)</f>
        <v/>
      </c>
      <c r="AE305" s="68" t="str" cm="1">
        <f t="array" ref="AE305">CalculerNouvelleDate(O305,AD305)</f>
        <v/>
      </c>
      <c r="AF305" s="68" t="str" cm="1">
        <f t="array" ref="AF305">CalculerNouvelleDate(P305,AE305)</f>
        <v/>
      </c>
      <c r="AG305" s="68" t="str" cm="1">
        <f t="array" ref="AG305">CalculerNouvelleDate(Q305,AF305)</f>
        <v/>
      </c>
      <c r="AH305" s="68" t="str" cm="1">
        <f t="array" ref="AH305">CalculerNouvelleDate(R305,AG305)</f>
        <v/>
      </c>
      <c r="AI305" s="68" t="str" cm="1">
        <f t="array" ref="AI305">CalculerNouvelleDate(S305,AH305)</f>
        <v/>
      </c>
      <c r="AJ305" s="68" t="str" cm="1">
        <f t="array" ref="AJ305">CalculerNouvelleDate(T305,AI305)</f>
        <v/>
      </c>
      <c r="AK305" s="68" t="str" cm="1">
        <f t="array" ref="AK305">CalculerNouvelleDate(U305,AJ305)</f>
        <v/>
      </c>
      <c r="AL305" s="68" t="str" cm="1">
        <f t="array" ref="AL305">CalculerNouvelleDate(V305,AK305)</f>
        <v/>
      </c>
      <c r="AM305" s="83" t="str" cm="1">
        <f t="array" ref="AM305">CorrespondanceDAte(X305:AL305,D306)</f>
        <v>0</v>
      </c>
      <c r="AN305" s="1"/>
      <c r="AO305" s="1"/>
      <c r="AP305" s="1"/>
      <c r="AQ305" s="1"/>
      <c r="AR305" s="1"/>
      <c r="AS305" s="1"/>
      <c r="AT305" s="1"/>
      <c r="AU305" s="1"/>
      <c r="AV305" s="1"/>
      <c r="AW305" s="1"/>
      <c r="AX305" s="1"/>
      <c r="AY305" s="1"/>
      <c r="AZ305" s="1"/>
      <c r="BA305" s="1"/>
    </row>
    <row r="306" spans="1:53" x14ac:dyDescent="0.3">
      <c r="A306" s="1"/>
      <c r="B306" s="11"/>
      <c r="C306" s="1" t="s">
        <v>732</v>
      </c>
      <c r="D306" s="1"/>
      <c r="E306" s="1"/>
      <c r="F306" s="1"/>
      <c r="G306" s="1"/>
      <c r="H306" s="43"/>
      <c r="I306" s="46"/>
      <c r="J306" s="46"/>
      <c r="K306" s="46"/>
      <c r="L306" s="46"/>
      <c r="M306" s="46"/>
      <c r="N306" s="46"/>
      <c r="O306" s="46"/>
      <c r="P306" s="46"/>
      <c r="Q306" s="46"/>
      <c r="R306" s="46"/>
      <c r="S306" s="46"/>
      <c r="T306" s="46"/>
      <c r="U306" s="46"/>
      <c r="V306" s="46"/>
      <c r="W306" s="62"/>
      <c r="X306" s="67"/>
      <c r="Y306" s="68" t="str" cm="1">
        <f t="array" ref="Y306">CalculerNouvelleDate(I306,X306)</f>
        <v/>
      </c>
      <c r="Z306" s="68" t="str" cm="1">
        <f t="array" ref="Z306">CalculerNouvelleDate(J306,Y306)</f>
        <v/>
      </c>
      <c r="AA306" s="68" t="str" cm="1">
        <f t="array" ref="AA306">CalculerNouvelleDate(K306,Z306)</f>
        <v/>
      </c>
      <c r="AB306" s="68" t="str" cm="1">
        <f t="array" ref="AB306">CalculerNouvelleDate(L306,AA306)</f>
        <v/>
      </c>
      <c r="AC306" s="68" t="str" cm="1">
        <f t="array" ref="AC306">CalculerNouvelleDate(M306,AB306)</f>
        <v/>
      </c>
      <c r="AD306" s="68" t="str" cm="1">
        <f t="array" ref="AD306">CalculerNouvelleDate(N306,AC306)</f>
        <v/>
      </c>
      <c r="AE306" s="68" t="str" cm="1">
        <f t="array" ref="AE306">CalculerNouvelleDate(O306,AD306)</f>
        <v/>
      </c>
      <c r="AF306" s="68" t="str" cm="1">
        <f t="array" ref="AF306">CalculerNouvelleDate(P306,AE306)</f>
        <v/>
      </c>
      <c r="AG306" s="68" t="str" cm="1">
        <f t="array" ref="AG306">CalculerNouvelleDate(Q306,AF306)</f>
        <v/>
      </c>
      <c r="AH306" s="68" t="str" cm="1">
        <f t="array" ref="AH306">CalculerNouvelleDate(R306,AG306)</f>
        <v/>
      </c>
      <c r="AI306" s="68" t="str" cm="1">
        <f t="array" ref="AI306">CalculerNouvelleDate(S306,AH306)</f>
        <v/>
      </c>
      <c r="AJ306" s="68" t="str" cm="1">
        <f t="array" ref="AJ306">CalculerNouvelleDate(T306,AI306)</f>
        <v/>
      </c>
      <c r="AK306" s="68" t="str" cm="1">
        <f t="array" ref="AK306">CalculerNouvelleDate(U306,AJ306)</f>
        <v/>
      </c>
      <c r="AL306" s="68" t="str" cm="1">
        <f t="array" ref="AL306">CalculerNouvelleDate(V306,AK306)</f>
        <v/>
      </c>
      <c r="AM306" s="83" t="str" cm="1">
        <f t="array" ref="AM306">CorrespondanceDAte(X306:AL306,D307)</f>
        <v>0</v>
      </c>
      <c r="AN306" s="1"/>
      <c r="AO306" s="1"/>
      <c r="AP306" s="1"/>
      <c r="AQ306" s="1"/>
      <c r="AR306" s="1"/>
      <c r="AS306" s="1"/>
      <c r="AT306" s="1"/>
      <c r="AU306" s="1"/>
      <c r="AV306" s="1"/>
      <c r="AW306" s="1"/>
      <c r="AX306" s="1"/>
      <c r="AY306" s="1"/>
      <c r="AZ306" s="1"/>
      <c r="BA306" s="1"/>
    </row>
    <row r="307" spans="1:53" x14ac:dyDescent="0.3">
      <c r="A307" s="1"/>
      <c r="B307" s="11"/>
      <c r="C307" s="1" t="s">
        <v>733</v>
      </c>
      <c r="D307" s="1"/>
      <c r="E307" s="1"/>
      <c r="F307" s="1"/>
      <c r="G307" s="1"/>
      <c r="H307" s="43"/>
      <c r="I307" s="46"/>
      <c r="J307" s="46"/>
      <c r="K307" s="46"/>
      <c r="L307" s="46"/>
      <c r="M307" s="46"/>
      <c r="N307" s="46"/>
      <c r="O307" s="46"/>
      <c r="P307" s="46"/>
      <c r="Q307" s="46"/>
      <c r="R307" s="46"/>
      <c r="S307" s="46"/>
      <c r="T307" s="46"/>
      <c r="U307" s="46"/>
      <c r="V307" s="46"/>
      <c r="W307" s="62"/>
      <c r="X307" s="67"/>
      <c r="Y307" s="68" t="str" cm="1">
        <f t="array" ref="Y307">CalculerNouvelleDate(I307,X307)</f>
        <v/>
      </c>
      <c r="Z307" s="68" t="str" cm="1">
        <f t="array" ref="Z307">CalculerNouvelleDate(J307,Y307)</f>
        <v/>
      </c>
      <c r="AA307" s="68" t="str" cm="1">
        <f t="array" ref="AA307">CalculerNouvelleDate(K307,Z307)</f>
        <v/>
      </c>
      <c r="AB307" s="68" t="str" cm="1">
        <f t="array" ref="AB307">CalculerNouvelleDate(L307,AA307)</f>
        <v/>
      </c>
      <c r="AC307" s="68" t="str" cm="1">
        <f t="array" ref="AC307">CalculerNouvelleDate(M307,AB307)</f>
        <v/>
      </c>
      <c r="AD307" s="68" t="str" cm="1">
        <f t="array" ref="AD307">CalculerNouvelleDate(N307,AC307)</f>
        <v/>
      </c>
      <c r="AE307" s="68" t="str" cm="1">
        <f t="array" ref="AE307">CalculerNouvelleDate(O307,AD307)</f>
        <v/>
      </c>
      <c r="AF307" s="68" t="str" cm="1">
        <f t="array" ref="AF307">CalculerNouvelleDate(P307,AE307)</f>
        <v/>
      </c>
      <c r="AG307" s="68" t="str" cm="1">
        <f t="array" ref="AG307">CalculerNouvelleDate(Q307,AF307)</f>
        <v/>
      </c>
      <c r="AH307" s="68" t="str" cm="1">
        <f t="array" ref="AH307">CalculerNouvelleDate(R307,AG307)</f>
        <v/>
      </c>
      <c r="AI307" s="68" t="str" cm="1">
        <f t="array" ref="AI307">CalculerNouvelleDate(S307,AH307)</f>
        <v/>
      </c>
      <c r="AJ307" s="68" t="str" cm="1">
        <f t="array" ref="AJ307">CalculerNouvelleDate(T307,AI307)</f>
        <v/>
      </c>
      <c r="AK307" s="68" t="str" cm="1">
        <f t="array" ref="AK307">CalculerNouvelleDate(U307,AJ307)</f>
        <v/>
      </c>
      <c r="AL307" s="68" t="str" cm="1">
        <f t="array" ref="AL307">CalculerNouvelleDate(V307,AK307)</f>
        <v/>
      </c>
      <c r="AM307" s="83" t="str" cm="1">
        <f t="array" ref="AM307">CorrespondanceDAte(X307:AL307,D308)</f>
        <v>0</v>
      </c>
      <c r="AN307" s="1"/>
      <c r="AO307" s="1"/>
      <c r="AP307" s="1"/>
      <c r="AQ307" s="1"/>
      <c r="AR307" s="1"/>
      <c r="AS307" s="1"/>
      <c r="AT307" s="1"/>
      <c r="AU307" s="1"/>
      <c r="AV307" s="1"/>
      <c r="AW307" s="1"/>
      <c r="AX307" s="1"/>
      <c r="AY307" s="1"/>
      <c r="AZ307" s="1"/>
      <c r="BA307" s="1"/>
    </row>
    <row r="308" spans="1:53" x14ac:dyDescent="0.3">
      <c r="A308" s="1"/>
      <c r="B308" s="11"/>
      <c r="C308" s="1" t="s">
        <v>734</v>
      </c>
      <c r="D308" s="1"/>
      <c r="E308" s="1"/>
      <c r="F308" s="1"/>
      <c r="G308" s="1"/>
      <c r="H308" s="43"/>
      <c r="I308" s="46"/>
      <c r="J308" s="46"/>
      <c r="K308" s="46"/>
      <c r="L308" s="46"/>
      <c r="M308" s="46"/>
      <c r="N308" s="46"/>
      <c r="O308" s="46"/>
      <c r="P308" s="46"/>
      <c r="Q308" s="46"/>
      <c r="R308" s="46"/>
      <c r="S308" s="46"/>
      <c r="T308" s="46"/>
      <c r="U308" s="46"/>
      <c r="V308" s="46"/>
      <c r="W308" s="62"/>
      <c r="X308" s="67"/>
      <c r="Y308" s="68" t="str" cm="1">
        <f t="array" ref="Y308">CalculerNouvelleDate(I308,X308)</f>
        <v/>
      </c>
      <c r="Z308" s="68" t="str" cm="1">
        <f t="array" ref="Z308">CalculerNouvelleDate(J308,Y308)</f>
        <v/>
      </c>
      <c r="AA308" s="68" t="str" cm="1">
        <f t="array" ref="AA308">CalculerNouvelleDate(K308,Z308)</f>
        <v/>
      </c>
      <c r="AB308" s="68" t="str" cm="1">
        <f t="array" ref="AB308">CalculerNouvelleDate(L308,AA308)</f>
        <v/>
      </c>
      <c r="AC308" s="68" t="str" cm="1">
        <f t="array" ref="AC308">CalculerNouvelleDate(M308,AB308)</f>
        <v/>
      </c>
      <c r="AD308" s="68" t="str" cm="1">
        <f t="array" ref="AD308">CalculerNouvelleDate(N308,AC308)</f>
        <v/>
      </c>
      <c r="AE308" s="68" t="str" cm="1">
        <f t="array" ref="AE308">CalculerNouvelleDate(O308,AD308)</f>
        <v/>
      </c>
      <c r="AF308" s="68" t="str" cm="1">
        <f t="array" ref="AF308">CalculerNouvelleDate(P308,AE308)</f>
        <v/>
      </c>
      <c r="AG308" s="68" t="str" cm="1">
        <f t="array" ref="AG308">CalculerNouvelleDate(Q308,AF308)</f>
        <v/>
      </c>
      <c r="AH308" s="68" t="str" cm="1">
        <f t="array" ref="AH308">CalculerNouvelleDate(R308,AG308)</f>
        <v/>
      </c>
      <c r="AI308" s="68" t="str" cm="1">
        <f t="array" ref="AI308">CalculerNouvelleDate(S308,AH308)</f>
        <v/>
      </c>
      <c r="AJ308" s="68" t="str" cm="1">
        <f t="array" ref="AJ308">CalculerNouvelleDate(T308,AI308)</f>
        <v/>
      </c>
      <c r="AK308" s="68" t="str" cm="1">
        <f t="array" ref="AK308">CalculerNouvelleDate(U308,AJ308)</f>
        <v/>
      </c>
      <c r="AL308" s="68" t="str" cm="1">
        <f t="array" ref="AL308">CalculerNouvelleDate(V308,AK308)</f>
        <v/>
      </c>
      <c r="AM308" s="83" t="str" cm="1">
        <f t="array" ref="AM308">CorrespondanceDAte(X308:AL308,D309)</f>
        <v>0</v>
      </c>
      <c r="AN308" s="1"/>
      <c r="AO308" s="1"/>
      <c r="AP308" s="1"/>
      <c r="AQ308" s="1"/>
      <c r="AR308" s="1"/>
      <c r="AS308" s="1"/>
      <c r="AT308" s="1"/>
      <c r="AU308" s="1"/>
      <c r="AV308" s="1"/>
      <c r="AW308" s="1"/>
      <c r="AX308" s="1"/>
      <c r="AY308" s="1"/>
      <c r="AZ308" s="1"/>
      <c r="BA308" s="1"/>
    </row>
    <row r="309" spans="1:53" x14ac:dyDescent="0.3">
      <c r="A309" s="1"/>
      <c r="B309" s="11"/>
      <c r="C309" s="1" t="s">
        <v>735</v>
      </c>
      <c r="D309" s="1"/>
      <c r="E309" s="1"/>
      <c r="F309" s="1"/>
      <c r="G309" s="1"/>
      <c r="H309" s="43"/>
      <c r="I309" s="46"/>
      <c r="J309" s="46"/>
      <c r="K309" s="46"/>
      <c r="L309" s="46"/>
      <c r="M309" s="46"/>
      <c r="N309" s="46"/>
      <c r="O309" s="46"/>
      <c r="P309" s="46"/>
      <c r="Q309" s="46"/>
      <c r="R309" s="46"/>
      <c r="S309" s="46"/>
      <c r="T309" s="46"/>
      <c r="U309" s="46"/>
      <c r="V309" s="46"/>
      <c r="W309" s="62"/>
      <c r="X309" s="67"/>
      <c r="Y309" s="68" t="str" cm="1">
        <f t="array" ref="Y309">CalculerNouvelleDate(I309,X309)</f>
        <v/>
      </c>
      <c r="Z309" s="68" t="str" cm="1">
        <f t="array" ref="Z309">CalculerNouvelleDate(J309,Y309)</f>
        <v/>
      </c>
      <c r="AA309" s="68" t="str" cm="1">
        <f t="array" ref="AA309">CalculerNouvelleDate(K309,Z309)</f>
        <v/>
      </c>
      <c r="AB309" s="68" t="str" cm="1">
        <f t="array" ref="AB309">CalculerNouvelleDate(L309,AA309)</f>
        <v/>
      </c>
      <c r="AC309" s="68" t="str" cm="1">
        <f t="array" ref="AC309">CalculerNouvelleDate(M309,AB309)</f>
        <v/>
      </c>
      <c r="AD309" s="68" t="str" cm="1">
        <f t="array" ref="AD309">CalculerNouvelleDate(N309,AC309)</f>
        <v/>
      </c>
      <c r="AE309" s="68" t="str" cm="1">
        <f t="array" ref="AE309">CalculerNouvelleDate(O309,AD309)</f>
        <v/>
      </c>
      <c r="AF309" s="68" t="str" cm="1">
        <f t="array" ref="AF309">CalculerNouvelleDate(P309,AE309)</f>
        <v/>
      </c>
      <c r="AG309" s="68" t="str" cm="1">
        <f t="array" ref="AG309">CalculerNouvelleDate(Q309,AF309)</f>
        <v/>
      </c>
      <c r="AH309" s="68" t="str" cm="1">
        <f t="array" ref="AH309">CalculerNouvelleDate(R309,AG309)</f>
        <v/>
      </c>
      <c r="AI309" s="68" t="str" cm="1">
        <f t="array" ref="AI309">CalculerNouvelleDate(S309,AH309)</f>
        <v/>
      </c>
      <c r="AJ309" s="68" t="str" cm="1">
        <f t="array" ref="AJ309">CalculerNouvelleDate(T309,AI309)</f>
        <v/>
      </c>
      <c r="AK309" s="68" t="str" cm="1">
        <f t="array" ref="AK309">CalculerNouvelleDate(U309,AJ309)</f>
        <v/>
      </c>
      <c r="AL309" s="68" t="str" cm="1">
        <f t="array" ref="AL309">CalculerNouvelleDate(V309,AK309)</f>
        <v/>
      </c>
      <c r="AM309" s="83" t="str" cm="1">
        <f t="array" ref="AM309">CorrespondanceDAte(X309:AL309,D310)</f>
        <v>0</v>
      </c>
      <c r="AN309" s="1"/>
      <c r="AO309" s="1"/>
      <c r="AP309" s="1"/>
      <c r="AQ309" s="1"/>
      <c r="AR309" s="1"/>
      <c r="AS309" s="1"/>
      <c r="AT309" s="1"/>
      <c r="AU309" s="1"/>
      <c r="AV309" s="1"/>
      <c r="AW309" s="1"/>
      <c r="AX309" s="1"/>
      <c r="AY309" s="1"/>
      <c r="AZ309" s="1"/>
      <c r="BA309" s="1"/>
    </row>
    <row r="310" spans="1:53" x14ac:dyDescent="0.3">
      <c r="A310" s="1"/>
      <c r="B310" s="11"/>
      <c r="C310" s="1" t="s">
        <v>728</v>
      </c>
      <c r="D310" s="1"/>
      <c r="E310" s="1"/>
      <c r="F310" s="1"/>
      <c r="G310" s="1"/>
      <c r="H310" s="43"/>
      <c r="I310" s="46"/>
      <c r="J310" s="46"/>
      <c r="K310" s="46"/>
      <c r="L310" s="46"/>
      <c r="M310" s="46"/>
      <c r="N310" s="46"/>
      <c r="O310" s="46"/>
      <c r="P310" s="46"/>
      <c r="Q310" s="46"/>
      <c r="R310" s="46"/>
      <c r="S310" s="46"/>
      <c r="T310" s="46"/>
      <c r="U310" s="46"/>
      <c r="V310" s="46"/>
      <c r="W310" s="62"/>
      <c r="X310" s="67"/>
      <c r="Y310" s="68" t="str" cm="1">
        <f t="array" ref="Y310">CalculerNouvelleDate(I310,X310)</f>
        <v/>
      </c>
      <c r="Z310" s="68" t="str" cm="1">
        <f t="array" ref="Z310">CalculerNouvelleDate(J310,Y310)</f>
        <v/>
      </c>
      <c r="AA310" s="68" t="str" cm="1">
        <f t="array" ref="AA310">CalculerNouvelleDate(K310,Z310)</f>
        <v/>
      </c>
      <c r="AB310" s="68" t="str" cm="1">
        <f t="array" ref="AB310">CalculerNouvelleDate(L310,AA310)</f>
        <v/>
      </c>
      <c r="AC310" s="68" t="str" cm="1">
        <f t="array" ref="AC310">CalculerNouvelleDate(M310,AB310)</f>
        <v/>
      </c>
      <c r="AD310" s="68" t="str" cm="1">
        <f t="array" ref="AD310">CalculerNouvelleDate(N310,AC310)</f>
        <v/>
      </c>
      <c r="AE310" s="68" t="str" cm="1">
        <f t="array" ref="AE310">CalculerNouvelleDate(O310,AD310)</f>
        <v/>
      </c>
      <c r="AF310" s="68" t="str" cm="1">
        <f t="array" ref="AF310">CalculerNouvelleDate(P310,AE310)</f>
        <v/>
      </c>
      <c r="AG310" s="68" t="str" cm="1">
        <f t="array" ref="AG310">CalculerNouvelleDate(Q310,AF310)</f>
        <v/>
      </c>
      <c r="AH310" s="68" t="str" cm="1">
        <f t="array" ref="AH310">CalculerNouvelleDate(R310,AG310)</f>
        <v/>
      </c>
      <c r="AI310" s="68" t="str" cm="1">
        <f t="array" ref="AI310">CalculerNouvelleDate(S310,AH310)</f>
        <v/>
      </c>
      <c r="AJ310" s="68" t="str" cm="1">
        <f t="array" ref="AJ310">CalculerNouvelleDate(T310,AI310)</f>
        <v/>
      </c>
      <c r="AK310" s="68" t="str" cm="1">
        <f t="array" ref="AK310">CalculerNouvelleDate(U310,AJ310)</f>
        <v/>
      </c>
      <c r="AL310" s="68" t="str" cm="1">
        <f t="array" ref="AL310">CalculerNouvelleDate(V310,AK310)</f>
        <v/>
      </c>
      <c r="AM310" s="83" t="str" cm="1">
        <f t="array" ref="AM310">CorrespondanceDAte(X310:AL310,D311)</f>
        <v>0</v>
      </c>
      <c r="AN310" s="1"/>
      <c r="AO310" s="1"/>
      <c r="AP310" s="1"/>
      <c r="AQ310" s="1"/>
      <c r="AR310" s="1"/>
      <c r="AS310" s="1"/>
      <c r="AT310" s="1"/>
      <c r="AU310" s="1"/>
      <c r="AV310" s="1"/>
      <c r="AW310" s="1"/>
      <c r="AX310" s="1"/>
      <c r="AY310" s="1"/>
      <c r="AZ310" s="1"/>
      <c r="BA310" s="1"/>
    </row>
    <row r="311" spans="1:53" x14ac:dyDescent="0.3">
      <c r="A311" s="1"/>
      <c r="B311" s="11"/>
      <c r="C311" s="1"/>
      <c r="D311" s="1"/>
      <c r="E311" s="1"/>
      <c r="F311" s="1"/>
      <c r="G311" s="1"/>
      <c r="H311" s="43"/>
      <c r="I311" s="46"/>
      <c r="J311" s="46"/>
      <c r="K311" s="46"/>
      <c r="L311" s="46"/>
      <c r="M311" s="46"/>
      <c r="N311" s="46"/>
      <c r="O311" s="46"/>
      <c r="P311" s="46"/>
      <c r="Q311" s="46"/>
      <c r="R311" s="46"/>
      <c r="S311" s="46"/>
      <c r="T311" s="46"/>
      <c r="U311" s="46"/>
      <c r="V311" s="46"/>
      <c r="W311" s="62"/>
      <c r="X311" s="67"/>
      <c r="Y311" s="68" t="str" cm="1">
        <f t="array" ref="Y311">CalculerNouvelleDate(I311,X311)</f>
        <v/>
      </c>
      <c r="Z311" s="68" t="str" cm="1">
        <f t="array" ref="Z311">CalculerNouvelleDate(J311,Y311)</f>
        <v/>
      </c>
      <c r="AA311" s="68" t="str" cm="1">
        <f t="array" ref="AA311">CalculerNouvelleDate(K311,Z311)</f>
        <v/>
      </c>
      <c r="AB311" s="68" t="str" cm="1">
        <f t="array" ref="AB311">CalculerNouvelleDate(L311,AA311)</f>
        <v/>
      </c>
      <c r="AC311" s="68" t="str" cm="1">
        <f t="array" ref="AC311">CalculerNouvelleDate(M311,AB311)</f>
        <v/>
      </c>
      <c r="AD311" s="68" t="str" cm="1">
        <f t="array" ref="AD311">CalculerNouvelleDate(N311,AC311)</f>
        <v/>
      </c>
      <c r="AE311" s="68" t="str" cm="1">
        <f t="array" ref="AE311">CalculerNouvelleDate(O311,AD311)</f>
        <v/>
      </c>
      <c r="AF311" s="68" t="str" cm="1">
        <f t="array" ref="AF311">CalculerNouvelleDate(P311,AE311)</f>
        <v/>
      </c>
      <c r="AG311" s="68" t="str" cm="1">
        <f t="array" ref="AG311">CalculerNouvelleDate(Q311,AF311)</f>
        <v/>
      </c>
      <c r="AH311" s="68" t="str" cm="1">
        <f t="array" ref="AH311">CalculerNouvelleDate(R311,AG311)</f>
        <v/>
      </c>
      <c r="AI311" s="68" t="str" cm="1">
        <f t="array" ref="AI311">CalculerNouvelleDate(S311,AH311)</f>
        <v/>
      </c>
      <c r="AJ311" s="68" t="str" cm="1">
        <f t="array" ref="AJ311">CalculerNouvelleDate(T311,AI311)</f>
        <v/>
      </c>
      <c r="AK311" s="68" t="str" cm="1">
        <f t="array" ref="AK311">CalculerNouvelleDate(U311,AJ311)</f>
        <v/>
      </c>
      <c r="AL311" s="68" t="str" cm="1">
        <f t="array" ref="AL311">CalculerNouvelleDate(V311,AK311)</f>
        <v/>
      </c>
      <c r="AM311" s="83" t="str" cm="1">
        <f t="array" ref="AM311">CorrespondanceDAte(X311:AL311,D312)</f>
        <v>0</v>
      </c>
      <c r="AN311" s="1"/>
      <c r="AO311" s="1"/>
      <c r="AP311" s="1"/>
      <c r="AQ311" s="1"/>
      <c r="AR311" s="1"/>
      <c r="AS311" s="1"/>
      <c r="AT311" s="1"/>
      <c r="AU311" s="1"/>
      <c r="AV311" s="1"/>
      <c r="AW311" s="1"/>
      <c r="AX311" s="1"/>
      <c r="AY311" s="1"/>
      <c r="AZ311" s="1"/>
      <c r="BA311" s="1"/>
    </row>
    <row r="312" spans="1:53" x14ac:dyDescent="0.3">
      <c r="A312" s="20" t="s">
        <v>68</v>
      </c>
      <c r="B312" s="19"/>
      <c r="C312" s="19"/>
      <c r="D312" s="19"/>
      <c r="E312" s="19"/>
      <c r="F312" s="22"/>
      <c r="G312" s="22"/>
      <c r="H312" s="43"/>
      <c r="I312" s="1"/>
      <c r="J312" s="1"/>
      <c r="K312" s="1"/>
      <c r="L312" s="1"/>
      <c r="M312" s="1"/>
      <c r="N312" s="1"/>
      <c r="O312" s="1"/>
      <c r="P312" s="1"/>
      <c r="Q312" s="1"/>
      <c r="R312" s="1"/>
      <c r="S312" s="1"/>
      <c r="T312" s="1"/>
      <c r="U312" s="1"/>
      <c r="V312" s="1"/>
      <c r="W312" s="11"/>
      <c r="X312" s="67"/>
      <c r="Y312" s="68" t="str" cm="1">
        <f t="array" ref="Y312">CalculerNouvelleDate(I312,X312)</f>
        <v/>
      </c>
      <c r="Z312" s="68" t="str" cm="1">
        <f t="array" ref="Z312">CalculerNouvelleDate(J312,Y312)</f>
        <v/>
      </c>
      <c r="AA312" s="68" t="str" cm="1">
        <f t="array" ref="AA312">CalculerNouvelleDate(K312,Z312)</f>
        <v/>
      </c>
      <c r="AB312" s="68" t="str" cm="1">
        <f t="array" ref="AB312">CalculerNouvelleDate(L312,AA312)</f>
        <v/>
      </c>
      <c r="AC312" s="68" t="str" cm="1">
        <f t="array" ref="AC312">CalculerNouvelleDate(M312,AB312)</f>
        <v/>
      </c>
      <c r="AD312" s="68" t="str" cm="1">
        <f t="array" ref="AD312">CalculerNouvelleDate(N312,AC312)</f>
        <v/>
      </c>
      <c r="AE312" s="68" t="str" cm="1">
        <f t="array" ref="AE312">CalculerNouvelleDate(O312,AD312)</f>
        <v/>
      </c>
      <c r="AF312" s="68" t="str" cm="1">
        <f t="array" ref="AF312">CalculerNouvelleDate(P312,AE312)</f>
        <v/>
      </c>
      <c r="AG312" s="68" t="str" cm="1">
        <f t="array" ref="AG312">CalculerNouvelleDate(Q312,AF312)</f>
        <v/>
      </c>
      <c r="AH312" s="68" t="str" cm="1">
        <f t="array" ref="AH312">CalculerNouvelleDate(R312,AG312)</f>
        <v/>
      </c>
      <c r="AI312" s="68" t="str" cm="1">
        <f t="array" ref="AI312">CalculerNouvelleDate(S312,AH312)</f>
        <v/>
      </c>
      <c r="AJ312" s="68" t="str" cm="1">
        <f t="array" ref="AJ312">CalculerNouvelleDate(T312,AI312)</f>
        <v/>
      </c>
      <c r="AK312" s="68" t="str" cm="1">
        <f t="array" ref="AK312">CalculerNouvelleDate(U312,AJ312)</f>
        <v/>
      </c>
      <c r="AL312" s="68" t="str" cm="1">
        <f t="array" ref="AL312">CalculerNouvelleDate(V312,AK312)</f>
        <v/>
      </c>
      <c r="AM312" s="83" t="str" cm="1">
        <f t="array" ref="AM312">CorrespondanceDAte(X312:AL312,D313)</f>
        <v>0</v>
      </c>
      <c r="AN312" s="1"/>
      <c r="AO312" s="1"/>
      <c r="AP312" s="1"/>
      <c r="AQ312" s="1"/>
      <c r="AR312" s="1"/>
      <c r="AS312" s="1"/>
      <c r="AT312" s="1"/>
      <c r="AU312" s="1"/>
      <c r="AV312" s="1"/>
      <c r="AW312" s="1"/>
      <c r="AX312" s="1"/>
      <c r="AY312" s="1"/>
      <c r="AZ312" s="1"/>
      <c r="BA312" s="1"/>
    </row>
    <row r="313" spans="1:53" x14ac:dyDescent="0.3">
      <c r="A313" s="1"/>
      <c r="B313" s="11">
        <v>1</v>
      </c>
      <c r="C313" s="1" t="s">
        <v>70</v>
      </c>
      <c r="D313" s="1"/>
      <c r="E313" s="1"/>
      <c r="F313" s="1"/>
      <c r="G313" s="1"/>
      <c r="H313" s="43"/>
      <c r="I313" s="1"/>
      <c r="J313" s="1"/>
      <c r="K313" s="1"/>
      <c r="L313" s="1"/>
      <c r="M313" s="1"/>
      <c r="N313" s="1"/>
      <c r="O313" s="1"/>
      <c r="P313" s="1"/>
      <c r="Q313" s="1"/>
      <c r="R313" s="1"/>
      <c r="S313" s="1"/>
      <c r="T313" s="1"/>
      <c r="U313" s="1"/>
      <c r="V313" s="1"/>
      <c r="W313" s="11"/>
      <c r="X313" s="67"/>
      <c r="Y313" s="68" t="str" cm="1">
        <f t="array" ref="Y313">CalculerNouvelleDate(I313,X313)</f>
        <v/>
      </c>
      <c r="Z313" s="68" t="str" cm="1">
        <f t="array" ref="Z313">CalculerNouvelleDate(J313,Y313)</f>
        <v/>
      </c>
      <c r="AA313" s="68" t="str" cm="1">
        <f t="array" ref="AA313">CalculerNouvelleDate(K313,Z313)</f>
        <v/>
      </c>
      <c r="AB313" s="68" t="str" cm="1">
        <f t="array" ref="AB313">CalculerNouvelleDate(L313,AA313)</f>
        <v/>
      </c>
      <c r="AC313" s="68" t="str" cm="1">
        <f t="array" ref="AC313">CalculerNouvelleDate(M313,AB313)</f>
        <v/>
      </c>
      <c r="AD313" s="68" t="str" cm="1">
        <f t="array" ref="AD313">CalculerNouvelleDate(N313,AC313)</f>
        <v/>
      </c>
      <c r="AE313" s="68" t="str" cm="1">
        <f t="array" ref="AE313">CalculerNouvelleDate(O313,AD313)</f>
        <v/>
      </c>
      <c r="AF313" s="68" t="str" cm="1">
        <f t="array" ref="AF313">CalculerNouvelleDate(P313,AE313)</f>
        <v/>
      </c>
      <c r="AG313" s="68" t="str" cm="1">
        <f t="array" ref="AG313">CalculerNouvelleDate(Q313,AF313)</f>
        <v/>
      </c>
      <c r="AH313" s="68" t="str" cm="1">
        <f t="array" ref="AH313">CalculerNouvelleDate(R313,AG313)</f>
        <v/>
      </c>
      <c r="AI313" s="68" t="str" cm="1">
        <f t="array" ref="AI313">CalculerNouvelleDate(S313,AH313)</f>
        <v/>
      </c>
      <c r="AJ313" s="68" t="str" cm="1">
        <f t="array" ref="AJ313">CalculerNouvelleDate(T313,AI313)</f>
        <v/>
      </c>
      <c r="AK313" s="68" t="str" cm="1">
        <f t="array" ref="AK313">CalculerNouvelleDate(U313,AJ313)</f>
        <v/>
      </c>
      <c r="AL313" s="68" t="str" cm="1">
        <f t="array" ref="AL313">CalculerNouvelleDate(V313,AK313)</f>
        <v/>
      </c>
      <c r="AM313" s="83" t="str" cm="1">
        <f t="array" ref="AM313">CorrespondanceDAte(X313:AL313,D314)</f>
        <v>0</v>
      </c>
      <c r="AN313" s="1"/>
      <c r="AO313" s="1"/>
      <c r="AP313" s="1"/>
      <c r="AQ313" s="1"/>
      <c r="AR313" s="1"/>
      <c r="AS313" s="1"/>
      <c r="AT313" s="1"/>
      <c r="AU313" s="1"/>
      <c r="AV313" s="1"/>
      <c r="AW313" s="1"/>
      <c r="AX313" s="1"/>
      <c r="AY313" s="1"/>
      <c r="AZ313" s="1"/>
      <c r="BA313" s="1"/>
    </row>
    <row r="314" spans="1:53" x14ac:dyDescent="0.3">
      <c r="A314" s="1"/>
      <c r="B314" s="11"/>
      <c r="C314" s="69" t="s">
        <v>531</v>
      </c>
      <c r="D314" s="1"/>
      <c r="E314" s="1"/>
      <c r="F314" s="1"/>
      <c r="G314" s="1"/>
      <c r="H314" s="43"/>
      <c r="I314" s="46"/>
      <c r="J314" s="46"/>
      <c r="K314" s="46"/>
      <c r="L314" s="46"/>
      <c r="M314" s="46"/>
      <c r="N314" s="46"/>
      <c r="O314" s="46"/>
      <c r="P314" s="46"/>
      <c r="Q314" s="46"/>
      <c r="R314" s="46"/>
      <c r="S314" s="46"/>
      <c r="T314" s="46"/>
      <c r="U314" s="46"/>
      <c r="V314" s="46"/>
      <c r="W314" s="62"/>
      <c r="X314" s="67"/>
      <c r="Y314" s="68" t="str" cm="1">
        <f t="array" ref="Y314">CalculerNouvelleDate(I314,X314)</f>
        <v/>
      </c>
      <c r="Z314" s="68" t="str" cm="1">
        <f t="array" ref="Z314">CalculerNouvelleDate(J314,Y314)</f>
        <v/>
      </c>
      <c r="AA314" s="68" t="str" cm="1">
        <f t="array" ref="AA314">CalculerNouvelleDate(K314,Z314)</f>
        <v/>
      </c>
      <c r="AB314" s="68" t="str" cm="1">
        <f t="array" ref="AB314">CalculerNouvelleDate(L314,AA314)</f>
        <v/>
      </c>
      <c r="AC314" s="68" t="str" cm="1">
        <f t="array" ref="AC314">CalculerNouvelleDate(M314,AB314)</f>
        <v/>
      </c>
      <c r="AD314" s="68" t="str" cm="1">
        <f t="array" ref="AD314">CalculerNouvelleDate(N314,AC314)</f>
        <v/>
      </c>
      <c r="AE314" s="68" t="str" cm="1">
        <f t="array" ref="AE314">CalculerNouvelleDate(O314,AD314)</f>
        <v/>
      </c>
      <c r="AF314" s="68" t="str" cm="1">
        <f t="array" ref="AF314">CalculerNouvelleDate(P314,AE314)</f>
        <v/>
      </c>
      <c r="AG314" s="68" t="str" cm="1">
        <f t="array" ref="AG314">CalculerNouvelleDate(Q314,AF314)</f>
        <v/>
      </c>
      <c r="AH314" s="68" t="str" cm="1">
        <f t="array" ref="AH314">CalculerNouvelleDate(R314,AG314)</f>
        <v/>
      </c>
      <c r="AI314" s="68" t="str" cm="1">
        <f t="array" ref="AI314">CalculerNouvelleDate(S314,AH314)</f>
        <v/>
      </c>
      <c r="AJ314" s="68" t="str" cm="1">
        <f t="array" ref="AJ314">CalculerNouvelleDate(T314,AI314)</f>
        <v/>
      </c>
      <c r="AK314" s="68" t="str" cm="1">
        <f t="array" ref="AK314">CalculerNouvelleDate(U314,AJ314)</f>
        <v/>
      </c>
      <c r="AL314" s="68" t="str" cm="1">
        <f t="array" ref="AL314">CalculerNouvelleDate(V314,AK314)</f>
        <v/>
      </c>
      <c r="AM314" s="83" t="str" cm="1">
        <f t="array" ref="AM314">CorrespondanceDAte(X314:AL314,D315)</f>
        <v>0</v>
      </c>
      <c r="AN314" s="1"/>
      <c r="AO314" s="1"/>
      <c r="AP314" s="1"/>
      <c r="AQ314" s="1"/>
      <c r="AR314" s="1"/>
      <c r="AS314" s="1"/>
      <c r="AT314" s="1"/>
      <c r="AU314" s="1"/>
      <c r="AV314" s="1"/>
      <c r="AW314" s="1"/>
      <c r="AX314" s="1"/>
      <c r="AY314" s="1"/>
      <c r="AZ314" s="1"/>
      <c r="BA314" s="1"/>
    </row>
    <row r="315" spans="1:53" x14ac:dyDescent="0.3">
      <c r="A315" s="1"/>
      <c r="B315" s="11"/>
      <c r="C315" s="69" t="s">
        <v>534</v>
      </c>
      <c r="D315" s="1"/>
      <c r="E315" s="1"/>
      <c r="F315" s="1"/>
      <c r="G315" s="1"/>
      <c r="H315" s="43"/>
      <c r="I315" s="46"/>
      <c r="J315" s="46"/>
      <c r="K315" s="46"/>
      <c r="L315" s="46"/>
      <c r="M315" s="46"/>
      <c r="N315" s="46"/>
      <c r="O315" s="46"/>
      <c r="P315" s="46"/>
      <c r="Q315" s="46"/>
      <c r="R315" s="46"/>
      <c r="S315" s="46"/>
      <c r="T315" s="46"/>
      <c r="U315" s="46"/>
      <c r="V315" s="46"/>
      <c r="W315" s="62"/>
      <c r="X315" s="67"/>
      <c r="Y315" s="68" t="str" cm="1">
        <f t="array" ref="Y315">CalculerNouvelleDate(I315,X315)</f>
        <v/>
      </c>
      <c r="Z315" s="68" t="str" cm="1">
        <f t="array" ref="Z315">CalculerNouvelleDate(J315,Y315)</f>
        <v/>
      </c>
      <c r="AA315" s="68" t="str" cm="1">
        <f t="array" ref="AA315">CalculerNouvelleDate(K315,Z315)</f>
        <v/>
      </c>
      <c r="AB315" s="68" t="str" cm="1">
        <f t="array" ref="AB315">CalculerNouvelleDate(L315,AA315)</f>
        <v/>
      </c>
      <c r="AC315" s="68" t="str" cm="1">
        <f t="array" ref="AC315">CalculerNouvelleDate(M315,AB315)</f>
        <v/>
      </c>
      <c r="AD315" s="68" t="str" cm="1">
        <f t="array" ref="AD315">CalculerNouvelleDate(N315,AC315)</f>
        <v/>
      </c>
      <c r="AE315" s="68" t="str" cm="1">
        <f t="array" ref="AE315">CalculerNouvelleDate(O315,AD315)</f>
        <v/>
      </c>
      <c r="AF315" s="68" t="str" cm="1">
        <f t="array" ref="AF315">CalculerNouvelleDate(P315,AE315)</f>
        <v/>
      </c>
      <c r="AG315" s="68" t="str" cm="1">
        <f t="array" ref="AG315">CalculerNouvelleDate(Q315,AF315)</f>
        <v/>
      </c>
      <c r="AH315" s="68" t="str" cm="1">
        <f t="array" ref="AH315">CalculerNouvelleDate(R315,AG315)</f>
        <v/>
      </c>
      <c r="AI315" s="68" t="str" cm="1">
        <f t="array" ref="AI315">CalculerNouvelleDate(S315,AH315)</f>
        <v/>
      </c>
      <c r="AJ315" s="68" t="str" cm="1">
        <f t="array" ref="AJ315">CalculerNouvelleDate(T315,AI315)</f>
        <v/>
      </c>
      <c r="AK315" s="68" t="str" cm="1">
        <f t="array" ref="AK315">CalculerNouvelleDate(U315,AJ315)</f>
        <v/>
      </c>
      <c r="AL315" s="68" t="str" cm="1">
        <f t="array" ref="AL315">CalculerNouvelleDate(V315,AK315)</f>
        <v/>
      </c>
      <c r="AM315" s="83" t="str" cm="1">
        <f t="array" ref="AM315">CorrespondanceDAte(X315:AL315,D316)</f>
        <v>0</v>
      </c>
      <c r="AN315" s="1"/>
      <c r="AO315" s="1"/>
      <c r="AP315" s="1"/>
      <c r="AQ315" s="1"/>
      <c r="AR315" s="1"/>
      <c r="AS315" s="1"/>
      <c r="AT315" s="1"/>
      <c r="AU315" s="1"/>
      <c r="AV315" s="1"/>
      <c r="AW315" s="1"/>
      <c r="AX315" s="1"/>
      <c r="AY315" s="1"/>
      <c r="AZ315" s="1"/>
      <c r="BA315" s="1"/>
    </row>
    <row r="316" spans="1:53" x14ac:dyDescent="0.3">
      <c r="A316" s="1"/>
      <c r="B316" s="11">
        <v>2</v>
      </c>
      <c r="C316" s="1" t="s">
        <v>71</v>
      </c>
      <c r="D316" s="1"/>
      <c r="E316" s="1"/>
      <c r="F316" s="1"/>
      <c r="G316" s="1"/>
      <c r="H316" s="43"/>
      <c r="I316" s="1"/>
      <c r="J316" s="1"/>
      <c r="K316" s="1"/>
      <c r="L316" s="1"/>
      <c r="M316" s="1"/>
      <c r="N316" s="1"/>
      <c r="O316" s="1"/>
      <c r="P316" s="1"/>
      <c r="Q316" s="1"/>
      <c r="R316" s="1"/>
      <c r="S316" s="1"/>
      <c r="T316" s="1"/>
      <c r="U316" s="1"/>
      <c r="V316" s="1"/>
      <c r="W316" s="11"/>
      <c r="X316" s="67"/>
      <c r="Y316" s="68" t="str" cm="1">
        <f t="array" ref="Y316">CalculerNouvelleDate(I316,X316)</f>
        <v/>
      </c>
      <c r="Z316" s="68" t="str" cm="1">
        <f t="array" ref="Z316">CalculerNouvelleDate(J316,Y316)</f>
        <v/>
      </c>
      <c r="AA316" s="68" t="str" cm="1">
        <f t="array" ref="AA316">CalculerNouvelleDate(K316,Z316)</f>
        <v/>
      </c>
      <c r="AB316" s="68" t="str" cm="1">
        <f t="array" ref="AB316">CalculerNouvelleDate(L316,AA316)</f>
        <v/>
      </c>
      <c r="AC316" s="68" t="str" cm="1">
        <f t="array" ref="AC316">CalculerNouvelleDate(M316,AB316)</f>
        <v/>
      </c>
      <c r="AD316" s="68" t="str" cm="1">
        <f t="array" ref="AD316">CalculerNouvelleDate(N316,AC316)</f>
        <v/>
      </c>
      <c r="AE316" s="68" t="str" cm="1">
        <f t="array" ref="AE316">CalculerNouvelleDate(O316,AD316)</f>
        <v/>
      </c>
      <c r="AF316" s="68" t="str" cm="1">
        <f t="array" ref="AF316">CalculerNouvelleDate(P316,AE316)</f>
        <v/>
      </c>
      <c r="AG316" s="68" t="str" cm="1">
        <f t="array" ref="AG316">CalculerNouvelleDate(Q316,AF316)</f>
        <v/>
      </c>
      <c r="AH316" s="68" t="str" cm="1">
        <f t="array" ref="AH316">CalculerNouvelleDate(R316,AG316)</f>
        <v/>
      </c>
      <c r="AI316" s="68" t="str" cm="1">
        <f t="array" ref="AI316">CalculerNouvelleDate(S316,AH316)</f>
        <v/>
      </c>
      <c r="AJ316" s="68" t="str" cm="1">
        <f t="array" ref="AJ316">CalculerNouvelleDate(T316,AI316)</f>
        <v/>
      </c>
      <c r="AK316" s="68" t="str" cm="1">
        <f t="array" ref="AK316">CalculerNouvelleDate(U316,AJ316)</f>
        <v/>
      </c>
      <c r="AL316" s="68" t="str" cm="1">
        <f t="array" ref="AL316">CalculerNouvelleDate(V316,AK316)</f>
        <v/>
      </c>
      <c r="AM316" s="83" t="str" cm="1">
        <f t="array" ref="AM316">CorrespondanceDAte(X316:AL316,D317)</f>
        <v>0</v>
      </c>
      <c r="AN316" s="1"/>
      <c r="AO316" s="1"/>
      <c r="AP316" s="1"/>
      <c r="AQ316" s="1"/>
      <c r="AR316" s="1"/>
      <c r="AS316" s="1"/>
      <c r="AT316" s="1"/>
      <c r="AU316" s="1"/>
      <c r="AV316" s="1"/>
      <c r="AW316" s="1"/>
      <c r="AX316" s="1"/>
      <c r="AY316" s="1"/>
      <c r="AZ316" s="1"/>
      <c r="BA316" s="1"/>
    </row>
    <row r="317" spans="1:53" x14ac:dyDescent="0.3">
      <c r="A317" s="1"/>
      <c r="B317" s="11"/>
      <c r="C317" s="69" t="s">
        <v>533</v>
      </c>
      <c r="D317" s="1"/>
      <c r="E317" s="1"/>
      <c r="F317" s="1"/>
      <c r="G317" s="1"/>
      <c r="H317" s="43"/>
      <c r="I317" s="46"/>
      <c r="J317" s="46"/>
      <c r="K317" s="46"/>
      <c r="L317" s="46"/>
      <c r="M317" s="46"/>
      <c r="N317" s="46"/>
      <c r="O317" s="46"/>
      <c r="P317" s="46"/>
      <c r="Q317" s="46"/>
      <c r="R317" s="46"/>
      <c r="S317" s="46"/>
      <c r="T317" s="46"/>
      <c r="U317" s="46"/>
      <c r="V317" s="46"/>
      <c r="W317" s="62"/>
      <c r="X317" s="67"/>
      <c r="Y317" s="68" t="str" cm="1">
        <f t="array" ref="Y317">CalculerNouvelleDate(I317,X317)</f>
        <v/>
      </c>
      <c r="Z317" s="68" t="str" cm="1">
        <f t="array" ref="Z317">CalculerNouvelleDate(J317,Y317)</f>
        <v/>
      </c>
      <c r="AA317" s="68" t="str" cm="1">
        <f t="array" ref="AA317">CalculerNouvelleDate(K317,Z317)</f>
        <v/>
      </c>
      <c r="AB317" s="68" t="str" cm="1">
        <f t="array" ref="AB317">CalculerNouvelleDate(L317,AA317)</f>
        <v/>
      </c>
      <c r="AC317" s="68" t="str" cm="1">
        <f t="array" ref="AC317">CalculerNouvelleDate(M317,AB317)</f>
        <v/>
      </c>
      <c r="AD317" s="68" t="str" cm="1">
        <f t="array" ref="AD317">CalculerNouvelleDate(N317,AC317)</f>
        <v/>
      </c>
      <c r="AE317" s="68" t="str" cm="1">
        <f t="array" ref="AE317">CalculerNouvelleDate(O317,AD317)</f>
        <v/>
      </c>
      <c r="AF317" s="68" t="str" cm="1">
        <f t="array" ref="AF317">CalculerNouvelleDate(P317,AE317)</f>
        <v/>
      </c>
      <c r="AG317" s="68" t="str" cm="1">
        <f t="array" ref="AG317">CalculerNouvelleDate(Q317,AF317)</f>
        <v/>
      </c>
      <c r="AH317" s="68" t="str" cm="1">
        <f t="array" ref="AH317">CalculerNouvelleDate(R317,AG317)</f>
        <v/>
      </c>
      <c r="AI317" s="68" t="str" cm="1">
        <f t="array" ref="AI317">CalculerNouvelleDate(S317,AH317)</f>
        <v/>
      </c>
      <c r="AJ317" s="68" t="str" cm="1">
        <f t="array" ref="AJ317">CalculerNouvelleDate(T317,AI317)</f>
        <v/>
      </c>
      <c r="AK317" s="68" t="str" cm="1">
        <f t="array" ref="AK317">CalculerNouvelleDate(U317,AJ317)</f>
        <v/>
      </c>
      <c r="AL317" s="68" t="str" cm="1">
        <f t="array" ref="AL317">CalculerNouvelleDate(V317,AK317)</f>
        <v/>
      </c>
      <c r="AM317" s="83" t="str" cm="1">
        <f t="array" ref="AM317">CorrespondanceDAte(X317:AL317,D318)</f>
        <v>0</v>
      </c>
      <c r="AN317" s="1"/>
      <c r="AO317" s="1"/>
      <c r="AP317" s="1"/>
      <c r="AQ317" s="1"/>
      <c r="AR317" s="1"/>
      <c r="AS317" s="1"/>
      <c r="AT317" s="1"/>
      <c r="AU317" s="1"/>
      <c r="AV317" s="1"/>
      <c r="AW317" s="1"/>
      <c r="AX317" s="1"/>
      <c r="AY317" s="1"/>
      <c r="AZ317" s="1"/>
      <c r="BA317" s="1"/>
    </row>
    <row r="318" spans="1:53" x14ac:dyDescent="0.3">
      <c r="A318" s="1"/>
      <c r="B318" s="11"/>
      <c r="C318" s="69" t="s">
        <v>535</v>
      </c>
      <c r="D318" s="1"/>
      <c r="E318" s="1"/>
      <c r="F318" s="1"/>
      <c r="G318" s="1"/>
      <c r="H318" s="43"/>
      <c r="I318" s="46"/>
      <c r="J318" s="46"/>
      <c r="K318" s="46"/>
      <c r="L318" s="46"/>
      <c r="M318" s="46"/>
      <c r="N318" s="46"/>
      <c r="O318" s="46"/>
      <c r="P318" s="46"/>
      <c r="Q318" s="46"/>
      <c r="R318" s="46"/>
      <c r="S318" s="46"/>
      <c r="T318" s="46"/>
      <c r="U318" s="46"/>
      <c r="V318" s="46"/>
      <c r="W318" s="62"/>
      <c r="X318" s="67"/>
      <c r="Y318" s="68" t="str" cm="1">
        <f t="array" ref="Y318">CalculerNouvelleDate(I318,X318)</f>
        <v/>
      </c>
      <c r="Z318" s="68" t="str" cm="1">
        <f t="array" ref="Z318">CalculerNouvelleDate(J318,Y318)</f>
        <v/>
      </c>
      <c r="AA318" s="68" t="str" cm="1">
        <f t="array" ref="AA318">CalculerNouvelleDate(K318,Z318)</f>
        <v/>
      </c>
      <c r="AB318" s="68" t="str" cm="1">
        <f t="array" ref="AB318">CalculerNouvelleDate(L318,AA318)</f>
        <v/>
      </c>
      <c r="AC318" s="68" t="str" cm="1">
        <f t="array" ref="AC318">CalculerNouvelleDate(M318,AB318)</f>
        <v/>
      </c>
      <c r="AD318" s="68" t="str" cm="1">
        <f t="array" ref="AD318">CalculerNouvelleDate(N318,AC318)</f>
        <v/>
      </c>
      <c r="AE318" s="68" t="str" cm="1">
        <f t="array" ref="AE318">CalculerNouvelleDate(O318,AD318)</f>
        <v/>
      </c>
      <c r="AF318" s="68" t="str" cm="1">
        <f t="array" ref="AF318">CalculerNouvelleDate(P318,AE318)</f>
        <v/>
      </c>
      <c r="AG318" s="68" t="str" cm="1">
        <f t="array" ref="AG318">CalculerNouvelleDate(Q318,AF318)</f>
        <v/>
      </c>
      <c r="AH318" s="68" t="str" cm="1">
        <f t="array" ref="AH318">CalculerNouvelleDate(R318,AG318)</f>
        <v/>
      </c>
      <c r="AI318" s="68" t="str" cm="1">
        <f t="array" ref="AI318">CalculerNouvelleDate(S318,AH318)</f>
        <v/>
      </c>
      <c r="AJ318" s="68" t="str" cm="1">
        <f t="array" ref="AJ318">CalculerNouvelleDate(T318,AI318)</f>
        <v/>
      </c>
      <c r="AK318" s="68" t="str" cm="1">
        <f t="array" ref="AK318">CalculerNouvelleDate(U318,AJ318)</f>
        <v/>
      </c>
      <c r="AL318" s="68" t="str" cm="1">
        <f t="array" ref="AL318">CalculerNouvelleDate(V318,AK318)</f>
        <v/>
      </c>
      <c r="AM318" s="83" t="str" cm="1">
        <f t="array" ref="AM318">CorrespondanceDAte(X318:AL318,D319)</f>
        <v>0</v>
      </c>
      <c r="AN318" s="1"/>
      <c r="AO318" s="1"/>
      <c r="AP318" s="1"/>
      <c r="AQ318" s="1"/>
      <c r="AR318" s="1"/>
      <c r="AS318" s="1"/>
      <c r="AT318" s="1"/>
      <c r="AU318" s="1"/>
      <c r="AV318" s="1"/>
      <c r="AW318" s="1"/>
      <c r="AX318" s="1"/>
      <c r="AY318" s="1"/>
      <c r="AZ318" s="1"/>
      <c r="BA318" s="1"/>
    </row>
    <row r="319" spans="1:53" x14ac:dyDescent="0.3">
      <c r="A319" s="1"/>
      <c r="B319" s="11"/>
      <c r="C319" s="69" t="s">
        <v>545</v>
      </c>
      <c r="D319" s="1"/>
      <c r="E319" s="1"/>
      <c r="F319" s="1"/>
      <c r="G319" s="1"/>
      <c r="H319" s="43"/>
      <c r="I319" s="46"/>
      <c r="J319" s="46"/>
      <c r="K319" s="46"/>
      <c r="L319" s="46"/>
      <c r="M319" s="46"/>
      <c r="N319" s="46"/>
      <c r="O319" s="46"/>
      <c r="P319" s="46"/>
      <c r="Q319" s="46"/>
      <c r="R319" s="46"/>
      <c r="S319" s="46"/>
      <c r="T319" s="46"/>
      <c r="U319" s="46"/>
      <c r="V319" s="46"/>
      <c r="W319" s="62"/>
      <c r="X319" s="67"/>
      <c r="Y319" s="68" t="str" cm="1">
        <f t="array" ref="Y319">CalculerNouvelleDate(I319,X319)</f>
        <v/>
      </c>
      <c r="Z319" s="68" t="str" cm="1">
        <f t="array" ref="Z319">CalculerNouvelleDate(J319,Y319)</f>
        <v/>
      </c>
      <c r="AA319" s="68" t="str" cm="1">
        <f t="array" ref="AA319">CalculerNouvelleDate(K319,Z319)</f>
        <v/>
      </c>
      <c r="AB319" s="68" t="str" cm="1">
        <f t="array" ref="AB319">CalculerNouvelleDate(L319,AA319)</f>
        <v/>
      </c>
      <c r="AC319" s="68" t="str" cm="1">
        <f t="array" ref="AC319">CalculerNouvelleDate(M319,AB319)</f>
        <v/>
      </c>
      <c r="AD319" s="68" t="str" cm="1">
        <f t="array" ref="AD319">CalculerNouvelleDate(N319,AC319)</f>
        <v/>
      </c>
      <c r="AE319" s="68" t="str" cm="1">
        <f t="array" ref="AE319">CalculerNouvelleDate(O319,AD319)</f>
        <v/>
      </c>
      <c r="AF319" s="68" t="str" cm="1">
        <f t="array" ref="AF319">CalculerNouvelleDate(P319,AE319)</f>
        <v/>
      </c>
      <c r="AG319" s="68" t="str" cm="1">
        <f t="array" ref="AG319">CalculerNouvelleDate(Q319,AF319)</f>
        <v/>
      </c>
      <c r="AH319" s="68" t="str" cm="1">
        <f t="array" ref="AH319">CalculerNouvelleDate(R319,AG319)</f>
        <v/>
      </c>
      <c r="AI319" s="68" t="str" cm="1">
        <f t="array" ref="AI319">CalculerNouvelleDate(S319,AH319)</f>
        <v/>
      </c>
      <c r="AJ319" s="68" t="str" cm="1">
        <f t="array" ref="AJ319">CalculerNouvelleDate(T319,AI319)</f>
        <v/>
      </c>
      <c r="AK319" s="68" t="str" cm="1">
        <f t="array" ref="AK319">CalculerNouvelleDate(U319,AJ319)</f>
        <v/>
      </c>
      <c r="AL319" s="68" t="str" cm="1">
        <f t="array" ref="AL319">CalculerNouvelleDate(V319,AK319)</f>
        <v/>
      </c>
      <c r="AM319" s="83" t="str" cm="1">
        <f t="array" ref="AM319">CorrespondanceDAte(X319:AL319,D320)</f>
        <v>0</v>
      </c>
      <c r="AN319" s="1"/>
      <c r="AO319" s="1"/>
      <c r="AP319" s="1"/>
      <c r="AQ319" s="1"/>
      <c r="AR319" s="1"/>
      <c r="AS319" s="1"/>
      <c r="AT319" s="1"/>
      <c r="AU319" s="1"/>
      <c r="AV319" s="1"/>
      <c r="AW319" s="1"/>
      <c r="AX319" s="1"/>
      <c r="AY319" s="1"/>
      <c r="AZ319" s="1"/>
      <c r="BA319" s="1"/>
    </row>
    <row r="320" spans="1:53" x14ac:dyDescent="0.3">
      <c r="A320" s="1"/>
      <c r="B320" s="11">
        <v>3</v>
      </c>
      <c r="C320" s="1" t="s">
        <v>72</v>
      </c>
      <c r="D320" s="1"/>
      <c r="E320" s="1"/>
      <c r="F320" s="1"/>
      <c r="G320" s="1"/>
      <c r="H320" s="43"/>
      <c r="I320" s="1"/>
      <c r="J320" s="1"/>
      <c r="K320" s="1"/>
      <c r="L320" s="1"/>
      <c r="M320" s="1"/>
      <c r="N320" s="1"/>
      <c r="O320" s="1"/>
      <c r="P320" s="1"/>
      <c r="Q320" s="1"/>
      <c r="R320" s="1"/>
      <c r="S320" s="1"/>
      <c r="T320" s="1"/>
      <c r="U320" s="1"/>
      <c r="V320" s="1"/>
      <c r="W320" s="11"/>
      <c r="X320" s="67"/>
      <c r="Y320" s="68" t="str" cm="1">
        <f t="array" ref="Y320">CalculerNouvelleDate(I320,X320)</f>
        <v/>
      </c>
      <c r="Z320" s="68" t="str" cm="1">
        <f t="array" ref="Z320">CalculerNouvelleDate(J320,Y320)</f>
        <v/>
      </c>
      <c r="AA320" s="68" t="str" cm="1">
        <f t="array" ref="AA320">CalculerNouvelleDate(K320,Z320)</f>
        <v/>
      </c>
      <c r="AB320" s="68" t="str" cm="1">
        <f t="array" ref="AB320">CalculerNouvelleDate(L320,AA320)</f>
        <v/>
      </c>
      <c r="AC320" s="68" t="str" cm="1">
        <f t="array" ref="AC320">CalculerNouvelleDate(M320,AB320)</f>
        <v/>
      </c>
      <c r="AD320" s="68" t="str" cm="1">
        <f t="array" ref="AD320">CalculerNouvelleDate(N320,AC320)</f>
        <v/>
      </c>
      <c r="AE320" s="68" t="str" cm="1">
        <f t="array" ref="AE320">CalculerNouvelleDate(O320,AD320)</f>
        <v/>
      </c>
      <c r="AF320" s="68" t="str" cm="1">
        <f t="array" ref="AF320">CalculerNouvelleDate(P320,AE320)</f>
        <v/>
      </c>
      <c r="AG320" s="68" t="str" cm="1">
        <f t="array" ref="AG320">CalculerNouvelleDate(Q320,AF320)</f>
        <v/>
      </c>
      <c r="AH320" s="68" t="str" cm="1">
        <f t="array" ref="AH320">CalculerNouvelleDate(R320,AG320)</f>
        <v/>
      </c>
      <c r="AI320" s="68" t="str" cm="1">
        <f t="array" ref="AI320">CalculerNouvelleDate(S320,AH320)</f>
        <v/>
      </c>
      <c r="AJ320" s="68" t="str" cm="1">
        <f t="array" ref="AJ320">CalculerNouvelleDate(T320,AI320)</f>
        <v/>
      </c>
      <c r="AK320" s="68" t="str" cm="1">
        <f t="array" ref="AK320">CalculerNouvelleDate(U320,AJ320)</f>
        <v/>
      </c>
      <c r="AL320" s="68" t="str" cm="1">
        <f t="array" ref="AL320">CalculerNouvelleDate(V320,AK320)</f>
        <v/>
      </c>
      <c r="AM320" s="83" t="str" cm="1">
        <f t="array" ref="AM320">CorrespondanceDAte(X320:AL320,D321)</f>
        <v>0</v>
      </c>
      <c r="AN320" s="1"/>
      <c r="AO320" s="1"/>
      <c r="AP320" s="1"/>
      <c r="AQ320" s="1"/>
      <c r="AR320" s="1"/>
      <c r="AS320" s="1"/>
      <c r="AT320" s="1"/>
      <c r="AU320" s="1"/>
      <c r="AV320" s="1"/>
      <c r="AW320" s="1"/>
      <c r="AX320" s="1"/>
      <c r="AY320" s="1"/>
      <c r="AZ320" s="1"/>
      <c r="BA320" s="1"/>
    </row>
    <row r="321" spans="1:53" x14ac:dyDescent="0.3">
      <c r="A321" s="1"/>
      <c r="B321" s="11"/>
      <c r="C321" s="69" t="s">
        <v>549</v>
      </c>
      <c r="D321" s="1"/>
      <c r="E321" s="1"/>
      <c r="F321" s="1"/>
      <c r="G321" s="1"/>
      <c r="H321" s="43"/>
      <c r="I321" s="46"/>
      <c r="J321" s="46"/>
      <c r="K321" s="46"/>
      <c r="L321" s="46"/>
      <c r="M321" s="46"/>
      <c r="N321" s="46"/>
      <c r="O321" s="46"/>
      <c r="P321" s="46"/>
      <c r="Q321" s="46"/>
      <c r="R321" s="46"/>
      <c r="S321" s="46"/>
      <c r="T321" s="46"/>
      <c r="U321" s="46"/>
      <c r="V321" s="46"/>
      <c r="W321" s="62"/>
      <c r="X321" s="67"/>
      <c r="Y321" s="68" t="str" cm="1">
        <f t="array" ref="Y321">CalculerNouvelleDate(I321,X321)</f>
        <v/>
      </c>
      <c r="Z321" s="68" t="str" cm="1">
        <f t="array" ref="Z321">CalculerNouvelleDate(J321,Y321)</f>
        <v/>
      </c>
      <c r="AA321" s="68" t="str" cm="1">
        <f t="array" ref="AA321">CalculerNouvelleDate(K321,Z321)</f>
        <v/>
      </c>
      <c r="AB321" s="68" t="str" cm="1">
        <f t="array" ref="AB321">CalculerNouvelleDate(L321,AA321)</f>
        <v/>
      </c>
      <c r="AC321" s="68" t="str" cm="1">
        <f t="array" ref="AC321">CalculerNouvelleDate(M321,AB321)</f>
        <v/>
      </c>
      <c r="AD321" s="68" t="str" cm="1">
        <f t="array" ref="AD321">CalculerNouvelleDate(N321,AC321)</f>
        <v/>
      </c>
      <c r="AE321" s="68" t="str" cm="1">
        <f t="array" ref="AE321">CalculerNouvelleDate(O321,AD321)</f>
        <v/>
      </c>
      <c r="AF321" s="68" t="str" cm="1">
        <f t="array" ref="AF321">CalculerNouvelleDate(P321,AE321)</f>
        <v/>
      </c>
      <c r="AG321" s="68" t="str" cm="1">
        <f t="array" ref="AG321">CalculerNouvelleDate(Q321,AF321)</f>
        <v/>
      </c>
      <c r="AH321" s="68" t="str" cm="1">
        <f t="array" ref="AH321">CalculerNouvelleDate(R321,AG321)</f>
        <v/>
      </c>
      <c r="AI321" s="68" t="str" cm="1">
        <f t="array" ref="AI321">CalculerNouvelleDate(S321,AH321)</f>
        <v/>
      </c>
      <c r="AJ321" s="68" t="str" cm="1">
        <f t="array" ref="AJ321">CalculerNouvelleDate(T321,AI321)</f>
        <v/>
      </c>
      <c r="AK321" s="68" t="str" cm="1">
        <f t="array" ref="AK321">CalculerNouvelleDate(U321,AJ321)</f>
        <v/>
      </c>
      <c r="AL321" s="68" t="str" cm="1">
        <f t="array" ref="AL321">CalculerNouvelleDate(V321,AK321)</f>
        <v/>
      </c>
      <c r="AM321" s="83" t="str" cm="1">
        <f t="array" ref="AM321">CorrespondanceDAte(X321:AL321,D322)</f>
        <v>0</v>
      </c>
      <c r="AN321" s="1"/>
      <c r="AO321" s="1"/>
      <c r="AP321" s="1"/>
      <c r="AQ321" s="1"/>
      <c r="AR321" s="1"/>
      <c r="AS321" s="1"/>
      <c r="AT321" s="1"/>
      <c r="AU321" s="1"/>
      <c r="AV321" s="1"/>
      <c r="AW321" s="1"/>
      <c r="AX321" s="1"/>
      <c r="AY321" s="1"/>
      <c r="AZ321" s="1"/>
      <c r="BA321" s="1"/>
    </row>
    <row r="322" spans="1:53" x14ac:dyDescent="0.3">
      <c r="A322" s="1"/>
      <c r="B322" s="11"/>
      <c r="C322" s="69" t="s">
        <v>536</v>
      </c>
      <c r="D322" s="1"/>
      <c r="E322" s="1"/>
      <c r="F322" s="1"/>
      <c r="G322" s="1"/>
      <c r="H322" s="43"/>
      <c r="I322" s="46"/>
      <c r="J322" s="46"/>
      <c r="K322" s="46"/>
      <c r="L322" s="46"/>
      <c r="M322" s="46"/>
      <c r="N322" s="46"/>
      <c r="O322" s="46"/>
      <c r="P322" s="46"/>
      <c r="Q322" s="46"/>
      <c r="R322" s="46"/>
      <c r="S322" s="46"/>
      <c r="T322" s="46"/>
      <c r="U322" s="46"/>
      <c r="V322" s="46"/>
      <c r="W322" s="62"/>
      <c r="X322" s="67"/>
      <c r="Y322" s="68" t="str" cm="1">
        <f t="array" ref="Y322">CalculerNouvelleDate(I322,X322)</f>
        <v/>
      </c>
      <c r="Z322" s="68" t="str" cm="1">
        <f t="array" ref="Z322">CalculerNouvelleDate(J322,Y322)</f>
        <v/>
      </c>
      <c r="AA322" s="68" t="str" cm="1">
        <f t="array" ref="AA322">CalculerNouvelleDate(K322,Z322)</f>
        <v/>
      </c>
      <c r="AB322" s="68" t="str" cm="1">
        <f t="array" ref="AB322">CalculerNouvelleDate(L322,AA322)</f>
        <v/>
      </c>
      <c r="AC322" s="68" t="str" cm="1">
        <f t="array" ref="AC322">CalculerNouvelleDate(M322,AB322)</f>
        <v/>
      </c>
      <c r="AD322" s="68" t="str" cm="1">
        <f t="array" ref="AD322">CalculerNouvelleDate(N322,AC322)</f>
        <v/>
      </c>
      <c r="AE322" s="68" t="str" cm="1">
        <f t="array" ref="AE322">CalculerNouvelleDate(O322,AD322)</f>
        <v/>
      </c>
      <c r="AF322" s="68" t="str" cm="1">
        <f t="array" ref="AF322">CalculerNouvelleDate(P322,AE322)</f>
        <v/>
      </c>
      <c r="AG322" s="68" t="str" cm="1">
        <f t="array" ref="AG322">CalculerNouvelleDate(Q322,AF322)</f>
        <v/>
      </c>
      <c r="AH322" s="68" t="str" cm="1">
        <f t="array" ref="AH322">CalculerNouvelleDate(R322,AG322)</f>
        <v/>
      </c>
      <c r="AI322" s="68" t="str" cm="1">
        <f t="array" ref="AI322">CalculerNouvelleDate(S322,AH322)</f>
        <v/>
      </c>
      <c r="AJ322" s="68" t="str" cm="1">
        <f t="array" ref="AJ322">CalculerNouvelleDate(T322,AI322)</f>
        <v/>
      </c>
      <c r="AK322" s="68" t="str" cm="1">
        <f t="array" ref="AK322">CalculerNouvelleDate(U322,AJ322)</f>
        <v/>
      </c>
      <c r="AL322" s="68" t="str" cm="1">
        <f t="array" ref="AL322">CalculerNouvelleDate(V322,AK322)</f>
        <v/>
      </c>
      <c r="AM322" s="83" t="str" cm="1">
        <f t="array" ref="AM322">CorrespondanceDAte(X322:AL322,D323)</f>
        <v>0</v>
      </c>
      <c r="AN322" s="1"/>
      <c r="AO322" s="1"/>
      <c r="AP322" s="1"/>
      <c r="AQ322" s="1"/>
      <c r="AR322" s="1"/>
      <c r="AS322" s="1"/>
      <c r="AT322" s="1"/>
      <c r="AU322" s="1"/>
      <c r="AV322" s="1"/>
      <c r="AW322" s="1"/>
      <c r="AX322" s="1"/>
      <c r="AY322" s="1"/>
      <c r="AZ322" s="1"/>
      <c r="BA322" s="1"/>
    </row>
    <row r="323" spans="1:53" x14ac:dyDescent="0.3">
      <c r="A323" s="1"/>
      <c r="B323" s="11"/>
      <c r="C323" s="69" t="s">
        <v>550</v>
      </c>
      <c r="D323" s="1"/>
      <c r="E323" s="1"/>
      <c r="F323" s="1"/>
      <c r="G323" s="1"/>
      <c r="H323" s="43"/>
      <c r="I323" s="46"/>
      <c r="J323" s="46"/>
      <c r="K323" s="46"/>
      <c r="L323" s="46"/>
      <c r="M323" s="46"/>
      <c r="N323" s="46"/>
      <c r="O323" s="46"/>
      <c r="P323" s="46"/>
      <c r="Q323" s="46"/>
      <c r="R323" s="46"/>
      <c r="S323" s="46"/>
      <c r="T323" s="46"/>
      <c r="U323" s="46"/>
      <c r="V323" s="46"/>
      <c r="W323" s="62"/>
      <c r="X323" s="67"/>
      <c r="Y323" s="68" t="str" cm="1">
        <f t="array" ref="Y323">CalculerNouvelleDate(I323,X323)</f>
        <v/>
      </c>
      <c r="Z323" s="68" t="str" cm="1">
        <f t="array" ref="Z323">CalculerNouvelleDate(J323,Y323)</f>
        <v/>
      </c>
      <c r="AA323" s="68" t="str" cm="1">
        <f t="array" ref="AA323">CalculerNouvelleDate(K323,Z323)</f>
        <v/>
      </c>
      <c r="AB323" s="68" t="str" cm="1">
        <f t="array" ref="AB323">CalculerNouvelleDate(L323,AA323)</f>
        <v/>
      </c>
      <c r="AC323" s="68" t="str" cm="1">
        <f t="array" ref="AC323">CalculerNouvelleDate(M323,AB323)</f>
        <v/>
      </c>
      <c r="AD323" s="68" t="str" cm="1">
        <f t="array" ref="AD323">CalculerNouvelleDate(N323,AC323)</f>
        <v/>
      </c>
      <c r="AE323" s="68" t="str" cm="1">
        <f t="array" ref="AE323">CalculerNouvelleDate(O323,AD323)</f>
        <v/>
      </c>
      <c r="AF323" s="68" t="str" cm="1">
        <f t="array" ref="AF323">CalculerNouvelleDate(P323,AE323)</f>
        <v/>
      </c>
      <c r="AG323" s="68" t="str" cm="1">
        <f t="array" ref="AG323">CalculerNouvelleDate(Q323,AF323)</f>
        <v/>
      </c>
      <c r="AH323" s="68" t="str" cm="1">
        <f t="array" ref="AH323">CalculerNouvelleDate(R323,AG323)</f>
        <v/>
      </c>
      <c r="AI323" s="68" t="str" cm="1">
        <f t="array" ref="AI323">CalculerNouvelleDate(S323,AH323)</f>
        <v/>
      </c>
      <c r="AJ323" s="68" t="str" cm="1">
        <f t="array" ref="AJ323">CalculerNouvelleDate(T323,AI323)</f>
        <v/>
      </c>
      <c r="AK323" s="68" t="str" cm="1">
        <f t="array" ref="AK323">CalculerNouvelleDate(U323,AJ323)</f>
        <v/>
      </c>
      <c r="AL323" s="68" t="str" cm="1">
        <f t="array" ref="AL323">CalculerNouvelleDate(V323,AK323)</f>
        <v/>
      </c>
      <c r="AM323" s="83" t="str" cm="1">
        <f t="array" ref="AM323">CorrespondanceDAte(X323:AL323,D324)</f>
        <v>0</v>
      </c>
      <c r="AN323" s="1"/>
      <c r="AO323" s="1"/>
      <c r="AP323" s="1"/>
      <c r="AQ323" s="1"/>
      <c r="AR323" s="1"/>
      <c r="AS323" s="1"/>
      <c r="AT323" s="1"/>
      <c r="AU323" s="1"/>
      <c r="AV323" s="1"/>
      <c r="AW323" s="1"/>
      <c r="AX323" s="1"/>
      <c r="AY323" s="1"/>
      <c r="AZ323" s="1"/>
      <c r="BA323" s="1"/>
    </row>
    <row r="324" spans="1:53" x14ac:dyDescent="0.3">
      <c r="A324" s="1"/>
      <c r="B324" s="11">
        <v>4</v>
      </c>
      <c r="C324" s="1" t="s">
        <v>73</v>
      </c>
      <c r="D324" s="1"/>
      <c r="E324" s="1"/>
      <c r="F324" s="1"/>
      <c r="G324" s="1"/>
      <c r="H324" s="43"/>
      <c r="I324" s="1"/>
      <c r="J324" s="1"/>
      <c r="K324" s="1"/>
      <c r="L324" s="1"/>
      <c r="M324" s="1"/>
      <c r="N324" s="1"/>
      <c r="O324" s="1"/>
      <c r="P324" s="1"/>
      <c r="Q324" s="1"/>
      <c r="R324" s="1"/>
      <c r="S324" s="1"/>
      <c r="T324" s="1"/>
      <c r="U324" s="1"/>
      <c r="V324" s="1"/>
      <c r="W324" s="11"/>
      <c r="X324" s="67"/>
      <c r="Y324" s="68" t="str" cm="1">
        <f t="array" ref="Y324">CalculerNouvelleDate(I324,X324)</f>
        <v/>
      </c>
      <c r="Z324" s="68" t="str" cm="1">
        <f t="array" ref="Z324">CalculerNouvelleDate(J324,Y324)</f>
        <v/>
      </c>
      <c r="AA324" s="68" t="str" cm="1">
        <f t="array" ref="AA324">CalculerNouvelleDate(K324,Z324)</f>
        <v/>
      </c>
      <c r="AB324" s="68" t="str" cm="1">
        <f t="array" ref="AB324">CalculerNouvelleDate(L324,AA324)</f>
        <v/>
      </c>
      <c r="AC324" s="68" t="str" cm="1">
        <f t="array" ref="AC324">CalculerNouvelleDate(M324,AB324)</f>
        <v/>
      </c>
      <c r="AD324" s="68" t="str" cm="1">
        <f t="array" ref="AD324">CalculerNouvelleDate(N324,AC324)</f>
        <v/>
      </c>
      <c r="AE324" s="68" t="str" cm="1">
        <f t="array" ref="AE324">CalculerNouvelleDate(O324,AD324)</f>
        <v/>
      </c>
      <c r="AF324" s="68" t="str" cm="1">
        <f t="array" ref="AF324">CalculerNouvelleDate(P324,AE324)</f>
        <v/>
      </c>
      <c r="AG324" s="68" t="str" cm="1">
        <f t="array" ref="AG324">CalculerNouvelleDate(Q324,AF324)</f>
        <v/>
      </c>
      <c r="AH324" s="68" t="str" cm="1">
        <f t="array" ref="AH324">CalculerNouvelleDate(R324,AG324)</f>
        <v/>
      </c>
      <c r="AI324" s="68" t="str" cm="1">
        <f t="array" ref="AI324">CalculerNouvelleDate(S324,AH324)</f>
        <v/>
      </c>
      <c r="AJ324" s="68" t="str" cm="1">
        <f t="array" ref="AJ324">CalculerNouvelleDate(T324,AI324)</f>
        <v/>
      </c>
      <c r="AK324" s="68" t="str" cm="1">
        <f t="array" ref="AK324">CalculerNouvelleDate(U324,AJ324)</f>
        <v/>
      </c>
      <c r="AL324" s="68" t="str" cm="1">
        <f t="array" ref="AL324">CalculerNouvelleDate(V324,AK324)</f>
        <v/>
      </c>
      <c r="AM324" s="83" t="str" cm="1">
        <f t="array" ref="AM324">CorrespondanceDAte(X324:AL324,D325)</f>
        <v>0</v>
      </c>
      <c r="AN324" s="1"/>
      <c r="AO324" s="1"/>
      <c r="AP324" s="1"/>
      <c r="AQ324" s="1"/>
      <c r="AR324" s="1"/>
      <c r="AS324" s="1"/>
      <c r="AT324" s="1"/>
      <c r="AU324" s="1"/>
      <c r="AV324" s="1"/>
      <c r="AW324" s="1"/>
      <c r="AX324" s="1"/>
      <c r="AY324" s="1"/>
      <c r="AZ324" s="1"/>
      <c r="BA324" s="1"/>
    </row>
    <row r="325" spans="1:53" x14ac:dyDescent="0.3">
      <c r="A325" s="1"/>
      <c r="B325" s="11"/>
      <c r="C325" s="69" t="s">
        <v>556</v>
      </c>
      <c r="D325" s="1"/>
      <c r="E325" s="1"/>
      <c r="F325" s="1"/>
      <c r="G325" s="1"/>
      <c r="H325" s="43"/>
      <c r="I325" s="46"/>
      <c r="J325" s="46"/>
      <c r="K325" s="46"/>
      <c r="L325" s="46"/>
      <c r="M325" s="46"/>
      <c r="N325" s="46"/>
      <c r="O325" s="46"/>
      <c r="P325" s="46"/>
      <c r="Q325" s="46"/>
      <c r="R325" s="46"/>
      <c r="S325" s="46"/>
      <c r="T325" s="46"/>
      <c r="U325" s="46"/>
      <c r="V325" s="46"/>
      <c r="W325" s="62"/>
      <c r="X325" s="67"/>
      <c r="Y325" s="68" t="str" cm="1">
        <f t="array" ref="Y325">CalculerNouvelleDate(I325,X325)</f>
        <v/>
      </c>
      <c r="Z325" s="68" t="str" cm="1">
        <f t="array" ref="Z325">CalculerNouvelleDate(J325,Y325)</f>
        <v/>
      </c>
      <c r="AA325" s="68" t="str" cm="1">
        <f t="array" ref="AA325">CalculerNouvelleDate(K325,Z325)</f>
        <v/>
      </c>
      <c r="AB325" s="68" t="str" cm="1">
        <f t="array" ref="AB325">CalculerNouvelleDate(L325,AA325)</f>
        <v/>
      </c>
      <c r="AC325" s="68" t="str" cm="1">
        <f t="array" ref="AC325">CalculerNouvelleDate(M325,AB325)</f>
        <v/>
      </c>
      <c r="AD325" s="68" t="str" cm="1">
        <f t="array" ref="AD325">CalculerNouvelleDate(N325,AC325)</f>
        <v/>
      </c>
      <c r="AE325" s="68" t="str" cm="1">
        <f t="array" ref="AE325">CalculerNouvelleDate(O325,AD325)</f>
        <v/>
      </c>
      <c r="AF325" s="68" t="str" cm="1">
        <f t="array" ref="AF325">CalculerNouvelleDate(P325,AE325)</f>
        <v/>
      </c>
      <c r="AG325" s="68" t="str" cm="1">
        <f t="array" ref="AG325">CalculerNouvelleDate(Q325,AF325)</f>
        <v/>
      </c>
      <c r="AH325" s="68" t="str" cm="1">
        <f t="array" ref="AH325">CalculerNouvelleDate(R325,AG325)</f>
        <v/>
      </c>
      <c r="AI325" s="68" t="str" cm="1">
        <f t="array" ref="AI325">CalculerNouvelleDate(S325,AH325)</f>
        <v/>
      </c>
      <c r="AJ325" s="68" t="str" cm="1">
        <f t="array" ref="AJ325">CalculerNouvelleDate(T325,AI325)</f>
        <v/>
      </c>
      <c r="AK325" s="68" t="str" cm="1">
        <f t="array" ref="AK325">CalculerNouvelleDate(U325,AJ325)</f>
        <v/>
      </c>
      <c r="AL325" s="68" t="str" cm="1">
        <f t="array" ref="AL325">CalculerNouvelleDate(V325,AK325)</f>
        <v/>
      </c>
      <c r="AM325" s="83" t="str" cm="1">
        <f t="array" ref="AM325">CorrespondanceDAte(X325:AL325,D326)</f>
        <v>0</v>
      </c>
      <c r="AN325" s="1"/>
      <c r="AO325" s="1"/>
      <c r="AP325" s="1"/>
      <c r="AQ325" s="1"/>
      <c r="AR325" s="1"/>
      <c r="AS325" s="1"/>
      <c r="AT325" s="1"/>
      <c r="AU325" s="1"/>
      <c r="AV325" s="1"/>
      <c r="AW325" s="1"/>
      <c r="AX325" s="1"/>
      <c r="AY325" s="1"/>
      <c r="AZ325" s="1"/>
      <c r="BA325" s="1"/>
    </row>
    <row r="326" spans="1:53" x14ac:dyDescent="0.3">
      <c r="A326" s="1"/>
      <c r="B326" s="11"/>
      <c r="C326" s="69" t="s">
        <v>537</v>
      </c>
      <c r="D326" s="1"/>
      <c r="E326" s="1"/>
      <c r="F326" s="1"/>
      <c r="G326" s="1"/>
      <c r="H326" s="43"/>
      <c r="I326" s="46"/>
      <c r="J326" s="46"/>
      <c r="K326" s="46"/>
      <c r="L326" s="46"/>
      <c r="M326" s="46"/>
      <c r="N326" s="46"/>
      <c r="O326" s="46"/>
      <c r="P326" s="46"/>
      <c r="Q326" s="46"/>
      <c r="R326" s="46"/>
      <c r="S326" s="46"/>
      <c r="T326" s="46"/>
      <c r="U326" s="46"/>
      <c r="V326" s="46"/>
      <c r="W326" s="62"/>
      <c r="X326" s="67"/>
      <c r="Y326" s="68" t="str" cm="1">
        <f t="array" ref="Y326">CalculerNouvelleDate(I326,X326)</f>
        <v/>
      </c>
      <c r="Z326" s="68" t="str" cm="1">
        <f t="array" ref="Z326">CalculerNouvelleDate(J326,Y326)</f>
        <v/>
      </c>
      <c r="AA326" s="68" t="str" cm="1">
        <f t="array" ref="AA326">CalculerNouvelleDate(K326,Z326)</f>
        <v/>
      </c>
      <c r="AB326" s="68" t="str" cm="1">
        <f t="array" ref="AB326">CalculerNouvelleDate(L326,AA326)</f>
        <v/>
      </c>
      <c r="AC326" s="68" t="str" cm="1">
        <f t="array" ref="AC326">CalculerNouvelleDate(M326,AB326)</f>
        <v/>
      </c>
      <c r="AD326" s="68" t="str" cm="1">
        <f t="array" ref="AD326">CalculerNouvelleDate(N326,AC326)</f>
        <v/>
      </c>
      <c r="AE326" s="68" t="str" cm="1">
        <f t="array" ref="AE326">CalculerNouvelleDate(O326,AD326)</f>
        <v/>
      </c>
      <c r="AF326" s="68" t="str" cm="1">
        <f t="array" ref="AF326">CalculerNouvelleDate(P326,AE326)</f>
        <v/>
      </c>
      <c r="AG326" s="68" t="str" cm="1">
        <f t="array" ref="AG326">CalculerNouvelleDate(Q326,AF326)</f>
        <v/>
      </c>
      <c r="AH326" s="68" t="str" cm="1">
        <f t="array" ref="AH326">CalculerNouvelleDate(R326,AG326)</f>
        <v/>
      </c>
      <c r="AI326" s="68" t="str" cm="1">
        <f t="array" ref="AI326">CalculerNouvelleDate(S326,AH326)</f>
        <v/>
      </c>
      <c r="AJ326" s="68" t="str" cm="1">
        <f t="array" ref="AJ326">CalculerNouvelleDate(T326,AI326)</f>
        <v/>
      </c>
      <c r="AK326" s="68" t="str" cm="1">
        <f t="array" ref="AK326">CalculerNouvelleDate(U326,AJ326)</f>
        <v/>
      </c>
      <c r="AL326" s="68" t="str" cm="1">
        <f t="array" ref="AL326">CalculerNouvelleDate(V326,AK326)</f>
        <v/>
      </c>
      <c r="AM326" s="83" t="str" cm="1">
        <f t="array" ref="AM326">CorrespondanceDAte(X326:AL326,D327)</f>
        <v>0</v>
      </c>
      <c r="AN326" s="1"/>
      <c r="AO326" s="1"/>
      <c r="AP326" s="1"/>
      <c r="AQ326" s="1"/>
      <c r="AR326" s="1"/>
      <c r="AS326" s="1"/>
      <c r="AT326" s="1"/>
      <c r="AU326" s="1"/>
      <c r="AV326" s="1"/>
      <c r="AW326" s="1"/>
      <c r="AX326" s="1"/>
      <c r="AY326" s="1"/>
      <c r="AZ326" s="1"/>
      <c r="BA326" s="1"/>
    </row>
    <row r="327" spans="1:53" x14ac:dyDescent="0.3">
      <c r="A327" s="1"/>
      <c r="B327" s="11"/>
      <c r="C327" s="69" t="s">
        <v>557</v>
      </c>
      <c r="D327" s="1"/>
      <c r="E327" s="1"/>
      <c r="F327" s="1"/>
      <c r="G327" s="1"/>
      <c r="H327" s="43"/>
      <c r="I327" s="46"/>
      <c r="J327" s="46"/>
      <c r="K327" s="46"/>
      <c r="L327" s="46"/>
      <c r="M327" s="46"/>
      <c r="N327" s="46"/>
      <c r="O327" s="46"/>
      <c r="P327" s="46"/>
      <c r="Q327" s="46"/>
      <c r="R327" s="46"/>
      <c r="S327" s="46"/>
      <c r="T327" s="46"/>
      <c r="U327" s="46"/>
      <c r="V327" s="46"/>
      <c r="W327" s="62"/>
      <c r="X327" s="67"/>
      <c r="Y327" s="68" t="str" cm="1">
        <f t="array" ref="Y327">CalculerNouvelleDate(I327,X327)</f>
        <v/>
      </c>
      <c r="Z327" s="68" t="str" cm="1">
        <f t="array" ref="Z327">CalculerNouvelleDate(J327,Y327)</f>
        <v/>
      </c>
      <c r="AA327" s="68" t="str" cm="1">
        <f t="array" ref="AA327">CalculerNouvelleDate(K327,Z327)</f>
        <v/>
      </c>
      <c r="AB327" s="68" t="str" cm="1">
        <f t="array" ref="AB327">CalculerNouvelleDate(L327,AA327)</f>
        <v/>
      </c>
      <c r="AC327" s="68" t="str" cm="1">
        <f t="array" ref="AC327">CalculerNouvelleDate(M327,AB327)</f>
        <v/>
      </c>
      <c r="AD327" s="68" t="str" cm="1">
        <f t="array" ref="AD327">CalculerNouvelleDate(N327,AC327)</f>
        <v/>
      </c>
      <c r="AE327" s="68" t="str" cm="1">
        <f t="array" ref="AE327">CalculerNouvelleDate(O327,AD327)</f>
        <v/>
      </c>
      <c r="AF327" s="68" t="str" cm="1">
        <f t="array" ref="AF327">CalculerNouvelleDate(P327,AE327)</f>
        <v/>
      </c>
      <c r="AG327" s="68" t="str" cm="1">
        <f t="array" ref="AG327">CalculerNouvelleDate(Q327,AF327)</f>
        <v/>
      </c>
      <c r="AH327" s="68" t="str" cm="1">
        <f t="array" ref="AH327">CalculerNouvelleDate(R327,AG327)</f>
        <v/>
      </c>
      <c r="AI327" s="68" t="str" cm="1">
        <f t="array" ref="AI327">CalculerNouvelleDate(S327,AH327)</f>
        <v/>
      </c>
      <c r="AJ327" s="68" t="str" cm="1">
        <f t="array" ref="AJ327">CalculerNouvelleDate(T327,AI327)</f>
        <v/>
      </c>
      <c r="AK327" s="68" t="str" cm="1">
        <f t="array" ref="AK327">CalculerNouvelleDate(U327,AJ327)</f>
        <v/>
      </c>
      <c r="AL327" s="68" t="str" cm="1">
        <f t="array" ref="AL327">CalculerNouvelleDate(V327,AK327)</f>
        <v/>
      </c>
      <c r="AM327" s="83" t="str" cm="1">
        <f t="array" ref="AM327">CorrespondanceDAte(X327:AL327,D328)</f>
        <v>0</v>
      </c>
      <c r="AN327" s="1"/>
      <c r="AO327" s="1"/>
      <c r="AP327" s="1"/>
      <c r="AQ327" s="1"/>
      <c r="AR327" s="1"/>
      <c r="AS327" s="1"/>
      <c r="AT327" s="1"/>
      <c r="AU327" s="1"/>
      <c r="AV327" s="1"/>
      <c r="AW327" s="1"/>
      <c r="AX327" s="1"/>
      <c r="AY327" s="1"/>
      <c r="AZ327" s="1"/>
      <c r="BA327" s="1"/>
    </row>
    <row r="328" spans="1:53" x14ac:dyDescent="0.3">
      <c r="A328" s="1"/>
      <c r="B328" s="11">
        <v>5</v>
      </c>
      <c r="C328" s="1" t="s">
        <v>74</v>
      </c>
      <c r="D328" s="1"/>
      <c r="E328" s="1"/>
      <c r="F328" s="1"/>
      <c r="G328" s="1"/>
      <c r="H328" s="43"/>
      <c r="I328" s="1"/>
      <c r="J328" s="1"/>
      <c r="K328" s="1"/>
      <c r="L328" s="1"/>
      <c r="M328" s="1"/>
      <c r="N328" s="1"/>
      <c r="O328" s="1"/>
      <c r="P328" s="1"/>
      <c r="Q328" s="1"/>
      <c r="R328" s="1"/>
      <c r="S328" s="1"/>
      <c r="T328" s="1"/>
      <c r="U328" s="1"/>
      <c r="V328" s="1"/>
      <c r="W328" s="11"/>
      <c r="X328" s="67"/>
      <c r="Y328" s="68" t="str" cm="1">
        <f t="array" ref="Y328">CalculerNouvelleDate(I328,X328)</f>
        <v/>
      </c>
      <c r="Z328" s="68" t="str" cm="1">
        <f t="array" ref="Z328">CalculerNouvelleDate(J328,Y328)</f>
        <v/>
      </c>
      <c r="AA328" s="68" t="str" cm="1">
        <f t="array" ref="AA328">CalculerNouvelleDate(K328,Z328)</f>
        <v/>
      </c>
      <c r="AB328" s="68" t="str" cm="1">
        <f t="array" ref="AB328">CalculerNouvelleDate(L328,AA328)</f>
        <v/>
      </c>
      <c r="AC328" s="68" t="str" cm="1">
        <f t="array" ref="AC328">CalculerNouvelleDate(M328,AB328)</f>
        <v/>
      </c>
      <c r="AD328" s="68" t="str" cm="1">
        <f t="array" ref="AD328">CalculerNouvelleDate(N328,AC328)</f>
        <v/>
      </c>
      <c r="AE328" s="68" t="str" cm="1">
        <f t="array" ref="AE328">CalculerNouvelleDate(O328,AD328)</f>
        <v/>
      </c>
      <c r="AF328" s="68" t="str" cm="1">
        <f t="array" ref="AF328">CalculerNouvelleDate(P328,AE328)</f>
        <v/>
      </c>
      <c r="AG328" s="68" t="str" cm="1">
        <f t="array" ref="AG328">CalculerNouvelleDate(Q328,AF328)</f>
        <v/>
      </c>
      <c r="AH328" s="68" t="str" cm="1">
        <f t="array" ref="AH328">CalculerNouvelleDate(R328,AG328)</f>
        <v/>
      </c>
      <c r="AI328" s="68" t="str" cm="1">
        <f t="array" ref="AI328">CalculerNouvelleDate(S328,AH328)</f>
        <v/>
      </c>
      <c r="AJ328" s="68" t="str" cm="1">
        <f t="array" ref="AJ328">CalculerNouvelleDate(T328,AI328)</f>
        <v/>
      </c>
      <c r="AK328" s="68" t="str" cm="1">
        <f t="array" ref="AK328">CalculerNouvelleDate(U328,AJ328)</f>
        <v/>
      </c>
      <c r="AL328" s="68" t="str" cm="1">
        <f t="array" ref="AL328">CalculerNouvelleDate(V328,AK328)</f>
        <v/>
      </c>
      <c r="AM328" s="83" t="str" cm="1">
        <f t="array" ref="AM328">CorrespondanceDAte(X328:AL328,D329)</f>
        <v>0</v>
      </c>
      <c r="AN328" s="1"/>
      <c r="AO328" s="1"/>
      <c r="AP328" s="1"/>
      <c r="AQ328" s="1"/>
      <c r="AR328" s="1"/>
      <c r="AS328" s="1"/>
      <c r="AT328" s="1"/>
      <c r="AU328" s="1"/>
      <c r="AV328" s="1"/>
      <c r="AW328" s="1"/>
      <c r="AX328" s="1"/>
      <c r="AY328" s="1"/>
      <c r="AZ328" s="1"/>
      <c r="BA328" s="1"/>
    </row>
    <row r="329" spans="1:53" x14ac:dyDescent="0.3">
      <c r="A329" s="1"/>
      <c r="B329" s="11"/>
      <c r="C329" s="1" t="s">
        <v>560</v>
      </c>
      <c r="D329" s="1"/>
      <c r="E329" s="1"/>
      <c r="F329" s="1"/>
      <c r="G329" s="1"/>
      <c r="H329" s="43"/>
      <c r="I329" s="46"/>
      <c r="J329" s="46"/>
      <c r="K329" s="46"/>
      <c r="L329" s="46"/>
      <c r="M329" s="46"/>
      <c r="N329" s="46"/>
      <c r="O329" s="46"/>
      <c r="P329" s="46"/>
      <c r="Q329" s="46"/>
      <c r="R329" s="46"/>
      <c r="S329" s="46"/>
      <c r="T329" s="46"/>
      <c r="U329" s="46"/>
      <c r="V329" s="46"/>
      <c r="W329" s="62"/>
      <c r="X329" s="67"/>
      <c r="Y329" s="68" t="str" cm="1">
        <f t="array" ref="Y329">CalculerNouvelleDate(I329,X329)</f>
        <v/>
      </c>
      <c r="Z329" s="68" t="str" cm="1">
        <f t="array" ref="Z329">CalculerNouvelleDate(J329,Y329)</f>
        <v/>
      </c>
      <c r="AA329" s="68" t="str" cm="1">
        <f t="array" ref="AA329">CalculerNouvelleDate(K329,Z329)</f>
        <v/>
      </c>
      <c r="AB329" s="68" t="str" cm="1">
        <f t="array" ref="AB329">CalculerNouvelleDate(L329,AA329)</f>
        <v/>
      </c>
      <c r="AC329" s="68" t="str" cm="1">
        <f t="array" ref="AC329">CalculerNouvelleDate(M329,AB329)</f>
        <v/>
      </c>
      <c r="AD329" s="68" t="str" cm="1">
        <f t="array" ref="AD329">CalculerNouvelleDate(N329,AC329)</f>
        <v/>
      </c>
      <c r="AE329" s="68" t="str" cm="1">
        <f t="array" ref="AE329">CalculerNouvelleDate(O329,AD329)</f>
        <v/>
      </c>
      <c r="AF329" s="68" t="str" cm="1">
        <f t="array" ref="AF329">CalculerNouvelleDate(P329,AE329)</f>
        <v/>
      </c>
      <c r="AG329" s="68" t="str" cm="1">
        <f t="array" ref="AG329">CalculerNouvelleDate(Q329,AF329)</f>
        <v/>
      </c>
      <c r="AH329" s="68" t="str" cm="1">
        <f t="array" ref="AH329">CalculerNouvelleDate(R329,AG329)</f>
        <v/>
      </c>
      <c r="AI329" s="68" t="str" cm="1">
        <f t="array" ref="AI329">CalculerNouvelleDate(S329,AH329)</f>
        <v/>
      </c>
      <c r="AJ329" s="68" t="str" cm="1">
        <f t="array" ref="AJ329">CalculerNouvelleDate(T329,AI329)</f>
        <v/>
      </c>
      <c r="AK329" s="68" t="str" cm="1">
        <f t="array" ref="AK329">CalculerNouvelleDate(U329,AJ329)</f>
        <v/>
      </c>
      <c r="AL329" s="68" t="str" cm="1">
        <f t="array" ref="AL329">CalculerNouvelleDate(V329,AK329)</f>
        <v/>
      </c>
      <c r="AM329" s="83" t="str" cm="1">
        <f t="array" ref="AM329">CorrespondanceDAte(X329:AL329,D330)</f>
        <v>0</v>
      </c>
      <c r="AN329" s="1"/>
      <c r="AO329" s="1"/>
      <c r="AP329" s="1"/>
      <c r="AQ329" s="1"/>
      <c r="AR329" s="1"/>
      <c r="AS329" s="1"/>
      <c r="AT329" s="1"/>
      <c r="AU329" s="1"/>
      <c r="AV329" s="1"/>
      <c r="AW329" s="1"/>
      <c r="AX329" s="1"/>
      <c r="AY329" s="1"/>
      <c r="AZ329" s="1"/>
      <c r="BA329" s="1"/>
    </row>
    <row r="330" spans="1:53" x14ac:dyDescent="0.3">
      <c r="A330" s="1"/>
      <c r="B330" s="11"/>
      <c r="C330" s="1" t="s">
        <v>561</v>
      </c>
      <c r="D330" s="1"/>
      <c r="E330" s="1"/>
      <c r="F330" s="1"/>
      <c r="G330" s="1"/>
      <c r="H330" s="43"/>
      <c r="I330" s="46"/>
      <c r="J330" s="46"/>
      <c r="K330" s="46"/>
      <c r="L330" s="46"/>
      <c r="M330" s="46"/>
      <c r="N330" s="46"/>
      <c r="O330" s="46"/>
      <c r="P330" s="46"/>
      <c r="Q330" s="46"/>
      <c r="R330" s="46"/>
      <c r="S330" s="46"/>
      <c r="T330" s="46"/>
      <c r="U330" s="46"/>
      <c r="V330" s="46"/>
      <c r="W330" s="62"/>
      <c r="X330" s="67"/>
      <c r="Y330" s="68" t="str" cm="1">
        <f t="array" ref="Y330">CalculerNouvelleDate(I330,X330)</f>
        <v/>
      </c>
      <c r="Z330" s="68" t="str" cm="1">
        <f t="array" ref="Z330">CalculerNouvelleDate(J330,Y330)</f>
        <v/>
      </c>
      <c r="AA330" s="68" t="str" cm="1">
        <f t="array" ref="AA330">CalculerNouvelleDate(K330,Z330)</f>
        <v/>
      </c>
      <c r="AB330" s="68" t="str" cm="1">
        <f t="array" ref="AB330">CalculerNouvelleDate(L330,AA330)</f>
        <v/>
      </c>
      <c r="AC330" s="68" t="str" cm="1">
        <f t="array" ref="AC330">CalculerNouvelleDate(M330,AB330)</f>
        <v/>
      </c>
      <c r="AD330" s="68" t="str" cm="1">
        <f t="array" ref="AD330">CalculerNouvelleDate(N330,AC330)</f>
        <v/>
      </c>
      <c r="AE330" s="68" t="str" cm="1">
        <f t="array" ref="AE330">CalculerNouvelleDate(O330,AD330)</f>
        <v/>
      </c>
      <c r="AF330" s="68" t="str" cm="1">
        <f t="array" ref="AF330">CalculerNouvelleDate(P330,AE330)</f>
        <v/>
      </c>
      <c r="AG330" s="68" t="str" cm="1">
        <f t="array" ref="AG330">CalculerNouvelleDate(Q330,AF330)</f>
        <v/>
      </c>
      <c r="AH330" s="68" t="str" cm="1">
        <f t="array" ref="AH330">CalculerNouvelleDate(R330,AG330)</f>
        <v/>
      </c>
      <c r="AI330" s="68" t="str" cm="1">
        <f t="array" ref="AI330">CalculerNouvelleDate(S330,AH330)</f>
        <v/>
      </c>
      <c r="AJ330" s="68" t="str" cm="1">
        <f t="array" ref="AJ330">CalculerNouvelleDate(T330,AI330)</f>
        <v/>
      </c>
      <c r="AK330" s="68" t="str" cm="1">
        <f t="array" ref="AK330">CalculerNouvelleDate(U330,AJ330)</f>
        <v/>
      </c>
      <c r="AL330" s="68" t="str" cm="1">
        <f t="array" ref="AL330">CalculerNouvelleDate(V330,AK330)</f>
        <v/>
      </c>
      <c r="AM330" s="83" t="str" cm="1">
        <f t="array" ref="AM330">CorrespondanceDAte(X330:AL330,D331)</f>
        <v>0</v>
      </c>
      <c r="AN330" s="1"/>
      <c r="AO330" s="1"/>
      <c r="AP330" s="1"/>
      <c r="AQ330" s="1"/>
      <c r="AR330" s="1"/>
      <c r="AS330" s="1"/>
      <c r="AT330" s="1"/>
      <c r="AU330" s="1"/>
      <c r="AV330" s="1"/>
      <c r="AW330" s="1"/>
      <c r="AX330" s="1"/>
      <c r="AY330" s="1"/>
      <c r="AZ330" s="1"/>
      <c r="BA330" s="1"/>
    </row>
    <row r="331" spans="1:53" x14ac:dyDescent="0.3">
      <c r="A331" s="1"/>
      <c r="B331" s="11"/>
      <c r="C331" s="1" t="s">
        <v>562</v>
      </c>
      <c r="D331" s="1"/>
      <c r="E331" s="1"/>
      <c r="F331" s="1"/>
      <c r="G331" s="1"/>
      <c r="H331" s="43"/>
      <c r="I331" s="46"/>
      <c r="J331" s="46"/>
      <c r="K331" s="46"/>
      <c r="L331" s="46"/>
      <c r="M331" s="46"/>
      <c r="N331" s="46"/>
      <c r="O331" s="46"/>
      <c r="P331" s="46"/>
      <c r="Q331" s="46"/>
      <c r="R331" s="46"/>
      <c r="S331" s="46"/>
      <c r="T331" s="46"/>
      <c r="U331" s="46"/>
      <c r="V331" s="46"/>
      <c r="W331" s="62"/>
      <c r="X331" s="67"/>
      <c r="Y331" s="68" t="str" cm="1">
        <f t="array" ref="Y331">CalculerNouvelleDate(I331,X331)</f>
        <v/>
      </c>
      <c r="Z331" s="68" t="str" cm="1">
        <f t="array" ref="Z331">CalculerNouvelleDate(J331,Y331)</f>
        <v/>
      </c>
      <c r="AA331" s="68" t="str" cm="1">
        <f t="array" ref="AA331">CalculerNouvelleDate(K331,Z331)</f>
        <v/>
      </c>
      <c r="AB331" s="68" t="str" cm="1">
        <f t="array" ref="AB331">CalculerNouvelleDate(L331,AA331)</f>
        <v/>
      </c>
      <c r="AC331" s="68" t="str" cm="1">
        <f t="array" ref="AC331">CalculerNouvelleDate(M331,AB331)</f>
        <v/>
      </c>
      <c r="AD331" s="68" t="str" cm="1">
        <f t="array" ref="AD331">CalculerNouvelleDate(N331,AC331)</f>
        <v/>
      </c>
      <c r="AE331" s="68" t="str" cm="1">
        <f t="array" ref="AE331">CalculerNouvelleDate(O331,AD331)</f>
        <v/>
      </c>
      <c r="AF331" s="68" t="str" cm="1">
        <f t="array" ref="AF331">CalculerNouvelleDate(P331,AE331)</f>
        <v/>
      </c>
      <c r="AG331" s="68" t="str" cm="1">
        <f t="array" ref="AG331">CalculerNouvelleDate(Q331,AF331)</f>
        <v/>
      </c>
      <c r="AH331" s="68" t="str" cm="1">
        <f t="array" ref="AH331">CalculerNouvelleDate(R331,AG331)</f>
        <v/>
      </c>
      <c r="AI331" s="68" t="str" cm="1">
        <f t="array" ref="AI331">CalculerNouvelleDate(S331,AH331)</f>
        <v/>
      </c>
      <c r="AJ331" s="68" t="str" cm="1">
        <f t="array" ref="AJ331">CalculerNouvelleDate(T331,AI331)</f>
        <v/>
      </c>
      <c r="AK331" s="68" t="str" cm="1">
        <f t="array" ref="AK331">CalculerNouvelleDate(U331,AJ331)</f>
        <v/>
      </c>
      <c r="AL331" s="68" t="str" cm="1">
        <f t="array" ref="AL331">CalculerNouvelleDate(V331,AK331)</f>
        <v/>
      </c>
      <c r="AM331" s="83" t="str" cm="1">
        <f t="array" ref="AM331">CorrespondanceDAte(X331:AL331,D332)</f>
        <v>0</v>
      </c>
      <c r="AN331" s="1"/>
      <c r="AO331" s="1"/>
      <c r="AP331" s="1"/>
      <c r="AQ331" s="1"/>
      <c r="AR331" s="1"/>
      <c r="AS331" s="1"/>
      <c r="AT331" s="1"/>
      <c r="AU331" s="1"/>
      <c r="AV331" s="1"/>
      <c r="AW331" s="1"/>
      <c r="AX331" s="1"/>
      <c r="AY331" s="1"/>
      <c r="AZ331" s="1"/>
      <c r="BA331" s="1"/>
    </row>
    <row r="332" spans="1:53" x14ac:dyDescent="0.3">
      <c r="A332" s="1"/>
      <c r="B332" s="11">
        <v>6</v>
      </c>
      <c r="C332" s="1" t="s">
        <v>75</v>
      </c>
      <c r="D332" s="1"/>
      <c r="E332" s="1"/>
      <c r="F332" s="1"/>
      <c r="G332" s="1"/>
      <c r="H332" s="43"/>
      <c r="I332" s="1"/>
      <c r="J332" s="1"/>
      <c r="K332" s="1"/>
      <c r="L332" s="1"/>
      <c r="M332" s="1"/>
      <c r="N332" s="1"/>
      <c r="O332" s="1"/>
      <c r="P332" s="1"/>
      <c r="Q332" s="1"/>
      <c r="R332" s="1"/>
      <c r="S332" s="1"/>
      <c r="T332" s="1"/>
      <c r="U332" s="1"/>
      <c r="V332" s="1"/>
      <c r="W332" s="11"/>
      <c r="X332" s="67"/>
      <c r="Y332" s="68" t="str" cm="1">
        <f t="array" ref="Y332">CalculerNouvelleDate(I332,X332)</f>
        <v/>
      </c>
      <c r="Z332" s="68" t="str" cm="1">
        <f t="array" ref="Z332">CalculerNouvelleDate(J332,Y332)</f>
        <v/>
      </c>
      <c r="AA332" s="68" t="str" cm="1">
        <f t="array" ref="AA332">CalculerNouvelleDate(K332,Z332)</f>
        <v/>
      </c>
      <c r="AB332" s="68" t="str" cm="1">
        <f t="array" ref="AB332">CalculerNouvelleDate(L332,AA332)</f>
        <v/>
      </c>
      <c r="AC332" s="68" t="str" cm="1">
        <f t="array" ref="AC332">CalculerNouvelleDate(M332,AB332)</f>
        <v/>
      </c>
      <c r="AD332" s="68" t="str" cm="1">
        <f t="array" ref="AD332">CalculerNouvelleDate(N332,AC332)</f>
        <v/>
      </c>
      <c r="AE332" s="68" t="str" cm="1">
        <f t="array" ref="AE332">CalculerNouvelleDate(O332,AD332)</f>
        <v/>
      </c>
      <c r="AF332" s="68" t="str" cm="1">
        <f t="array" ref="AF332">CalculerNouvelleDate(P332,AE332)</f>
        <v/>
      </c>
      <c r="AG332" s="68" t="str" cm="1">
        <f t="array" ref="AG332">CalculerNouvelleDate(Q332,AF332)</f>
        <v/>
      </c>
      <c r="AH332" s="68" t="str" cm="1">
        <f t="array" ref="AH332">CalculerNouvelleDate(R332,AG332)</f>
        <v/>
      </c>
      <c r="AI332" s="68" t="str" cm="1">
        <f t="array" ref="AI332">CalculerNouvelleDate(S332,AH332)</f>
        <v/>
      </c>
      <c r="AJ332" s="68" t="str" cm="1">
        <f t="array" ref="AJ332">CalculerNouvelleDate(T332,AI332)</f>
        <v/>
      </c>
      <c r="AK332" s="68" t="str" cm="1">
        <f t="array" ref="AK332">CalculerNouvelleDate(U332,AJ332)</f>
        <v/>
      </c>
      <c r="AL332" s="68" t="str" cm="1">
        <f t="array" ref="AL332">CalculerNouvelleDate(V332,AK332)</f>
        <v/>
      </c>
      <c r="AM332" s="83" t="str" cm="1">
        <f t="array" ref="AM332">CorrespondanceDAte(X332:AL332,D333)</f>
        <v>0</v>
      </c>
      <c r="AN332" s="1"/>
      <c r="AO332" s="1"/>
      <c r="AP332" s="1"/>
      <c r="AQ332" s="1"/>
      <c r="AR332" s="1"/>
      <c r="AS332" s="1"/>
      <c r="AT332" s="1"/>
      <c r="AU332" s="1"/>
      <c r="AV332" s="1"/>
      <c r="AW332" s="1"/>
      <c r="AX332" s="1"/>
      <c r="AY332" s="1"/>
      <c r="AZ332" s="1"/>
      <c r="BA332" s="1"/>
    </row>
    <row r="333" spans="1:53" x14ac:dyDescent="0.3">
      <c r="A333" s="1"/>
      <c r="B333" s="11"/>
      <c r="C333" s="1" t="s">
        <v>566</v>
      </c>
      <c r="D333" s="1"/>
      <c r="E333" s="1"/>
      <c r="F333" s="1"/>
      <c r="G333" s="1"/>
      <c r="H333" s="43"/>
      <c r="I333" s="46"/>
      <c r="J333" s="46"/>
      <c r="K333" s="46"/>
      <c r="L333" s="46"/>
      <c r="M333" s="46"/>
      <c r="N333" s="46"/>
      <c r="O333" s="46"/>
      <c r="P333" s="46"/>
      <c r="Q333" s="46"/>
      <c r="R333" s="46"/>
      <c r="S333" s="46"/>
      <c r="T333" s="46"/>
      <c r="U333" s="46"/>
      <c r="V333" s="46"/>
      <c r="W333" s="62"/>
      <c r="X333" s="67"/>
      <c r="Y333" s="68" t="str" cm="1">
        <f t="array" ref="Y333">CalculerNouvelleDate(I333,X333)</f>
        <v/>
      </c>
      <c r="Z333" s="68" t="str" cm="1">
        <f t="array" ref="Z333">CalculerNouvelleDate(J333,Y333)</f>
        <v/>
      </c>
      <c r="AA333" s="68" t="str" cm="1">
        <f t="array" ref="AA333">CalculerNouvelleDate(K333,Z333)</f>
        <v/>
      </c>
      <c r="AB333" s="68" t="str" cm="1">
        <f t="array" ref="AB333">CalculerNouvelleDate(L333,AA333)</f>
        <v/>
      </c>
      <c r="AC333" s="68" t="str" cm="1">
        <f t="array" ref="AC333">CalculerNouvelleDate(M333,AB333)</f>
        <v/>
      </c>
      <c r="AD333" s="68" t="str" cm="1">
        <f t="array" ref="AD333">CalculerNouvelleDate(N333,AC333)</f>
        <v/>
      </c>
      <c r="AE333" s="68" t="str" cm="1">
        <f t="array" ref="AE333">CalculerNouvelleDate(O333,AD333)</f>
        <v/>
      </c>
      <c r="AF333" s="68" t="str" cm="1">
        <f t="array" ref="AF333">CalculerNouvelleDate(P333,AE333)</f>
        <v/>
      </c>
      <c r="AG333" s="68" t="str" cm="1">
        <f t="array" ref="AG333">CalculerNouvelleDate(Q333,AF333)</f>
        <v/>
      </c>
      <c r="AH333" s="68" t="str" cm="1">
        <f t="array" ref="AH333">CalculerNouvelleDate(R333,AG333)</f>
        <v/>
      </c>
      <c r="AI333" s="68" t="str" cm="1">
        <f t="array" ref="AI333">CalculerNouvelleDate(S333,AH333)</f>
        <v/>
      </c>
      <c r="AJ333" s="68" t="str" cm="1">
        <f t="array" ref="AJ333">CalculerNouvelleDate(T333,AI333)</f>
        <v/>
      </c>
      <c r="AK333" s="68" t="str" cm="1">
        <f t="array" ref="AK333">CalculerNouvelleDate(U333,AJ333)</f>
        <v/>
      </c>
      <c r="AL333" s="68" t="str" cm="1">
        <f t="array" ref="AL333">CalculerNouvelleDate(V333,AK333)</f>
        <v/>
      </c>
      <c r="AM333" s="83" t="str" cm="1">
        <f t="array" ref="AM333">CorrespondanceDAte(X333:AL333,D334)</f>
        <v>0</v>
      </c>
      <c r="AN333" s="1"/>
      <c r="AO333" s="1"/>
      <c r="AP333" s="1"/>
      <c r="AQ333" s="1"/>
      <c r="AR333" s="1"/>
      <c r="AS333" s="1"/>
      <c r="AT333" s="1"/>
      <c r="AU333" s="1"/>
      <c r="AV333" s="1"/>
      <c r="AW333" s="1"/>
      <c r="AX333" s="1"/>
      <c r="AY333" s="1"/>
      <c r="AZ333" s="1"/>
      <c r="BA333" s="1"/>
    </row>
    <row r="334" spans="1:53" x14ac:dyDescent="0.3">
      <c r="A334" s="1"/>
      <c r="B334" s="11"/>
      <c r="C334" s="1" t="s">
        <v>626</v>
      </c>
      <c r="D334" s="1"/>
      <c r="E334" s="1"/>
      <c r="F334" s="1"/>
      <c r="G334" s="1"/>
      <c r="H334" s="43"/>
      <c r="I334" s="46"/>
      <c r="J334" s="46"/>
      <c r="K334" s="46"/>
      <c r="L334" s="46"/>
      <c r="M334" s="46"/>
      <c r="N334" s="46"/>
      <c r="O334" s="46"/>
      <c r="P334" s="46"/>
      <c r="Q334" s="46"/>
      <c r="R334" s="46"/>
      <c r="S334" s="46"/>
      <c r="T334" s="46"/>
      <c r="U334" s="46"/>
      <c r="V334" s="46"/>
      <c r="W334" s="62"/>
      <c r="X334" s="67"/>
      <c r="Y334" s="68" t="str" cm="1">
        <f t="array" ref="Y334">CalculerNouvelleDate(I334,X334)</f>
        <v/>
      </c>
      <c r="Z334" s="68" t="str" cm="1">
        <f t="array" ref="Z334">CalculerNouvelleDate(J334,Y334)</f>
        <v/>
      </c>
      <c r="AA334" s="68" t="str" cm="1">
        <f t="array" ref="AA334">CalculerNouvelleDate(K334,Z334)</f>
        <v/>
      </c>
      <c r="AB334" s="68" t="str" cm="1">
        <f t="array" ref="AB334">CalculerNouvelleDate(L334,AA334)</f>
        <v/>
      </c>
      <c r="AC334" s="68" t="str" cm="1">
        <f t="array" ref="AC334">CalculerNouvelleDate(M334,AB334)</f>
        <v/>
      </c>
      <c r="AD334" s="68" t="str" cm="1">
        <f t="array" ref="AD334">CalculerNouvelleDate(N334,AC334)</f>
        <v/>
      </c>
      <c r="AE334" s="68" t="str" cm="1">
        <f t="array" ref="AE334">CalculerNouvelleDate(O334,AD334)</f>
        <v/>
      </c>
      <c r="AF334" s="68" t="str" cm="1">
        <f t="array" ref="AF334">CalculerNouvelleDate(P334,AE334)</f>
        <v/>
      </c>
      <c r="AG334" s="68" t="str" cm="1">
        <f t="array" ref="AG334">CalculerNouvelleDate(Q334,AF334)</f>
        <v/>
      </c>
      <c r="AH334" s="68" t="str" cm="1">
        <f t="array" ref="AH334">CalculerNouvelleDate(R334,AG334)</f>
        <v/>
      </c>
      <c r="AI334" s="68" t="str" cm="1">
        <f t="array" ref="AI334">CalculerNouvelleDate(S334,AH334)</f>
        <v/>
      </c>
      <c r="AJ334" s="68" t="str" cm="1">
        <f t="array" ref="AJ334">CalculerNouvelleDate(T334,AI334)</f>
        <v/>
      </c>
      <c r="AK334" s="68" t="str" cm="1">
        <f t="array" ref="AK334">CalculerNouvelleDate(U334,AJ334)</f>
        <v/>
      </c>
      <c r="AL334" s="68" t="str" cm="1">
        <f t="array" ref="AL334">CalculerNouvelleDate(V334,AK334)</f>
        <v/>
      </c>
      <c r="AM334" s="83" t="str" cm="1">
        <f t="array" ref="AM334">CorrespondanceDAte(X334:AL334,D335)</f>
        <v>0</v>
      </c>
      <c r="AN334" s="1"/>
      <c r="AO334" s="1"/>
      <c r="AP334" s="1"/>
      <c r="AQ334" s="1"/>
      <c r="AR334" s="1"/>
      <c r="AS334" s="1"/>
      <c r="AT334" s="1"/>
      <c r="AU334" s="1"/>
      <c r="AV334" s="1"/>
      <c r="AW334" s="1"/>
      <c r="AX334" s="1"/>
      <c r="AY334" s="1"/>
      <c r="AZ334" s="1"/>
      <c r="BA334" s="1"/>
    </row>
    <row r="335" spans="1:53" x14ac:dyDescent="0.3">
      <c r="A335" s="1"/>
      <c r="B335" s="11"/>
      <c r="C335" s="1" t="s">
        <v>627</v>
      </c>
      <c r="D335" s="1"/>
      <c r="E335" s="1"/>
      <c r="F335" s="1"/>
      <c r="G335" s="1"/>
      <c r="H335" s="43"/>
      <c r="I335" s="46"/>
      <c r="J335" s="46"/>
      <c r="K335" s="46"/>
      <c r="L335" s="46"/>
      <c r="M335" s="46"/>
      <c r="N335" s="46"/>
      <c r="O335" s="46"/>
      <c r="P335" s="46"/>
      <c r="Q335" s="46"/>
      <c r="R335" s="46"/>
      <c r="S335" s="46"/>
      <c r="T335" s="46"/>
      <c r="U335" s="46"/>
      <c r="V335" s="46"/>
      <c r="W335" s="62"/>
      <c r="X335" s="67"/>
      <c r="Y335" s="68" t="str" cm="1">
        <f t="array" ref="Y335">CalculerNouvelleDate(I335,X335)</f>
        <v/>
      </c>
      <c r="Z335" s="68" t="str" cm="1">
        <f t="array" ref="Z335">CalculerNouvelleDate(J335,Y335)</f>
        <v/>
      </c>
      <c r="AA335" s="68" t="str" cm="1">
        <f t="array" ref="AA335">CalculerNouvelleDate(K335,Z335)</f>
        <v/>
      </c>
      <c r="AB335" s="68" t="str" cm="1">
        <f t="array" ref="AB335">CalculerNouvelleDate(L335,AA335)</f>
        <v/>
      </c>
      <c r="AC335" s="68" t="str" cm="1">
        <f t="array" ref="AC335">CalculerNouvelleDate(M335,AB335)</f>
        <v/>
      </c>
      <c r="AD335" s="68" t="str" cm="1">
        <f t="array" ref="AD335">CalculerNouvelleDate(N335,AC335)</f>
        <v/>
      </c>
      <c r="AE335" s="68" t="str" cm="1">
        <f t="array" ref="AE335">CalculerNouvelleDate(O335,AD335)</f>
        <v/>
      </c>
      <c r="AF335" s="68" t="str" cm="1">
        <f t="array" ref="AF335">CalculerNouvelleDate(P335,AE335)</f>
        <v/>
      </c>
      <c r="AG335" s="68" t="str" cm="1">
        <f t="array" ref="AG335">CalculerNouvelleDate(Q335,AF335)</f>
        <v/>
      </c>
      <c r="AH335" s="68" t="str" cm="1">
        <f t="array" ref="AH335">CalculerNouvelleDate(R335,AG335)</f>
        <v/>
      </c>
      <c r="AI335" s="68" t="str" cm="1">
        <f t="array" ref="AI335">CalculerNouvelleDate(S335,AH335)</f>
        <v/>
      </c>
      <c r="AJ335" s="68" t="str" cm="1">
        <f t="array" ref="AJ335">CalculerNouvelleDate(T335,AI335)</f>
        <v/>
      </c>
      <c r="AK335" s="68" t="str" cm="1">
        <f t="array" ref="AK335">CalculerNouvelleDate(U335,AJ335)</f>
        <v/>
      </c>
      <c r="AL335" s="68" t="str" cm="1">
        <f t="array" ref="AL335">CalculerNouvelleDate(V335,AK335)</f>
        <v/>
      </c>
      <c r="AM335" s="83" t="str" cm="1">
        <f t="array" ref="AM335">CorrespondanceDAte(X335:AL335,D336)</f>
        <v>0</v>
      </c>
      <c r="AN335" s="1"/>
      <c r="AO335" s="1"/>
      <c r="AP335" s="1"/>
      <c r="AQ335" s="1"/>
      <c r="AR335" s="1"/>
      <c r="AS335" s="1"/>
      <c r="AT335" s="1"/>
      <c r="AU335" s="1"/>
      <c r="AV335" s="1"/>
      <c r="AW335" s="1"/>
      <c r="AX335" s="1"/>
      <c r="AY335" s="1"/>
      <c r="AZ335" s="1"/>
      <c r="BA335" s="1"/>
    </row>
    <row r="336" spans="1:53" x14ac:dyDescent="0.3">
      <c r="A336" s="1"/>
      <c r="B336" s="11">
        <v>7</v>
      </c>
      <c r="C336" s="1" t="s">
        <v>76</v>
      </c>
      <c r="D336" s="1"/>
      <c r="E336" s="1"/>
      <c r="F336" s="1"/>
      <c r="G336" s="1"/>
      <c r="H336" s="43"/>
      <c r="I336" s="1"/>
      <c r="J336" s="1"/>
      <c r="K336" s="1"/>
      <c r="L336" s="1"/>
      <c r="M336" s="1"/>
      <c r="N336" s="1"/>
      <c r="O336" s="1"/>
      <c r="P336" s="1"/>
      <c r="Q336" s="1"/>
      <c r="R336" s="1"/>
      <c r="S336" s="1"/>
      <c r="T336" s="1"/>
      <c r="U336" s="1"/>
      <c r="V336" s="1"/>
      <c r="W336" s="11"/>
      <c r="X336" s="67"/>
      <c r="Y336" s="68" t="str" cm="1">
        <f t="array" ref="Y336">CalculerNouvelleDate(I336,X336)</f>
        <v/>
      </c>
      <c r="Z336" s="68" t="str" cm="1">
        <f t="array" ref="Z336">CalculerNouvelleDate(J336,Y336)</f>
        <v/>
      </c>
      <c r="AA336" s="68" t="str" cm="1">
        <f t="array" ref="AA336">CalculerNouvelleDate(K336,Z336)</f>
        <v/>
      </c>
      <c r="AB336" s="68" t="str" cm="1">
        <f t="array" ref="AB336">CalculerNouvelleDate(L336,AA336)</f>
        <v/>
      </c>
      <c r="AC336" s="68" t="str" cm="1">
        <f t="array" ref="AC336">CalculerNouvelleDate(M336,AB336)</f>
        <v/>
      </c>
      <c r="AD336" s="68" t="str" cm="1">
        <f t="array" ref="AD336">CalculerNouvelleDate(N336,AC336)</f>
        <v/>
      </c>
      <c r="AE336" s="68" t="str" cm="1">
        <f t="array" ref="AE336">CalculerNouvelleDate(O336,AD336)</f>
        <v/>
      </c>
      <c r="AF336" s="68" t="str" cm="1">
        <f t="array" ref="AF336">CalculerNouvelleDate(P336,AE336)</f>
        <v/>
      </c>
      <c r="AG336" s="68" t="str" cm="1">
        <f t="array" ref="AG336">CalculerNouvelleDate(Q336,AF336)</f>
        <v/>
      </c>
      <c r="AH336" s="68" t="str" cm="1">
        <f t="array" ref="AH336">CalculerNouvelleDate(R336,AG336)</f>
        <v/>
      </c>
      <c r="AI336" s="68" t="str" cm="1">
        <f t="array" ref="AI336">CalculerNouvelleDate(S336,AH336)</f>
        <v/>
      </c>
      <c r="AJ336" s="68" t="str" cm="1">
        <f t="array" ref="AJ336">CalculerNouvelleDate(T336,AI336)</f>
        <v/>
      </c>
      <c r="AK336" s="68" t="str" cm="1">
        <f t="array" ref="AK336">CalculerNouvelleDate(U336,AJ336)</f>
        <v/>
      </c>
      <c r="AL336" s="68" t="str" cm="1">
        <f t="array" ref="AL336">CalculerNouvelleDate(V336,AK336)</f>
        <v/>
      </c>
      <c r="AM336" s="83" t="str" cm="1">
        <f t="array" ref="AM336">CorrespondanceDAte(X336:AL336,D337)</f>
        <v>0</v>
      </c>
      <c r="AN336" s="1"/>
      <c r="AO336" s="1"/>
      <c r="AP336" s="1"/>
      <c r="AQ336" s="1"/>
      <c r="AR336" s="1"/>
      <c r="AS336" s="1"/>
      <c r="AT336" s="1"/>
      <c r="AU336" s="1"/>
      <c r="AV336" s="1"/>
      <c r="AW336" s="1"/>
      <c r="AX336" s="1"/>
      <c r="AY336" s="1"/>
      <c r="AZ336" s="1"/>
      <c r="BA336" s="1"/>
    </row>
    <row r="337" spans="1:53" x14ac:dyDescent="0.3">
      <c r="A337" s="1"/>
      <c r="B337" s="11"/>
      <c r="C337" s="1" t="s">
        <v>568</v>
      </c>
      <c r="D337" s="1"/>
      <c r="E337" s="1"/>
      <c r="F337" s="1"/>
      <c r="G337" s="1"/>
      <c r="H337" s="43"/>
      <c r="I337" s="46"/>
      <c r="J337" s="46"/>
      <c r="K337" s="46"/>
      <c r="L337" s="46"/>
      <c r="M337" s="46"/>
      <c r="N337" s="46"/>
      <c r="O337" s="46"/>
      <c r="P337" s="46"/>
      <c r="Q337" s="46"/>
      <c r="R337" s="46"/>
      <c r="S337" s="46"/>
      <c r="T337" s="46"/>
      <c r="U337" s="46"/>
      <c r="V337" s="46"/>
      <c r="W337" s="62"/>
      <c r="X337" s="67"/>
      <c r="Y337" s="68" t="str" cm="1">
        <f t="array" ref="Y337">CalculerNouvelleDate(I337,X337)</f>
        <v/>
      </c>
      <c r="Z337" s="68" t="str" cm="1">
        <f t="array" ref="Z337">CalculerNouvelleDate(J337,Y337)</f>
        <v/>
      </c>
      <c r="AA337" s="68" t="str" cm="1">
        <f t="array" ref="AA337">CalculerNouvelleDate(K337,Z337)</f>
        <v/>
      </c>
      <c r="AB337" s="68" t="str" cm="1">
        <f t="array" ref="AB337">CalculerNouvelleDate(L337,AA337)</f>
        <v/>
      </c>
      <c r="AC337" s="68" t="str" cm="1">
        <f t="array" ref="AC337">CalculerNouvelleDate(M337,AB337)</f>
        <v/>
      </c>
      <c r="AD337" s="68" t="str" cm="1">
        <f t="array" ref="AD337">CalculerNouvelleDate(N337,AC337)</f>
        <v/>
      </c>
      <c r="AE337" s="68" t="str" cm="1">
        <f t="array" ref="AE337">CalculerNouvelleDate(O337,AD337)</f>
        <v/>
      </c>
      <c r="AF337" s="68" t="str" cm="1">
        <f t="array" ref="AF337">CalculerNouvelleDate(P337,AE337)</f>
        <v/>
      </c>
      <c r="AG337" s="68" t="str" cm="1">
        <f t="array" ref="AG337">CalculerNouvelleDate(Q337,AF337)</f>
        <v/>
      </c>
      <c r="AH337" s="68" t="str" cm="1">
        <f t="array" ref="AH337">CalculerNouvelleDate(R337,AG337)</f>
        <v/>
      </c>
      <c r="AI337" s="68" t="str" cm="1">
        <f t="array" ref="AI337">CalculerNouvelleDate(S337,AH337)</f>
        <v/>
      </c>
      <c r="AJ337" s="68" t="str" cm="1">
        <f t="array" ref="AJ337">CalculerNouvelleDate(T337,AI337)</f>
        <v/>
      </c>
      <c r="AK337" s="68" t="str" cm="1">
        <f t="array" ref="AK337">CalculerNouvelleDate(U337,AJ337)</f>
        <v/>
      </c>
      <c r="AL337" s="68" t="str" cm="1">
        <f t="array" ref="AL337">CalculerNouvelleDate(V337,AK337)</f>
        <v/>
      </c>
      <c r="AM337" s="83" t="str" cm="1">
        <f t="array" ref="AM337">CorrespondanceDAte(X337:AL337,D338)</f>
        <v>0</v>
      </c>
      <c r="AN337" s="1"/>
      <c r="AO337" s="1"/>
      <c r="AP337" s="1"/>
      <c r="AQ337" s="1"/>
      <c r="AR337" s="1"/>
      <c r="AS337" s="1"/>
      <c r="AT337" s="1"/>
      <c r="AU337" s="1"/>
      <c r="AV337" s="1"/>
      <c r="AW337" s="1"/>
      <c r="AX337" s="1"/>
      <c r="AY337" s="1"/>
      <c r="AZ337" s="1"/>
      <c r="BA337" s="1"/>
    </row>
    <row r="338" spans="1:53" x14ac:dyDescent="0.3">
      <c r="A338" s="1"/>
      <c r="B338" s="11"/>
      <c r="C338" s="1" t="s">
        <v>569</v>
      </c>
      <c r="D338" s="1"/>
      <c r="E338" s="1"/>
      <c r="F338" s="1"/>
      <c r="G338" s="1"/>
      <c r="H338" s="43"/>
      <c r="I338" s="46"/>
      <c r="J338" s="46"/>
      <c r="K338" s="46"/>
      <c r="L338" s="46"/>
      <c r="M338" s="46"/>
      <c r="N338" s="46"/>
      <c r="O338" s="46"/>
      <c r="P338" s="46"/>
      <c r="Q338" s="46"/>
      <c r="R338" s="46"/>
      <c r="S338" s="46"/>
      <c r="T338" s="46"/>
      <c r="U338" s="46"/>
      <c r="V338" s="46"/>
      <c r="W338" s="62"/>
      <c r="X338" s="67"/>
      <c r="Y338" s="68" t="str" cm="1">
        <f t="array" ref="Y338">CalculerNouvelleDate(I338,X338)</f>
        <v/>
      </c>
      <c r="Z338" s="68" t="str" cm="1">
        <f t="array" ref="Z338">CalculerNouvelleDate(J338,Y338)</f>
        <v/>
      </c>
      <c r="AA338" s="68" t="str" cm="1">
        <f t="array" ref="AA338">CalculerNouvelleDate(K338,Z338)</f>
        <v/>
      </c>
      <c r="AB338" s="68" t="str" cm="1">
        <f t="array" ref="AB338">CalculerNouvelleDate(L338,AA338)</f>
        <v/>
      </c>
      <c r="AC338" s="68" t="str" cm="1">
        <f t="array" ref="AC338">CalculerNouvelleDate(M338,AB338)</f>
        <v/>
      </c>
      <c r="AD338" s="68" t="str" cm="1">
        <f t="array" ref="AD338">CalculerNouvelleDate(N338,AC338)</f>
        <v/>
      </c>
      <c r="AE338" s="68" t="str" cm="1">
        <f t="array" ref="AE338">CalculerNouvelleDate(O338,AD338)</f>
        <v/>
      </c>
      <c r="AF338" s="68" t="str" cm="1">
        <f t="array" ref="AF338">CalculerNouvelleDate(P338,AE338)</f>
        <v/>
      </c>
      <c r="AG338" s="68" t="str" cm="1">
        <f t="array" ref="AG338">CalculerNouvelleDate(Q338,AF338)</f>
        <v/>
      </c>
      <c r="AH338" s="68" t="str" cm="1">
        <f t="array" ref="AH338">CalculerNouvelleDate(R338,AG338)</f>
        <v/>
      </c>
      <c r="AI338" s="68" t="str" cm="1">
        <f t="array" ref="AI338">CalculerNouvelleDate(S338,AH338)</f>
        <v/>
      </c>
      <c r="AJ338" s="68" t="str" cm="1">
        <f t="array" ref="AJ338">CalculerNouvelleDate(T338,AI338)</f>
        <v/>
      </c>
      <c r="AK338" s="68" t="str" cm="1">
        <f t="array" ref="AK338">CalculerNouvelleDate(U338,AJ338)</f>
        <v/>
      </c>
      <c r="AL338" s="68" t="str" cm="1">
        <f t="array" ref="AL338">CalculerNouvelleDate(V338,AK338)</f>
        <v/>
      </c>
      <c r="AM338" s="83" t="str" cm="1">
        <f t="array" ref="AM338">CorrespondanceDAte(X338:AL338,D339)</f>
        <v>0</v>
      </c>
      <c r="AN338" s="1"/>
      <c r="AO338" s="1"/>
      <c r="AP338" s="1"/>
      <c r="AQ338" s="1"/>
      <c r="AR338" s="1"/>
      <c r="AS338" s="1"/>
      <c r="AT338" s="1"/>
      <c r="AU338" s="1"/>
      <c r="AV338" s="1"/>
      <c r="AW338" s="1"/>
      <c r="AX338" s="1"/>
      <c r="AY338" s="1"/>
      <c r="AZ338" s="1"/>
      <c r="BA338" s="1"/>
    </row>
    <row r="339" spans="1:53" x14ac:dyDescent="0.3">
      <c r="A339" s="1"/>
      <c r="B339" s="11"/>
      <c r="C339" s="1" t="s">
        <v>570</v>
      </c>
      <c r="D339" s="1"/>
      <c r="E339" s="1"/>
      <c r="F339" s="1"/>
      <c r="G339" s="1"/>
      <c r="H339" s="43"/>
      <c r="I339" s="46"/>
      <c r="J339" s="46"/>
      <c r="K339" s="46"/>
      <c r="L339" s="46"/>
      <c r="M339" s="46"/>
      <c r="N339" s="46"/>
      <c r="O339" s="46"/>
      <c r="P339" s="46"/>
      <c r="Q339" s="46"/>
      <c r="R339" s="46"/>
      <c r="S339" s="46"/>
      <c r="T339" s="46"/>
      <c r="U339" s="46"/>
      <c r="V339" s="46"/>
      <c r="W339" s="62"/>
      <c r="X339" s="67"/>
      <c r="Y339" s="68" t="str" cm="1">
        <f t="array" ref="Y339">CalculerNouvelleDate(I339,X339)</f>
        <v/>
      </c>
      <c r="Z339" s="68" t="str" cm="1">
        <f t="array" ref="Z339">CalculerNouvelleDate(J339,Y339)</f>
        <v/>
      </c>
      <c r="AA339" s="68" t="str" cm="1">
        <f t="array" ref="AA339">CalculerNouvelleDate(K339,Z339)</f>
        <v/>
      </c>
      <c r="AB339" s="68" t="str" cm="1">
        <f t="array" ref="AB339">CalculerNouvelleDate(L339,AA339)</f>
        <v/>
      </c>
      <c r="AC339" s="68" t="str" cm="1">
        <f t="array" ref="AC339">CalculerNouvelleDate(M339,AB339)</f>
        <v/>
      </c>
      <c r="AD339" s="68" t="str" cm="1">
        <f t="array" ref="AD339">CalculerNouvelleDate(N339,AC339)</f>
        <v/>
      </c>
      <c r="AE339" s="68" t="str" cm="1">
        <f t="array" ref="AE339">CalculerNouvelleDate(O339,AD339)</f>
        <v/>
      </c>
      <c r="AF339" s="68" t="str" cm="1">
        <f t="array" ref="AF339">CalculerNouvelleDate(P339,AE339)</f>
        <v/>
      </c>
      <c r="AG339" s="68" t="str" cm="1">
        <f t="array" ref="AG339">CalculerNouvelleDate(Q339,AF339)</f>
        <v/>
      </c>
      <c r="AH339" s="68" t="str" cm="1">
        <f t="array" ref="AH339">CalculerNouvelleDate(R339,AG339)</f>
        <v/>
      </c>
      <c r="AI339" s="68" t="str" cm="1">
        <f t="array" ref="AI339">CalculerNouvelleDate(S339,AH339)</f>
        <v/>
      </c>
      <c r="AJ339" s="68" t="str" cm="1">
        <f t="array" ref="AJ339">CalculerNouvelleDate(T339,AI339)</f>
        <v/>
      </c>
      <c r="AK339" s="68" t="str" cm="1">
        <f t="array" ref="AK339">CalculerNouvelleDate(U339,AJ339)</f>
        <v/>
      </c>
      <c r="AL339" s="68" t="str" cm="1">
        <f t="array" ref="AL339">CalculerNouvelleDate(V339,AK339)</f>
        <v/>
      </c>
      <c r="AM339" s="83" t="str" cm="1">
        <f t="array" ref="AM339">CorrespondanceDAte(X339:AL339,D340)</f>
        <v>0</v>
      </c>
      <c r="AN339" s="1"/>
      <c r="AO339" s="1"/>
      <c r="AP339" s="1"/>
      <c r="AQ339" s="1"/>
      <c r="AR339" s="1"/>
      <c r="AS339" s="1"/>
      <c r="AT339" s="1"/>
      <c r="AU339" s="1"/>
      <c r="AV339" s="1"/>
      <c r="AW339" s="1"/>
      <c r="AX339" s="1"/>
      <c r="AY339" s="1"/>
      <c r="AZ339" s="1"/>
      <c r="BA339" s="1"/>
    </row>
    <row r="340" spans="1:53" x14ac:dyDescent="0.3">
      <c r="A340" s="1"/>
      <c r="B340" s="11">
        <v>8</v>
      </c>
      <c r="C340" s="1" t="s">
        <v>77</v>
      </c>
      <c r="D340" s="1"/>
      <c r="E340" s="1"/>
      <c r="F340" s="1"/>
      <c r="G340" s="1"/>
      <c r="H340" s="43"/>
      <c r="I340" s="1"/>
      <c r="J340" s="1"/>
      <c r="K340" s="1"/>
      <c r="L340" s="1"/>
      <c r="M340" s="1"/>
      <c r="N340" s="1"/>
      <c r="O340" s="1"/>
      <c r="P340" s="1"/>
      <c r="Q340" s="1"/>
      <c r="R340" s="1"/>
      <c r="S340" s="1"/>
      <c r="T340" s="1"/>
      <c r="U340" s="1"/>
      <c r="V340" s="1"/>
      <c r="W340" s="11"/>
      <c r="X340" s="67"/>
      <c r="Y340" s="68" t="str" cm="1">
        <f t="array" ref="Y340">CalculerNouvelleDate(I340,X340)</f>
        <v/>
      </c>
      <c r="Z340" s="68" t="str" cm="1">
        <f t="array" ref="Z340">CalculerNouvelleDate(J340,Y340)</f>
        <v/>
      </c>
      <c r="AA340" s="68" t="str" cm="1">
        <f t="array" ref="AA340">CalculerNouvelleDate(K340,Z340)</f>
        <v/>
      </c>
      <c r="AB340" s="68" t="str" cm="1">
        <f t="array" ref="AB340">CalculerNouvelleDate(L340,AA340)</f>
        <v/>
      </c>
      <c r="AC340" s="68" t="str" cm="1">
        <f t="array" ref="AC340">CalculerNouvelleDate(M340,AB340)</f>
        <v/>
      </c>
      <c r="AD340" s="68" t="str" cm="1">
        <f t="array" ref="AD340">CalculerNouvelleDate(N340,AC340)</f>
        <v/>
      </c>
      <c r="AE340" s="68" t="str" cm="1">
        <f t="array" ref="AE340">CalculerNouvelleDate(O340,AD340)</f>
        <v/>
      </c>
      <c r="AF340" s="68" t="str" cm="1">
        <f t="array" ref="AF340">CalculerNouvelleDate(P340,AE340)</f>
        <v/>
      </c>
      <c r="AG340" s="68" t="str" cm="1">
        <f t="array" ref="AG340">CalculerNouvelleDate(Q340,AF340)</f>
        <v/>
      </c>
      <c r="AH340" s="68" t="str" cm="1">
        <f t="array" ref="AH340">CalculerNouvelleDate(R340,AG340)</f>
        <v/>
      </c>
      <c r="AI340" s="68" t="str" cm="1">
        <f t="array" ref="AI340">CalculerNouvelleDate(S340,AH340)</f>
        <v/>
      </c>
      <c r="AJ340" s="68" t="str" cm="1">
        <f t="array" ref="AJ340">CalculerNouvelleDate(T340,AI340)</f>
        <v/>
      </c>
      <c r="AK340" s="68" t="str" cm="1">
        <f t="array" ref="AK340">CalculerNouvelleDate(U340,AJ340)</f>
        <v/>
      </c>
      <c r="AL340" s="68" t="str" cm="1">
        <f t="array" ref="AL340">CalculerNouvelleDate(V340,AK340)</f>
        <v/>
      </c>
      <c r="AM340" s="83" t="str" cm="1">
        <f t="array" ref="AM340">CorrespondanceDAte(X340:AL340,D341)</f>
        <v>0</v>
      </c>
      <c r="AN340" s="1"/>
      <c r="AO340" s="1"/>
      <c r="AP340" s="1"/>
      <c r="AQ340" s="1"/>
      <c r="AR340" s="1"/>
      <c r="AS340" s="1"/>
      <c r="AT340" s="1"/>
      <c r="AU340" s="1"/>
      <c r="AV340" s="1"/>
      <c r="AW340" s="1"/>
      <c r="AX340" s="1"/>
      <c r="AY340" s="1"/>
      <c r="AZ340" s="1"/>
      <c r="BA340" s="1"/>
    </row>
    <row r="341" spans="1:53" x14ac:dyDescent="0.3">
      <c r="A341" s="1"/>
      <c r="B341" s="11"/>
      <c r="C341" s="1" t="s">
        <v>574</v>
      </c>
      <c r="D341" s="1"/>
      <c r="E341" s="1"/>
      <c r="F341" s="1"/>
      <c r="G341" s="1"/>
      <c r="H341" s="43"/>
      <c r="I341" s="46"/>
      <c r="J341" s="46"/>
      <c r="K341" s="46"/>
      <c r="L341" s="46"/>
      <c r="M341" s="46"/>
      <c r="N341" s="46"/>
      <c r="O341" s="46"/>
      <c r="P341" s="46"/>
      <c r="Q341" s="46"/>
      <c r="R341" s="46"/>
      <c r="S341" s="46"/>
      <c r="T341" s="46"/>
      <c r="U341" s="46"/>
      <c r="V341" s="46"/>
      <c r="W341" s="62"/>
      <c r="X341" s="67"/>
      <c r="Y341" s="68" t="str" cm="1">
        <f t="array" ref="Y341">CalculerNouvelleDate(I341,X341)</f>
        <v/>
      </c>
      <c r="Z341" s="68" t="str" cm="1">
        <f t="array" ref="Z341">CalculerNouvelleDate(J341,Y341)</f>
        <v/>
      </c>
      <c r="AA341" s="68" t="str" cm="1">
        <f t="array" ref="AA341">CalculerNouvelleDate(K341,Z341)</f>
        <v/>
      </c>
      <c r="AB341" s="68" t="str" cm="1">
        <f t="array" ref="AB341">CalculerNouvelleDate(L341,AA341)</f>
        <v/>
      </c>
      <c r="AC341" s="68" t="str" cm="1">
        <f t="array" ref="AC341">CalculerNouvelleDate(M341,AB341)</f>
        <v/>
      </c>
      <c r="AD341" s="68" t="str" cm="1">
        <f t="array" ref="AD341">CalculerNouvelleDate(N341,AC341)</f>
        <v/>
      </c>
      <c r="AE341" s="68" t="str" cm="1">
        <f t="array" ref="AE341">CalculerNouvelleDate(O341,AD341)</f>
        <v/>
      </c>
      <c r="AF341" s="68" t="str" cm="1">
        <f t="array" ref="AF341">CalculerNouvelleDate(P341,AE341)</f>
        <v/>
      </c>
      <c r="AG341" s="68" t="str" cm="1">
        <f t="array" ref="AG341">CalculerNouvelleDate(Q341,AF341)</f>
        <v/>
      </c>
      <c r="AH341" s="68" t="str" cm="1">
        <f t="array" ref="AH341">CalculerNouvelleDate(R341,AG341)</f>
        <v/>
      </c>
      <c r="AI341" s="68" t="str" cm="1">
        <f t="array" ref="AI341">CalculerNouvelleDate(S341,AH341)</f>
        <v/>
      </c>
      <c r="AJ341" s="68" t="str" cm="1">
        <f t="array" ref="AJ341">CalculerNouvelleDate(T341,AI341)</f>
        <v/>
      </c>
      <c r="AK341" s="68" t="str" cm="1">
        <f t="array" ref="AK341">CalculerNouvelleDate(U341,AJ341)</f>
        <v/>
      </c>
      <c r="AL341" s="68" t="str" cm="1">
        <f t="array" ref="AL341">CalculerNouvelleDate(V341,AK341)</f>
        <v/>
      </c>
      <c r="AM341" s="83" t="str" cm="1">
        <f t="array" ref="AM341">CorrespondanceDAte(X341:AL341,D342)</f>
        <v>0</v>
      </c>
      <c r="AN341" s="1"/>
      <c r="AO341" s="1"/>
      <c r="AP341" s="1"/>
      <c r="AQ341" s="1"/>
      <c r="AR341" s="1"/>
      <c r="AS341" s="1"/>
      <c r="AT341" s="1"/>
      <c r="AU341" s="1"/>
      <c r="AV341" s="1"/>
      <c r="AW341" s="1"/>
      <c r="AX341" s="1"/>
      <c r="AY341" s="1"/>
      <c r="AZ341" s="1"/>
      <c r="BA341" s="1"/>
    </row>
    <row r="342" spans="1:53" x14ac:dyDescent="0.3">
      <c r="A342" s="1"/>
      <c r="B342" s="11"/>
      <c r="C342" s="1" t="s">
        <v>575</v>
      </c>
      <c r="D342" s="1"/>
      <c r="E342" s="1"/>
      <c r="F342" s="1"/>
      <c r="G342" s="1"/>
      <c r="H342" s="43"/>
      <c r="I342" s="46"/>
      <c r="J342" s="46"/>
      <c r="K342" s="46"/>
      <c r="L342" s="46"/>
      <c r="M342" s="46"/>
      <c r="N342" s="46"/>
      <c r="O342" s="46"/>
      <c r="P342" s="46"/>
      <c r="Q342" s="46"/>
      <c r="R342" s="46"/>
      <c r="S342" s="46"/>
      <c r="T342" s="46"/>
      <c r="U342" s="46"/>
      <c r="V342" s="46"/>
      <c r="W342" s="62"/>
      <c r="X342" s="67"/>
      <c r="Y342" s="68" t="str" cm="1">
        <f t="array" ref="Y342">CalculerNouvelleDate(I342,X342)</f>
        <v/>
      </c>
      <c r="Z342" s="68" t="str" cm="1">
        <f t="array" ref="Z342">CalculerNouvelleDate(J342,Y342)</f>
        <v/>
      </c>
      <c r="AA342" s="68" t="str" cm="1">
        <f t="array" ref="AA342">CalculerNouvelleDate(K342,Z342)</f>
        <v/>
      </c>
      <c r="AB342" s="68" t="str" cm="1">
        <f t="array" ref="AB342">CalculerNouvelleDate(L342,AA342)</f>
        <v/>
      </c>
      <c r="AC342" s="68" t="str" cm="1">
        <f t="array" ref="AC342">CalculerNouvelleDate(M342,AB342)</f>
        <v/>
      </c>
      <c r="AD342" s="68" t="str" cm="1">
        <f t="array" ref="AD342">CalculerNouvelleDate(N342,AC342)</f>
        <v/>
      </c>
      <c r="AE342" s="68" t="str" cm="1">
        <f t="array" ref="AE342">CalculerNouvelleDate(O342,AD342)</f>
        <v/>
      </c>
      <c r="AF342" s="68" t="str" cm="1">
        <f t="array" ref="AF342">CalculerNouvelleDate(P342,AE342)</f>
        <v/>
      </c>
      <c r="AG342" s="68" t="str" cm="1">
        <f t="array" ref="AG342">CalculerNouvelleDate(Q342,AF342)</f>
        <v/>
      </c>
      <c r="AH342" s="68" t="str" cm="1">
        <f t="array" ref="AH342">CalculerNouvelleDate(R342,AG342)</f>
        <v/>
      </c>
      <c r="AI342" s="68" t="str" cm="1">
        <f t="array" ref="AI342">CalculerNouvelleDate(S342,AH342)</f>
        <v/>
      </c>
      <c r="AJ342" s="68" t="str" cm="1">
        <f t="array" ref="AJ342">CalculerNouvelleDate(T342,AI342)</f>
        <v/>
      </c>
      <c r="AK342" s="68" t="str" cm="1">
        <f t="array" ref="AK342">CalculerNouvelleDate(U342,AJ342)</f>
        <v/>
      </c>
      <c r="AL342" s="68" t="str" cm="1">
        <f t="array" ref="AL342">CalculerNouvelleDate(V342,AK342)</f>
        <v/>
      </c>
      <c r="AM342" s="83" t="str" cm="1">
        <f t="array" ref="AM342">CorrespondanceDAte(X342:AL342,D343)</f>
        <v>0</v>
      </c>
      <c r="AN342" s="1"/>
      <c r="AO342" s="1"/>
      <c r="AP342" s="1"/>
      <c r="AQ342" s="1"/>
      <c r="AR342" s="1"/>
      <c r="AS342" s="1"/>
      <c r="AT342" s="1"/>
      <c r="AU342" s="1"/>
      <c r="AV342" s="1"/>
      <c r="AW342" s="1"/>
      <c r="AX342" s="1"/>
      <c r="AY342" s="1"/>
      <c r="AZ342" s="1"/>
      <c r="BA342" s="1"/>
    </row>
    <row r="343" spans="1:53" x14ac:dyDescent="0.3">
      <c r="A343" s="1"/>
      <c r="B343" s="11">
        <f>B340+1</f>
        <v>9</v>
      </c>
      <c r="C343" s="1" t="s">
        <v>78</v>
      </c>
      <c r="D343" s="1"/>
      <c r="E343" s="1"/>
      <c r="F343" s="1"/>
      <c r="G343" s="1"/>
      <c r="H343" s="43"/>
      <c r="I343" s="1"/>
      <c r="J343" s="1"/>
      <c r="K343" s="1"/>
      <c r="L343" s="1"/>
      <c r="M343" s="1"/>
      <c r="N343" s="1"/>
      <c r="O343" s="1"/>
      <c r="P343" s="1"/>
      <c r="Q343" s="1"/>
      <c r="R343" s="1"/>
      <c r="S343" s="1"/>
      <c r="T343" s="1"/>
      <c r="U343" s="1"/>
      <c r="V343" s="1"/>
      <c r="W343" s="11"/>
      <c r="X343" s="67"/>
      <c r="Y343" s="68" t="str" cm="1">
        <f t="array" ref="Y343">CalculerNouvelleDate(I343,X343)</f>
        <v/>
      </c>
      <c r="Z343" s="68" t="str" cm="1">
        <f t="array" ref="Z343">CalculerNouvelleDate(J343,Y343)</f>
        <v/>
      </c>
      <c r="AA343" s="68" t="str" cm="1">
        <f t="array" ref="AA343">CalculerNouvelleDate(K343,Z343)</f>
        <v/>
      </c>
      <c r="AB343" s="68" t="str" cm="1">
        <f t="array" ref="AB343">CalculerNouvelleDate(L343,AA343)</f>
        <v/>
      </c>
      <c r="AC343" s="68" t="str" cm="1">
        <f t="array" ref="AC343">CalculerNouvelleDate(M343,AB343)</f>
        <v/>
      </c>
      <c r="AD343" s="68" t="str" cm="1">
        <f t="array" ref="AD343">CalculerNouvelleDate(N343,AC343)</f>
        <v/>
      </c>
      <c r="AE343" s="68" t="str" cm="1">
        <f t="array" ref="AE343">CalculerNouvelleDate(O343,AD343)</f>
        <v/>
      </c>
      <c r="AF343" s="68" t="str" cm="1">
        <f t="array" ref="AF343">CalculerNouvelleDate(P343,AE343)</f>
        <v/>
      </c>
      <c r="AG343" s="68" t="str" cm="1">
        <f t="array" ref="AG343">CalculerNouvelleDate(Q343,AF343)</f>
        <v/>
      </c>
      <c r="AH343" s="68" t="str" cm="1">
        <f t="array" ref="AH343">CalculerNouvelleDate(R343,AG343)</f>
        <v/>
      </c>
      <c r="AI343" s="68" t="str" cm="1">
        <f t="array" ref="AI343">CalculerNouvelleDate(S343,AH343)</f>
        <v/>
      </c>
      <c r="AJ343" s="68" t="str" cm="1">
        <f t="array" ref="AJ343">CalculerNouvelleDate(T343,AI343)</f>
        <v/>
      </c>
      <c r="AK343" s="68" t="str" cm="1">
        <f t="array" ref="AK343">CalculerNouvelleDate(U343,AJ343)</f>
        <v/>
      </c>
      <c r="AL343" s="68" t="str" cm="1">
        <f t="array" ref="AL343">CalculerNouvelleDate(V343,AK343)</f>
        <v/>
      </c>
      <c r="AM343" s="83" t="str" cm="1">
        <f t="array" ref="AM343">CorrespondanceDAte(X343:AL343,D344)</f>
        <v>0</v>
      </c>
      <c r="AN343" s="1"/>
      <c r="AO343" s="1"/>
      <c r="AP343" s="1"/>
      <c r="AQ343" s="1"/>
      <c r="AR343" s="1"/>
      <c r="AS343" s="1"/>
      <c r="AT343" s="1"/>
      <c r="AU343" s="1"/>
      <c r="AV343" s="1"/>
      <c r="AW343" s="1"/>
      <c r="AX343" s="1"/>
      <c r="AY343" s="1"/>
      <c r="AZ343" s="1"/>
      <c r="BA343" s="1"/>
    </row>
    <row r="344" spans="1:53" x14ac:dyDescent="0.3">
      <c r="A344" s="1"/>
      <c r="B344" s="11" t="s">
        <v>416</v>
      </c>
      <c r="C344" s="1" t="s">
        <v>736</v>
      </c>
      <c r="D344" s="1"/>
      <c r="E344" s="1"/>
      <c r="F344" s="1"/>
      <c r="G344" s="1"/>
      <c r="H344" s="43"/>
      <c r="I344" s="46"/>
      <c r="J344" s="46"/>
      <c r="K344" s="46"/>
      <c r="L344" s="46"/>
      <c r="M344" s="46"/>
      <c r="N344" s="46"/>
      <c r="O344" s="46"/>
      <c r="P344" s="46"/>
      <c r="Q344" s="46"/>
      <c r="R344" s="46"/>
      <c r="S344" s="46"/>
      <c r="T344" s="46"/>
      <c r="U344" s="46"/>
      <c r="V344" s="46"/>
      <c r="W344" s="62"/>
      <c r="X344" s="67"/>
      <c r="Y344" s="68" t="str" cm="1">
        <f t="array" ref="Y344">CalculerNouvelleDate(I344,X344)</f>
        <v/>
      </c>
      <c r="Z344" s="68" t="str" cm="1">
        <f t="array" ref="Z344">CalculerNouvelleDate(J344,Y344)</f>
        <v/>
      </c>
      <c r="AA344" s="68" t="str" cm="1">
        <f t="array" ref="AA344">CalculerNouvelleDate(K344,Z344)</f>
        <v/>
      </c>
      <c r="AB344" s="68" t="str" cm="1">
        <f t="array" ref="AB344">CalculerNouvelleDate(L344,AA344)</f>
        <v/>
      </c>
      <c r="AC344" s="68" t="str" cm="1">
        <f t="array" ref="AC344">CalculerNouvelleDate(M344,AB344)</f>
        <v/>
      </c>
      <c r="AD344" s="68" t="str" cm="1">
        <f t="array" ref="AD344">CalculerNouvelleDate(N344,AC344)</f>
        <v/>
      </c>
      <c r="AE344" s="68" t="str" cm="1">
        <f t="array" ref="AE344">CalculerNouvelleDate(O344,AD344)</f>
        <v/>
      </c>
      <c r="AF344" s="68" t="str" cm="1">
        <f t="array" ref="AF344">CalculerNouvelleDate(P344,AE344)</f>
        <v/>
      </c>
      <c r="AG344" s="68" t="str" cm="1">
        <f t="array" ref="AG344">CalculerNouvelleDate(Q344,AF344)</f>
        <v/>
      </c>
      <c r="AH344" s="68" t="str" cm="1">
        <f t="array" ref="AH344">CalculerNouvelleDate(R344,AG344)</f>
        <v/>
      </c>
      <c r="AI344" s="68" t="str" cm="1">
        <f t="array" ref="AI344">CalculerNouvelleDate(S344,AH344)</f>
        <v/>
      </c>
      <c r="AJ344" s="68" t="str" cm="1">
        <f t="array" ref="AJ344">CalculerNouvelleDate(T344,AI344)</f>
        <v/>
      </c>
      <c r="AK344" s="68" t="str" cm="1">
        <f t="array" ref="AK344">CalculerNouvelleDate(U344,AJ344)</f>
        <v/>
      </c>
      <c r="AL344" s="68" t="str" cm="1">
        <f t="array" ref="AL344">CalculerNouvelleDate(V344,AK344)</f>
        <v/>
      </c>
      <c r="AM344" s="83" t="str" cm="1">
        <f t="array" ref="AM344">CorrespondanceDAte(X344:AL344,D345)</f>
        <v>0</v>
      </c>
      <c r="AN344" s="1"/>
      <c r="AO344" s="1"/>
      <c r="AP344" s="1"/>
      <c r="AQ344" s="1"/>
      <c r="AR344" s="1"/>
      <c r="AS344" s="1"/>
      <c r="AT344" s="1"/>
      <c r="AU344" s="1"/>
      <c r="AV344" s="1"/>
      <c r="AW344" s="1"/>
      <c r="AX344" s="1"/>
      <c r="AY344" s="1"/>
      <c r="AZ344" s="1"/>
      <c r="BA344" s="1"/>
    </row>
    <row r="345" spans="1:53" x14ac:dyDescent="0.3">
      <c r="A345" s="1"/>
      <c r="B345" s="11"/>
      <c r="C345" s="1" t="s">
        <v>581</v>
      </c>
      <c r="D345" s="1"/>
      <c r="E345" s="1"/>
      <c r="F345" s="1"/>
      <c r="G345" s="1"/>
      <c r="H345" s="43"/>
      <c r="I345" s="46"/>
      <c r="J345" s="46"/>
      <c r="K345" s="46"/>
      <c r="L345" s="46"/>
      <c r="M345" s="46"/>
      <c r="N345" s="46"/>
      <c r="O345" s="46"/>
      <c r="P345" s="46"/>
      <c r="Q345" s="46"/>
      <c r="R345" s="46"/>
      <c r="S345" s="46"/>
      <c r="T345" s="46"/>
      <c r="U345" s="46"/>
      <c r="V345" s="46"/>
      <c r="W345" s="62"/>
      <c r="X345" s="67"/>
      <c r="Y345" s="68" t="str" cm="1">
        <f t="array" ref="Y345">CalculerNouvelleDate(I345,X345)</f>
        <v/>
      </c>
      <c r="Z345" s="68" t="str" cm="1">
        <f t="array" ref="Z345">CalculerNouvelleDate(J345,Y345)</f>
        <v/>
      </c>
      <c r="AA345" s="68" t="str" cm="1">
        <f t="array" ref="AA345">CalculerNouvelleDate(K345,Z345)</f>
        <v/>
      </c>
      <c r="AB345" s="68" t="str" cm="1">
        <f t="array" ref="AB345">CalculerNouvelleDate(L345,AA345)</f>
        <v/>
      </c>
      <c r="AC345" s="68" t="str" cm="1">
        <f t="array" ref="AC345">CalculerNouvelleDate(M345,AB345)</f>
        <v/>
      </c>
      <c r="AD345" s="68" t="str" cm="1">
        <f t="array" ref="AD345">CalculerNouvelleDate(N345,AC345)</f>
        <v/>
      </c>
      <c r="AE345" s="68" t="str" cm="1">
        <f t="array" ref="AE345">CalculerNouvelleDate(O345,AD345)</f>
        <v/>
      </c>
      <c r="AF345" s="68" t="str" cm="1">
        <f t="array" ref="AF345">CalculerNouvelleDate(P345,AE345)</f>
        <v/>
      </c>
      <c r="AG345" s="68" t="str" cm="1">
        <f t="array" ref="AG345">CalculerNouvelleDate(Q345,AF345)</f>
        <v/>
      </c>
      <c r="AH345" s="68" t="str" cm="1">
        <f t="array" ref="AH345">CalculerNouvelleDate(R345,AG345)</f>
        <v/>
      </c>
      <c r="AI345" s="68" t="str" cm="1">
        <f t="array" ref="AI345">CalculerNouvelleDate(S345,AH345)</f>
        <v/>
      </c>
      <c r="AJ345" s="68" t="str" cm="1">
        <f t="array" ref="AJ345">CalculerNouvelleDate(T345,AI345)</f>
        <v/>
      </c>
      <c r="AK345" s="68" t="str" cm="1">
        <f t="array" ref="AK345">CalculerNouvelleDate(U345,AJ345)</f>
        <v/>
      </c>
      <c r="AL345" s="68" t="str" cm="1">
        <f t="array" ref="AL345">CalculerNouvelleDate(V345,AK345)</f>
        <v/>
      </c>
      <c r="AM345" s="83" t="str" cm="1">
        <f t="array" ref="AM345">CorrespondanceDAte(X345:AL345,D346)</f>
        <v>0</v>
      </c>
      <c r="AN345" s="1"/>
      <c r="AO345" s="1"/>
      <c r="AP345" s="1"/>
      <c r="AQ345" s="1"/>
      <c r="AR345" s="1"/>
      <c r="AS345" s="1"/>
      <c r="AT345" s="1"/>
      <c r="AU345" s="1"/>
      <c r="AV345" s="1"/>
      <c r="AW345" s="1"/>
      <c r="AX345" s="1"/>
      <c r="AY345" s="1"/>
      <c r="AZ345" s="1"/>
      <c r="BA345" s="1"/>
    </row>
    <row r="346" spans="1:53" x14ac:dyDescent="0.3">
      <c r="A346" s="1"/>
      <c r="B346" s="11"/>
      <c r="C346" s="1" t="s">
        <v>737</v>
      </c>
      <c r="D346" s="1"/>
      <c r="E346" s="1"/>
      <c r="F346" s="1"/>
      <c r="G346" s="1"/>
      <c r="H346" s="43"/>
      <c r="I346" s="46"/>
      <c r="J346" s="46"/>
      <c r="K346" s="46"/>
      <c r="L346" s="46"/>
      <c r="M346" s="46"/>
      <c r="N346" s="46"/>
      <c r="O346" s="46"/>
      <c r="P346" s="46"/>
      <c r="Q346" s="46"/>
      <c r="R346" s="46"/>
      <c r="S346" s="46"/>
      <c r="T346" s="46"/>
      <c r="U346" s="46"/>
      <c r="V346" s="46"/>
      <c r="W346" s="62"/>
      <c r="X346" s="67"/>
      <c r="Y346" s="68" t="str" cm="1">
        <f t="array" ref="Y346">CalculerNouvelleDate(I346,X346)</f>
        <v/>
      </c>
      <c r="Z346" s="68" t="str" cm="1">
        <f t="array" ref="Z346">CalculerNouvelleDate(J346,Y346)</f>
        <v/>
      </c>
      <c r="AA346" s="68" t="str" cm="1">
        <f t="array" ref="AA346">CalculerNouvelleDate(K346,Z346)</f>
        <v/>
      </c>
      <c r="AB346" s="68" t="str" cm="1">
        <f t="array" ref="AB346">CalculerNouvelleDate(L346,AA346)</f>
        <v/>
      </c>
      <c r="AC346" s="68" t="str" cm="1">
        <f t="array" ref="AC346">CalculerNouvelleDate(M346,AB346)</f>
        <v/>
      </c>
      <c r="AD346" s="68" t="str" cm="1">
        <f t="array" ref="AD346">CalculerNouvelleDate(N346,AC346)</f>
        <v/>
      </c>
      <c r="AE346" s="68" t="str" cm="1">
        <f t="array" ref="AE346">CalculerNouvelleDate(O346,AD346)</f>
        <v/>
      </c>
      <c r="AF346" s="68" t="str" cm="1">
        <f t="array" ref="AF346">CalculerNouvelleDate(P346,AE346)</f>
        <v/>
      </c>
      <c r="AG346" s="68" t="str" cm="1">
        <f t="array" ref="AG346">CalculerNouvelleDate(Q346,AF346)</f>
        <v/>
      </c>
      <c r="AH346" s="68" t="str" cm="1">
        <f t="array" ref="AH346">CalculerNouvelleDate(R346,AG346)</f>
        <v/>
      </c>
      <c r="AI346" s="68" t="str" cm="1">
        <f t="array" ref="AI346">CalculerNouvelleDate(S346,AH346)</f>
        <v/>
      </c>
      <c r="AJ346" s="68" t="str" cm="1">
        <f t="array" ref="AJ346">CalculerNouvelleDate(T346,AI346)</f>
        <v/>
      </c>
      <c r="AK346" s="68" t="str" cm="1">
        <f t="array" ref="AK346">CalculerNouvelleDate(U346,AJ346)</f>
        <v/>
      </c>
      <c r="AL346" s="68" t="str" cm="1">
        <f t="array" ref="AL346">CalculerNouvelleDate(V346,AK346)</f>
        <v/>
      </c>
      <c r="AM346" s="83" t="str" cm="1">
        <f t="array" ref="AM346">CorrespondanceDAte(X346:AL346,D347)</f>
        <v>0</v>
      </c>
      <c r="AN346" s="1"/>
      <c r="AO346" s="1"/>
      <c r="AP346" s="1"/>
      <c r="AQ346" s="1"/>
      <c r="AR346" s="1"/>
      <c r="AS346" s="1"/>
      <c r="AT346" s="1"/>
      <c r="AU346" s="1"/>
      <c r="AV346" s="1"/>
      <c r="AW346" s="1"/>
      <c r="AX346" s="1"/>
      <c r="AY346" s="1"/>
      <c r="AZ346" s="1"/>
      <c r="BA346" s="1"/>
    </row>
    <row r="347" spans="1:53" x14ac:dyDescent="0.3">
      <c r="A347" s="1"/>
      <c r="B347" s="11">
        <f>B343+1</f>
        <v>10</v>
      </c>
      <c r="C347" s="1" t="s">
        <v>79</v>
      </c>
      <c r="D347" s="1"/>
      <c r="E347" s="1"/>
      <c r="F347" s="1"/>
      <c r="G347" s="1"/>
      <c r="H347" s="43"/>
      <c r="I347" s="1"/>
      <c r="J347" s="1"/>
      <c r="K347" s="1"/>
      <c r="L347" s="1"/>
      <c r="M347" s="1"/>
      <c r="N347" s="1"/>
      <c r="O347" s="1"/>
      <c r="P347" s="1"/>
      <c r="Q347" s="1"/>
      <c r="R347" s="1"/>
      <c r="S347" s="1"/>
      <c r="T347" s="1"/>
      <c r="U347" s="1"/>
      <c r="V347" s="1"/>
      <c r="W347" s="11"/>
      <c r="X347" s="67"/>
      <c r="Y347" s="68" t="str" cm="1">
        <f t="array" ref="Y347">CalculerNouvelleDate(I347,X347)</f>
        <v/>
      </c>
      <c r="Z347" s="68" t="str" cm="1">
        <f t="array" ref="Z347">CalculerNouvelleDate(J347,Y347)</f>
        <v/>
      </c>
      <c r="AA347" s="68" t="str" cm="1">
        <f t="array" ref="AA347">CalculerNouvelleDate(K347,Z347)</f>
        <v/>
      </c>
      <c r="AB347" s="68" t="str" cm="1">
        <f t="array" ref="AB347">CalculerNouvelleDate(L347,AA347)</f>
        <v/>
      </c>
      <c r="AC347" s="68" t="str" cm="1">
        <f t="array" ref="AC347">CalculerNouvelleDate(M347,AB347)</f>
        <v/>
      </c>
      <c r="AD347" s="68" t="str" cm="1">
        <f t="array" ref="AD347">CalculerNouvelleDate(N347,AC347)</f>
        <v/>
      </c>
      <c r="AE347" s="68" t="str" cm="1">
        <f t="array" ref="AE347">CalculerNouvelleDate(O347,AD347)</f>
        <v/>
      </c>
      <c r="AF347" s="68" t="str" cm="1">
        <f t="array" ref="AF347">CalculerNouvelleDate(P347,AE347)</f>
        <v/>
      </c>
      <c r="AG347" s="68" t="str" cm="1">
        <f t="array" ref="AG347">CalculerNouvelleDate(Q347,AF347)</f>
        <v/>
      </c>
      <c r="AH347" s="68" t="str" cm="1">
        <f t="array" ref="AH347">CalculerNouvelleDate(R347,AG347)</f>
        <v/>
      </c>
      <c r="AI347" s="68" t="str" cm="1">
        <f t="array" ref="AI347">CalculerNouvelleDate(S347,AH347)</f>
        <v/>
      </c>
      <c r="AJ347" s="68" t="str" cm="1">
        <f t="array" ref="AJ347">CalculerNouvelleDate(T347,AI347)</f>
        <v/>
      </c>
      <c r="AK347" s="68" t="str" cm="1">
        <f t="array" ref="AK347">CalculerNouvelleDate(U347,AJ347)</f>
        <v/>
      </c>
      <c r="AL347" s="68" t="str" cm="1">
        <f t="array" ref="AL347">CalculerNouvelleDate(V347,AK347)</f>
        <v/>
      </c>
      <c r="AM347" s="83" t="str" cm="1">
        <f t="array" ref="AM347">CorrespondanceDAte(X347:AL347,D348)</f>
        <v>0</v>
      </c>
      <c r="AN347" s="1"/>
      <c r="AO347" s="1"/>
      <c r="AP347" s="1"/>
      <c r="AQ347" s="1"/>
      <c r="AR347" s="1"/>
      <c r="AS347" s="1"/>
      <c r="AT347" s="1"/>
      <c r="AU347" s="1"/>
      <c r="AV347" s="1"/>
      <c r="AW347" s="1"/>
      <c r="AX347" s="1"/>
      <c r="AY347" s="1"/>
      <c r="AZ347" s="1"/>
      <c r="BA347" s="1"/>
    </row>
    <row r="348" spans="1:53" x14ac:dyDescent="0.3">
      <c r="A348" s="1"/>
      <c r="B348" s="11"/>
      <c r="C348" s="1" t="s">
        <v>584</v>
      </c>
      <c r="D348" s="1"/>
      <c r="E348" s="1"/>
      <c r="F348" s="1"/>
      <c r="G348" s="1"/>
      <c r="H348" s="43"/>
      <c r="I348" s="46"/>
      <c r="J348" s="46"/>
      <c r="K348" s="46"/>
      <c r="L348" s="46"/>
      <c r="M348" s="46"/>
      <c r="N348" s="46"/>
      <c r="O348" s="46"/>
      <c r="P348" s="46"/>
      <c r="Q348" s="46"/>
      <c r="R348" s="46"/>
      <c r="S348" s="46"/>
      <c r="T348" s="46"/>
      <c r="U348" s="46"/>
      <c r="V348" s="46"/>
      <c r="W348" s="62"/>
      <c r="X348" s="67"/>
      <c r="Y348" s="68" t="str" cm="1">
        <f t="array" ref="Y348">CalculerNouvelleDate(I348,X348)</f>
        <v/>
      </c>
      <c r="Z348" s="68" t="str" cm="1">
        <f t="array" ref="Z348">CalculerNouvelleDate(J348,Y348)</f>
        <v/>
      </c>
      <c r="AA348" s="68" t="str" cm="1">
        <f t="array" ref="AA348">CalculerNouvelleDate(K348,Z348)</f>
        <v/>
      </c>
      <c r="AB348" s="68" t="str" cm="1">
        <f t="array" ref="AB348">CalculerNouvelleDate(L348,AA348)</f>
        <v/>
      </c>
      <c r="AC348" s="68" t="str" cm="1">
        <f t="array" ref="AC348">CalculerNouvelleDate(M348,AB348)</f>
        <v/>
      </c>
      <c r="AD348" s="68" t="str" cm="1">
        <f t="array" ref="AD348">CalculerNouvelleDate(N348,AC348)</f>
        <v/>
      </c>
      <c r="AE348" s="68" t="str" cm="1">
        <f t="array" ref="AE348">CalculerNouvelleDate(O348,AD348)</f>
        <v/>
      </c>
      <c r="AF348" s="68" t="str" cm="1">
        <f t="array" ref="AF348">CalculerNouvelleDate(P348,AE348)</f>
        <v/>
      </c>
      <c r="AG348" s="68" t="str" cm="1">
        <f t="array" ref="AG348">CalculerNouvelleDate(Q348,AF348)</f>
        <v/>
      </c>
      <c r="AH348" s="68" t="str" cm="1">
        <f t="array" ref="AH348">CalculerNouvelleDate(R348,AG348)</f>
        <v/>
      </c>
      <c r="AI348" s="68" t="str" cm="1">
        <f t="array" ref="AI348">CalculerNouvelleDate(S348,AH348)</f>
        <v/>
      </c>
      <c r="AJ348" s="68" t="str" cm="1">
        <f t="array" ref="AJ348">CalculerNouvelleDate(T348,AI348)</f>
        <v/>
      </c>
      <c r="AK348" s="68" t="str" cm="1">
        <f t="array" ref="AK348">CalculerNouvelleDate(U348,AJ348)</f>
        <v/>
      </c>
      <c r="AL348" s="68" t="str" cm="1">
        <f t="array" ref="AL348">CalculerNouvelleDate(V348,AK348)</f>
        <v/>
      </c>
      <c r="AM348" s="83" t="str" cm="1">
        <f t="array" ref="AM348">CorrespondanceDAte(X348:AL348,D349)</f>
        <v>0</v>
      </c>
      <c r="AN348" s="1"/>
      <c r="AO348" s="1"/>
      <c r="AP348" s="1"/>
      <c r="AQ348" s="1"/>
      <c r="AR348" s="1"/>
      <c r="AS348" s="1"/>
      <c r="AT348" s="1"/>
      <c r="AU348" s="1"/>
      <c r="AV348" s="1"/>
      <c r="AW348" s="1"/>
      <c r="AX348" s="1"/>
      <c r="AY348" s="1"/>
      <c r="AZ348" s="1"/>
      <c r="BA348" s="1"/>
    </row>
    <row r="349" spans="1:53" x14ac:dyDescent="0.3">
      <c r="A349" s="1"/>
      <c r="B349" s="11"/>
      <c r="C349" s="1" t="s">
        <v>585</v>
      </c>
      <c r="D349" s="1"/>
      <c r="E349" s="1"/>
      <c r="F349" s="1"/>
      <c r="G349" s="1"/>
      <c r="H349" s="43"/>
      <c r="I349" s="46"/>
      <c r="J349" s="46"/>
      <c r="K349" s="46"/>
      <c r="L349" s="46"/>
      <c r="M349" s="46"/>
      <c r="N349" s="46"/>
      <c r="O349" s="46"/>
      <c r="P349" s="46"/>
      <c r="Q349" s="46"/>
      <c r="R349" s="46"/>
      <c r="S349" s="46"/>
      <c r="T349" s="46"/>
      <c r="U349" s="46"/>
      <c r="V349" s="46"/>
      <c r="W349" s="62"/>
      <c r="X349" s="67"/>
      <c r="Y349" s="68" t="str" cm="1">
        <f t="array" ref="Y349">CalculerNouvelleDate(I349,X349)</f>
        <v/>
      </c>
      <c r="Z349" s="68" t="str" cm="1">
        <f t="array" ref="Z349">CalculerNouvelleDate(J349,Y349)</f>
        <v/>
      </c>
      <c r="AA349" s="68" t="str" cm="1">
        <f t="array" ref="AA349">CalculerNouvelleDate(K349,Z349)</f>
        <v/>
      </c>
      <c r="AB349" s="68" t="str" cm="1">
        <f t="array" ref="AB349">CalculerNouvelleDate(L349,AA349)</f>
        <v/>
      </c>
      <c r="AC349" s="68" t="str" cm="1">
        <f t="array" ref="AC349">CalculerNouvelleDate(M349,AB349)</f>
        <v/>
      </c>
      <c r="AD349" s="68" t="str" cm="1">
        <f t="array" ref="AD349">CalculerNouvelleDate(N349,AC349)</f>
        <v/>
      </c>
      <c r="AE349" s="68" t="str" cm="1">
        <f t="array" ref="AE349">CalculerNouvelleDate(O349,AD349)</f>
        <v/>
      </c>
      <c r="AF349" s="68" t="str" cm="1">
        <f t="array" ref="AF349">CalculerNouvelleDate(P349,AE349)</f>
        <v/>
      </c>
      <c r="AG349" s="68" t="str" cm="1">
        <f t="array" ref="AG349">CalculerNouvelleDate(Q349,AF349)</f>
        <v/>
      </c>
      <c r="AH349" s="68" t="str" cm="1">
        <f t="array" ref="AH349">CalculerNouvelleDate(R349,AG349)</f>
        <v/>
      </c>
      <c r="AI349" s="68" t="str" cm="1">
        <f t="array" ref="AI349">CalculerNouvelleDate(S349,AH349)</f>
        <v/>
      </c>
      <c r="AJ349" s="68" t="str" cm="1">
        <f t="array" ref="AJ349">CalculerNouvelleDate(T349,AI349)</f>
        <v/>
      </c>
      <c r="AK349" s="68" t="str" cm="1">
        <f t="array" ref="AK349">CalculerNouvelleDate(U349,AJ349)</f>
        <v/>
      </c>
      <c r="AL349" s="68" t="str" cm="1">
        <f t="array" ref="AL349">CalculerNouvelleDate(V349,AK349)</f>
        <v/>
      </c>
      <c r="AM349" s="83" t="str" cm="1">
        <f t="array" ref="AM349">CorrespondanceDAte(X349:AL349,D350)</f>
        <v>0</v>
      </c>
      <c r="AN349" s="1"/>
      <c r="AO349" s="1"/>
      <c r="AP349" s="1"/>
      <c r="AQ349" s="1"/>
      <c r="AR349" s="1"/>
      <c r="AS349" s="1"/>
      <c r="AT349" s="1"/>
      <c r="AU349" s="1"/>
      <c r="AV349" s="1"/>
      <c r="AW349" s="1"/>
      <c r="AX349" s="1"/>
      <c r="AY349" s="1"/>
      <c r="AZ349" s="1"/>
      <c r="BA349" s="1"/>
    </row>
    <row r="350" spans="1:53" x14ac:dyDescent="0.3">
      <c r="A350" s="1"/>
      <c r="B350" s="11"/>
      <c r="C350" s="1" t="s">
        <v>586</v>
      </c>
      <c r="D350" s="1"/>
      <c r="E350" s="1"/>
      <c r="F350" s="1"/>
      <c r="G350" s="1"/>
      <c r="H350" s="43"/>
      <c r="I350" s="46"/>
      <c r="J350" s="46"/>
      <c r="K350" s="46"/>
      <c r="L350" s="46"/>
      <c r="M350" s="46"/>
      <c r="N350" s="46"/>
      <c r="O350" s="46"/>
      <c r="P350" s="46"/>
      <c r="Q350" s="46"/>
      <c r="R350" s="46"/>
      <c r="S350" s="46"/>
      <c r="T350" s="46"/>
      <c r="U350" s="46"/>
      <c r="V350" s="46"/>
      <c r="W350" s="62"/>
      <c r="X350" s="67"/>
      <c r="Y350" s="68" t="str" cm="1">
        <f t="array" ref="Y350">CalculerNouvelleDate(I350,X350)</f>
        <v/>
      </c>
      <c r="Z350" s="68" t="str" cm="1">
        <f t="array" ref="Z350">CalculerNouvelleDate(J350,Y350)</f>
        <v/>
      </c>
      <c r="AA350" s="68" t="str" cm="1">
        <f t="array" ref="AA350">CalculerNouvelleDate(K350,Z350)</f>
        <v/>
      </c>
      <c r="AB350" s="68" t="str" cm="1">
        <f t="array" ref="AB350">CalculerNouvelleDate(L350,AA350)</f>
        <v/>
      </c>
      <c r="AC350" s="68" t="str" cm="1">
        <f t="array" ref="AC350">CalculerNouvelleDate(M350,AB350)</f>
        <v/>
      </c>
      <c r="AD350" s="68" t="str" cm="1">
        <f t="array" ref="AD350">CalculerNouvelleDate(N350,AC350)</f>
        <v/>
      </c>
      <c r="AE350" s="68" t="str" cm="1">
        <f t="array" ref="AE350">CalculerNouvelleDate(O350,AD350)</f>
        <v/>
      </c>
      <c r="AF350" s="68" t="str" cm="1">
        <f t="array" ref="AF350">CalculerNouvelleDate(P350,AE350)</f>
        <v/>
      </c>
      <c r="AG350" s="68" t="str" cm="1">
        <f t="array" ref="AG350">CalculerNouvelleDate(Q350,AF350)</f>
        <v/>
      </c>
      <c r="AH350" s="68" t="str" cm="1">
        <f t="array" ref="AH350">CalculerNouvelleDate(R350,AG350)</f>
        <v/>
      </c>
      <c r="AI350" s="68" t="str" cm="1">
        <f t="array" ref="AI350">CalculerNouvelleDate(S350,AH350)</f>
        <v/>
      </c>
      <c r="AJ350" s="68" t="str" cm="1">
        <f t="array" ref="AJ350">CalculerNouvelleDate(T350,AI350)</f>
        <v/>
      </c>
      <c r="AK350" s="68" t="str" cm="1">
        <f t="array" ref="AK350">CalculerNouvelleDate(U350,AJ350)</f>
        <v/>
      </c>
      <c r="AL350" s="68" t="str" cm="1">
        <f t="array" ref="AL350">CalculerNouvelleDate(V350,AK350)</f>
        <v/>
      </c>
      <c r="AM350" s="83" t="str" cm="1">
        <f t="array" ref="AM350">CorrespondanceDAte(X350:AL350,D351)</f>
        <v>0</v>
      </c>
      <c r="AN350" s="1"/>
      <c r="AO350" s="1"/>
      <c r="AP350" s="1"/>
      <c r="AQ350" s="1"/>
      <c r="AR350" s="1"/>
      <c r="AS350" s="1"/>
      <c r="AT350" s="1"/>
      <c r="AU350" s="1"/>
      <c r="AV350" s="1"/>
      <c r="AW350" s="1"/>
      <c r="AX350" s="1"/>
      <c r="AY350" s="1"/>
      <c r="AZ350" s="1"/>
      <c r="BA350" s="1"/>
    </row>
    <row r="351" spans="1:53" x14ac:dyDescent="0.3">
      <c r="A351" s="1"/>
      <c r="B351" s="11">
        <f>B347+1</f>
        <v>11</v>
      </c>
      <c r="C351" s="1" t="s">
        <v>80</v>
      </c>
      <c r="D351" s="1"/>
      <c r="E351" s="1"/>
      <c r="F351" s="1"/>
      <c r="G351" s="1"/>
      <c r="H351" s="43"/>
      <c r="I351" s="1"/>
      <c r="J351" s="1"/>
      <c r="K351" s="1"/>
      <c r="L351" s="1"/>
      <c r="M351" s="1"/>
      <c r="N351" s="1"/>
      <c r="O351" s="1"/>
      <c r="P351" s="1"/>
      <c r="Q351" s="1"/>
      <c r="R351" s="1"/>
      <c r="S351" s="1"/>
      <c r="T351" s="1"/>
      <c r="U351" s="1"/>
      <c r="V351" s="1"/>
      <c r="W351" s="11"/>
      <c r="X351" s="67"/>
      <c r="Y351" s="68" t="str" cm="1">
        <f t="array" ref="Y351">CalculerNouvelleDate(I351,X351)</f>
        <v/>
      </c>
      <c r="Z351" s="68" t="str" cm="1">
        <f t="array" ref="Z351">CalculerNouvelleDate(J351,Y351)</f>
        <v/>
      </c>
      <c r="AA351" s="68" t="str" cm="1">
        <f t="array" ref="AA351">CalculerNouvelleDate(K351,Z351)</f>
        <v/>
      </c>
      <c r="AB351" s="68" t="str" cm="1">
        <f t="array" ref="AB351">CalculerNouvelleDate(L351,AA351)</f>
        <v/>
      </c>
      <c r="AC351" s="68" t="str" cm="1">
        <f t="array" ref="AC351">CalculerNouvelleDate(M351,AB351)</f>
        <v/>
      </c>
      <c r="AD351" s="68" t="str" cm="1">
        <f t="array" ref="AD351">CalculerNouvelleDate(N351,AC351)</f>
        <v/>
      </c>
      <c r="AE351" s="68" t="str" cm="1">
        <f t="array" ref="AE351">CalculerNouvelleDate(O351,AD351)</f>
        <v/>
      </c>
      <c r="AF351" s="68" t="str" cm="1">
        <f t="array" ref="AF351">CalculerNouvelleDate(P351,AE351)</f>
        <v/>
      </c>
      <c r="AG351" s="68" t="str" cm="1">
        <f t="array" ref="AG351">CalculerNouvelleDate(Q351,AF351)</f>
        <v/>
      </c>
      <c r="AH351" s="68" t="str" cm="1">
        <f t="array" ref="AH351">CalculerNouvelleDate(R351,AG351)</f>
        <v/>
      </c>
      <c r="AI351" s="68" t="str" cm="1">
        <f t="array" ref="AI351">CalculerNouvelleDate(S351,AH351)</f>
        <v/>
      </c>
      <c r="AJ351" s="68" t="str" cm="1">
        <f t="array" ref="AJ351">CalculerNouvelleDate(T351,AI351)</f>
        <v/>
      </c>
      <c r="AK351" s="68" t="str" cm="1">
        <f t="array" ref="AK351">CalculerNouvelleDate(U351,AJ351)</f>
        <v/>
      </c>
      <c r="AL351" s="68" t="str" cm="1">
        <f t="array" ref="AL351">CalculerNouvelleDate(V351,AK351)</f>
        <v/>
      </c>
      <c r="AM351" s="83" t="str" cm="1">
        <f t="array" ref="AM351">CorrespondanceDAte(X351:AL351,D352)</f>
        <v>0</v>
      </c>
      <c r="AN351" s="1"/>
      <c r="AO351" s="1"/>
      <c r="AP351" s="1"/>
      <c r="AQ351" s="1"/>
      <c r="AR351" s="1"/>
      <c r="AS351" s="1"/>
      <c r="AT351" s="1"/>
      <c r="AU351" s="1"/>
      <c r="AV351" s="1"/>
      <c r="AW351" s="1"/>
      <c r="AX351" s="1"/>
      <c r="AY351" s="1"/>
      <c r="AZ351" s="1"/>
      <c r="BA351" s="1"/>
    </row>
    <row r="352" spans="1:53" x14ac:dyDescent="0.3">
      <c r="A352" s="1"/>
      <c r="B352" s="11"/>
      <c r="C352" s="1" t="s">
        <v>594</v>
      </c>
      <c r="D352" s="1"/>
      <c r="E352" s="1"/>
      <c r="F352" s="1"/>
      <c r="G352" s="1"/>
      <c r="H352" s="43"/>
      <c r="I352" s="46"/>
      <c r="J352" s="46"/>
      <c r="K352" s="46"/>
      <c r="L352" s="46"/>
      <c r="M352" s="46"/>
      <c r="N352" s="46"/>
      <c r="O352" s="46"/>
      <c r="P352" s="46"/>
      <c r="Q352" s="46"/>
      <c r="R352" s="46"/>
      <c r="S352" s="46"/>
      <c r="T352" s="46"/>
      <c r="U352" s="46"/>
      <c r="V352" s="46"/>
      <c r="W352" s="62"/>
      <c r="X352" s="67"/>
      <c r="Y352" s="68" t="str" cm="1">
        <f t="array" ref="Y352">CalculerNouvelleDate(I352,X352)</f>
        <v/>
      </c>
      <c r="Z352" s="68" t="str" cm="1">
        <f t="array" ref="Z352">CalculerNouvelleDate(J352,Y352)</f>
        <v/>
      </c>
      <c r="AA352" s="68" t="str" cm="1">
        <f t="array" ref="AA352">CalculerNouvelleDate(K352,Z352)</f>
        <v/>
      </c>
      <c r="AB352" s="68" t="str" cm="1">
        <f t="array" ref="AB352">CalculerNouvelleDate(L352,AA352)</f>
        <v/>
      </c>
      <c r="AC352" s="68" t="str" cm="1">
        <f t="array" ref="AC352">CalculerNouvelleDate(M352,AB352)</f>
        <v/>
      </c>
      <c r="AD352" s="68" t="str" cm="1">
        <f t="array" ref="AD352">CalculerNouvelleDate(N352,AC352)</f>
        <v/>
      </c>
      <c r="AE352" s="68" t="str" cm="1">
        <f t="array" ref="AE352">CalculerNouvelleDate(O352,AD352)</f>
        <v/>
      </c>
      <c r="AF352" s="68" t="str" cm="1">
        <f t="array" ref="AF352">CalculerNouvelleDate(P352,AE352)</f>
        <v/>
      </c>
      <c r="AG352" s="68" t="str" cm="1">
        <f t="array" ref="AG352">CalculerNouvelleDate(Q352,AF352)</f>
        <v/>
      </c>
      <c r="AH352" s="68" t="str" cm="1">
        <f t="array" ref="AH352">CalculerNouvelleDate(R352,AG352)</f>
        <v/>
      </c>
      <c r="AI352" s="68" t="str" cm="1">
        <f t="array" ref="AI352">CalculerNouvelleDate(S352,AH352)</f>
        <v/>
      </c>
      <c r="AJ352" s="68" t="str" cm="1">
        <f t="array" ref="AJ352">CalculerNouvelleDate(T352,AI352)</f>
        <v/>
      </c>
      <c r="AK352" s="68" t="str" cm="1">
        <f t="array" ref="AK352">CalculerNouvelleDate(U352,AJ352)</f>
        <v/>
      </c>
      <c r="AL352" s="68" t="str" cm="1">
        <f t="array" ref="AL352">CalculerNouvelleDate(V352,AK352)</f>
        <v/>
      </c>
      <c r="AM352" s="83" t="str" cm="1">
        <f t="array" ref="AM352">CorrespondanceDAte(X352:AL352,D353)</f>
        <v>0</v>
      </c>
      <c r="AN352" s="1"/>
      <c r="AO352" s="1"/>
      <c r="AP352" s="1"/>
      <c r="AQ352" s="1"/>
      <c r="AR352" s="1"/>
      <c r="AS352" s="1"/>
      <c r="AT352" s="1"/>
      <c r="AU352" s="1"/>
      <c r="AV352" s="1"/>
      <c r="AW352" s="1"/>
      <c r="AX352" s="1"/>
      <c r="AY352" s="1"/>
      <c r="AZ352" s="1"/>
      <c r="BA352" s="1"/>
    </row>
    <row r="353" spans="1:53" x14ac:dyDescent="0.3">
      <c r="A353" s="1"/>
      <c r="B353" s="11"/>
      <c r="C353" s="1" t="s">
        <v>595</v>
      </c>
      <c r="D353" s="1"/>
      <c r="E353" s="1"/>
      <c r="F353" s="1"/>
      <c r="G353" s="1"/>
      <c r="H353" s="43"/>
      <c r="I353" s="46"/>
      <c r="J353" s="46"/>
      <c r="K353" s="46"/>
      <c r="L353" s="46"/>
      <c r="M353" s="46"/>
      <c r="N353" s="46"/>
      <c r="O353" s="46"/>
      <c r="P353" s="46"/>
      <c r="Q353" s="46"/>
      <c r="R353" s="46"/>
      <c r="S353" s="46"/>
      <c r="T353" s="46"/>
      <c r="U353" s="46"/>
      <c r="V353" s="46"/>
      <c r="W353" s="62"/>
      <c r="X353" s="67"/>
      <c r="Y353" s="68" t="str" cm="1">
        <f t="array" ref="Y353">CalculerNouvelleDate(I353,X353)</f>
        <v/>
      </c>
      <c r="Z353" s="68" t="str" cm="1">
        <f t="array" ref="Z353">CalculerNouvelleDate(J353,Y353)</f>
        <v/>
      </c>
      <c r="AA353" s="68" t="str" cm="1">
        <f t="array" ref="AA353">CalculerNouvelleDate(K353,Z353)</f>
        <v/>
      </c>
      <c r="AB353" s="68" t="str" cm="1">
        <f t="array" ref="AB353">CalculerNouvelleDate(L353,AA353)</f>
        <v/>
      </c>
      <c r="AC353" s="68" t="str" cm="1">
        <f t="array" ref="AC353">CalculerNouvelleDate(M353,AB353)</f>
        <v/>
      </c>
      <c r="AD353" s="68" t="str" cm="1">
        <f t="array" ref="AD353">CalculerNouvelleDate(N353,AC353)</f>
        <v/>
      </c>
      <c r="AE353" s="68" t="str" cm="1">
        <f t="array" ref="AE353">CalculerNouvelleDate(O353,AD353)</f>
        <v/>
      </c>
      <c r="AF353" s="68" t="str" cm="1">
        <f t="array" ref="AF353">CalculerNouvelleDate(P353,AE353)</f>
        <v/>
      </c>
      <c r="AG353" s="68" t="str" cm="1">
        <f t="array" ref="AG353">CalculerNouvelleDate(Q353,AF353)</f>
        <v/>
      </c>
      <c r="AH353" s="68" t="str" cm="1">
        <f t="array" ref="AH353">CalculerNouvelleDate(R353,AG353)</f>
        <v/>
      </c>
      <c r="AI353" s="68" t="str" cm="1">
        <f t="array" ref="AI353">CalculerNouvelleDate(S353,AH353)</f>
        <v/>
      </c>
      <c r="AJ353" s="68" t="str" cm="1">
        <f t="array" ref="AJ353">CalculerNouvelleDate(T353,AI353)</f>
        <v/>
      </c>
      <c r="AK353" s="68" t="str" cm="1">
        <f t="array" ref="AK353">CalculerNouvelleDate(U353,AJ353)</f>
        <v/>
      </c>
      <c r="AL353" s="68" t="str" cm="1">
        <f t="array" ref="AL353">CalculerNouvelleDate(V353,AK353)</f>
        <v/>
      </c>
      <c r="AM353" s="83" t="str" cm="1">
        <f t="array" ref="AM353">CorrespondanceDAte(X353:AL353,D354)</f>
        <v>0</v>
      </c>
      <c r="AN353" s="1"/>
      <c r="AO353" s="1"/>
      <c r="AP353" s="1"/>
      <c r="AQ353" s="1"/>
      <c r="AR353" s="1"/>
      <c r="AS353" s="1"/>
      <c r="AT353" s="1"/>
      <c r="AU353" s="1"/>
      <c r="AV353" s="1"/>
      <c r="AW353" s="1"/>
      <c r="AX353" s="1"/>
      <c r="AY353" s="1"/>
      <c r="AZ353" s="1"/>
      <c r="BA353" s="1"/>
    </row>
    <row r="354" spans="1:53" x14ac:dyDescent="0.3">
      <c r="A354" s="1"/>
      <c r="B354" s="11"/>
      <c r="C354" s="1" t="s">
        <v>596</v>
      </c>
      <c r="D354" s="1"/>
      <c r="E354" s="1"/>
      <c r="F354" s="1"/>
      <c r="G354" s="1"/>
      <c r="H354" s="43"/>
      <c r="I354" s="46"/>
      <c r="J354" s="46"/>
      <c r="K354" s="46"/>
      <c r="L354" s="46"/>
      <c r="M354" s="46"/>
      <c r="N354" s="46"/>
      <c r="O354" s="46"/>
      <c r="P354" s="46"/>
      <c r="Q354" s="46"/>
      <c r="R354" s="46"/>
      <c r="S354" s="46"/>
      <c r="T354" s="46"/>
      <c r="U354" s="46"/>
      <c r="V354" s="46"/>
      <c r="W354" s="62"/>
      <c r="X354" s="67"/>
      <c r="Y354" s="68" t="str" cm="1">
        <f t="array" ref="Y354">CalculerNouvelleDate(I354,X354)</f>
        <v/>
      </c>
      <c r="Z354" s="68" t="str" cm="1">
        <f t="array" ref="Z354">CalculerNouvelleDate(J354,Y354)</f>
        <v/>
      </c>
      <c r="AA354" s="68" t="str" cm="1">
        <f t="array" ref="AA354">CalculerNouvelleDate(K354,Z354)</f>
        <v/>
      </c>
      <c r="AB354" s="68" t="str" cm="1">
        <f t="array" ref="AB354">CalculerNouvelleDate(L354,AA354)</f>
        <v/>
      </c>
      <c r="AC354" s="68" t="str" cm="1">
        <f t="array" ref="AC354">CalculerNouvelleDate(M354,AB354)</f>
        <v/>
      </c>
      <c r="AD354" s="68" t="str" cm="1">
        <f t="array" ref="AD354">CalculerNouvelleDate(N354,AC354)</f>
        <v/>
      </c>
      <c r="AE354" s="68" t="str" cm="1">
        <f t="array" ref="AE354">CalculerNouvelleDate(O354,AD354)</f>
        <v/>
      </c>
      <c r="AF354" s="68" t="str" cm="1">
        <f t="array" ref="AF354">CalculerNouvelleDate(P354,AE354)</f>
        <v/>
      </c>
      <c r="AG354" s="68" t="str" cm="1">
        <f t="array" ref="AG354">CalculerNouvelleDate(Q354,AF354)</f>
        <v/>
      </c>
      <c r="AH354" s="68" t="str" cm="1">
        <f t="array" ref="AH354">CalculerNouvelleDate(R354,AG354)</f>
        <v/>
      </c>
      <c r="AI354" s="68" t="str" cm="1">
        <f t="array" ref="AI354">CalculerNouvelleDate(S354,AH354)</f>
        <v/>
      </c>
      <c r="AJ354" s="68" t="str" cm="1">
        <f t="array" ref="AJ354">CalculerNouvelleDate(T354,AI354)</f>
        <v/>
      </c>
      <c r="AK354" s="68" t="str" cm="1">
        <f t="array" ref="AK354">CalculerNouvelleDate(U354,AJ354)</f>
        <v/>
      </c>
      <c r="AL354" s="68" t="str" cm="1">
        <f t="array" ref="AL354">CalculerNouvelleDate(V354,AK354)</f>
        <v/>
      </c>
      <c r="AM354" s="83" t="str" cm="1">
        <f t="array" ref="AM354">CorrespondanceDAte(X354:AL354,D355)</f>
        <v>0</v>
      </c>
      <c r="AN354" s="1"/>
      <c r="AO354" s="1"/>
      <c r="AP354" s="1"/>
      <c r="AQ354" s="1"/>
      <c r="AR354" s="1"/>
      <c r="AS354" s="1"/>
      <c r="AT354" s="1"/>
      <c r="AU354" s="1"/>
      <c r="AV354" s="1"/>
      <c r="AW354" s="1"/>
      <c r="AX354" s="1"/>
      <c r="AY354" s="1"/>
      <c r="AZ354" s="1"/>
      <c r="BA354" s="1"/>
    </row>
    <row r="355" spans="1:53" x14ac:dyDescent="0.3">
      <c r="A355" s="1"/>
      <c r="B355" s="11">
        <f>B351+1</f>
        <v>12</v>
      </c>
      <c r="C355" s="1" t="s">
        <v>81</v>
      </c>
      <c r="D355" s="1"/>
      <c r="E355" s="1"/>
      <c r="F355" s="1"/>
      <c r="G355" s="1"/>
      <c r="H355" s="43"/>
      <c r="I355" s="1"/>
      <c r="J355" s="1"/>
      <c r="K355" s="1"/>
      <c r="L355" s="1"/>
      <c r="M355" s="1"/>
      <c r="N355" s="1"/>
      <c r="O355" s="1"/>
      <c r="P355" s="1"/>
      <c r="Q355" s="1"/>
      <c r="R355" s="1"/>
      <c r="S355" s="1"/>
      <c r="T355" s="1"/>
      <c r="U355" s="1"/>
      <c r="V355" s="1"/>
      <c r="W355" s="11"/>
      <c r="X355" s="67"/>
      <c r="Y355" s="68" t="str" cm="1">
        <f t="array" ref="Y355">CalculerNouvelleDate(I355,X355)</f>
        <v/>
      </c>
      <c r="Z355" s="68" t="str" cm="1">
        <f t="array" ref="Z355">CalculerNouvelleDate(J355,Y355)</f>
        <v/>
      </c>
      <c r="AA355" s="68" t="str" cm="1">
        <f t="array" ref="AA355">CalculerNouvelleDate(K355,Z355)</f>
        <v/>
      </c>
      <c r="AB355" s="68" t="str" cm="1">
        <f t="array" ref="AB355">CalculerNouvelleDate(L355,AA355)</f>
        <v/>
      </c>
      <c r="AC355" s="68" t="str" cm="1">
        <f t="array" ref="AC355">CalculerNouvelleDate(M355,AB355)</f>
        <v/>
      </c>
      <c r="AD355" s="68" t="str" cm="1">
        <f t="array" ref="AD355">CalculerNouvelleDate(N355,AC355)</f>
        <v/>
      </c>
      <c r="AE355" s="68" t="str" cm="1">
        <f t="array" ref="AE355">CalculerNouvelleDate(O355,AD355)</f>
        <v/>
      </c>
      <c r="AF355" s="68" t="str" cm="1">
        <f t="array" ref="AF355">CalculerNouvelleDate(P355,AE355)</f>
        <v/>
      </c>
      <c r="AG355" s="68" t="str" cm="1">
        <f t="array" ref="AG355">CalculerNouvelleDate(Q355,AF355)</f>
        <v/>
      </c>
      <c r="AH355" s="68" t="str" cm="1">
        <f t="array" ref="AH355">CalculerNouvelleDate(R355,AG355)</f>
        <v/>
      </c>
      <c r="AI355" s="68" t="str" cm="1">
        <f t="array" ref="AI355">CalculerNouvelleDate(S355,AH355)</f>
        <v/>
      </c>
      <c r="AJ355" s="68" t="str" cm="1">
        <f t="array" ref="AJ355">CalculerNouvelleDate(T355,AI355)</f>
        <v/>
      </c>
      <c r="AK355" s="68" t="str" cm="1">
        <f t="array" ref="AK355">CalculerNouvelleDate(U355,AJ355)</f>
        <v/>
      </c>
      <c r="AL355" s="68" t="str" cm="1">
        <f t="array" ref="AL355">CalculerNouvelleDate(V355,AK355)</f>
        <v/>
      </c>
      <c r="AM355" s="83" t="str" cm="1">
        <f t="array" ref="AM355">CorrespondanceDAte(X355:AL355,D356)</f>
        <v>0</v>
      </c>
      <c r="AN355" s="1"/>
      <c r="AO355" s="1"/>
      <c r="AP355" s="1"/>
      <c r="AQ355" s="1"/>
      <c r="AR355" s="1"/>
      <c r="AS355" s="1"/>
      <c r="AT355" s="1"/>
      <c r="AU355" s="1"/>
      <c r="AV355" s="1"/>
      <c r="AW355" s="1"/>
      <c r="AX355" s="1"/>
      <c r="AY355" s="1"/>
      <c r="AZ355" s="1"/>
      <c r="BA355" s="1"/>
    </row>
    <row r="356" spans="1:53" x14ac:dyDescent="0.3">
      <c r="A356" s="1"/>
      <c r="B356" s="11"/>
      <c r="C356" s="1" t="s">
        <v>738</v>
      </c>
      <c r="D356" s="1"/>
      <c r="E356" s="1"/>
      <c r="F356" s="1"/>
      <c r="G356" s="1"/>
      <c r="H356" s="43"/>
      <c r="I356" s="46"/>
      <c r="J356" s="46"/>
      <c r="K356" s="46"/>
      <c r="L356" s="46"/>
      <c r="M356" s="46"/>
      <c r="N356" s="46"/>
      <c r="O356" s="46"/>
      <c r="P356" s="46"/>
      <c r="Q356" s="46"/>
      <c r="R356" s="46"/>
      <c r="S356" s="46"/>
      <c r="T356" s="46"/>
      <c r="U356" s="46"/>
      <c r="V356" s="46"/>
      <c r="W356" s="62"/>
      <c r="X356" s="67"/>
      <c r="Y356" s="68" t="str" cm="1">
        <f t="array" ref="Y356">CalculerNouvelleDate(I356,X356)</f>
        <v/>
      </c>
      <c r="Z356" s="68" t="str" cm="1">
        <f t="array" ref="Z356">CalculerNouvelleDate(J356,Y356)</f>
        <v/>
      </c>
      <c r="AA356" s="68" t="str" cm="1">
        <f t="array" ref="AA356">CalculerNouvelleDate(K356,Z356)</f>
        <v/>
      </c>
      <c r="AB356" s="68" t="str" cm="1">
        <f t="array" ref="AB356">CalculerNouvelleDate(L356,AA356)</f>
        <v/>
      </c>
      <c r="AC356" s="68" t="str" cm="1">
        <f t="array" ref="AC356">CalculerNouvelleDate(M356,AB356)</f>
        <v/>
      </c>
      <c r="AD356" s="68" t="str" cm="1">
        <f t="array" ref="AD356">CalculerNouvelleDate(N356,AC356)</f>
        <v/>
      </c>
      <c r="AE356" s="68" t="str" cm="1">
        <f t="array" ref="AE356">CalculerNouvelleDate(O356,AD356)</f>
        <v/>
      </c>
      <c r="AF356" s="68" t="str" cm="1">
        <f t="array" ref="AF356">CalculerNouvelleDate(P356,AE356)</f>
        <v/>
      </c>
      <c r="AG356" s="68" t="str" cm="1">
        <f t="array" ref="AG356">CalculerNouvelleDate(Q356,AF356)</f>
        <v/>
      </c>
      <c r="AH356" s="68" t="str" cm="1">
        <f t="array" ref="AH356">CalculerNouvelleDate(R356,AG356)</f>
        <v/>
      </c>
      <c r="AI356" s="68" t="str" cm="1">
        <f t="array" ref="AI356">CalculerNouvelleDate(S356,AH356)</f>
        <v/>
      </c>
      <c r="AJ356" s="68" t="str" cm="1">
        <f t="array" ref="AJ356">CalculerNouvelleDate(T356,AI356)</f>
        <v/>
      </c>
      <c r="AK356" s="68" t="str" cm="1">
        <f t="array" ref="AK356">CalculerNouvelleDate(U356,AJ356)</f>
        <v/>
      </c>
      <c r="AL356" s="68" t="str" cm="1">
        <f t="array" ref="AL356">CalculerNouvelleDate(V356,AK356)</f>
        <v/>
      </c>
      <c r="AM356" s="83" t="str" cm="1">
        <f t="array" ref="AM356">CorrespondanceDAte(X356:AL356,D357)</f>
        <v>0</v>
      </c>
      <c r="AN356" s="1"/>
      <c r="AO356" s="1"/>
      <c r="AP356" s="1"/>
      <c r="AQ356" s="1"/>
      <c r="AR356" s="1"/>
      <c r="AS356" s="1"/>
      <c r="AT356" s="1"/>
      <c r="AU356" s="1"/>
      <c r="AV356" s="1"/>
      <c r="AW356" s="1"/>
      <c r="AX356" s="1"/>
      <c r="AY356" s="1"/>
      <c r="AZ356" s="1"/>
      <c r="BA356" s="1"/>
    </row>
    <row r="357" spans="1:53" x14ac:dyDescent="0.3">
      <c r="A357" s="1"/>
      <c r="B357" s="11"/>
      <c r="C357" s="1" t="s">
        <v>739</v>
      </c>
      <c r="D357" s="1"/>
      <c r="E357" s="1"/>
      <c r="F357" s="1"/>
      <c r="G357" s="1"/>
      <c r="H357" s="43"/>
      <c r="I357" s="46"/>
      <c r="J357" s="46"/>
      <c r="K357" s="46"/>
      <c r="L357" s="46"/>
      <c r="M357" s="46"/>
      <c r="N357" s="46"/>
      <c r="O357" s="46"/>
      <c r="P357" s="46"/>
      <c r="Q357" s="46"/>
      <c r="R357" s="46"/>
      <c r="S357" s="46"/>
      <c r="T357" s="46"/>
      <c r="U357" s="46"/>
      <c r="V357" s="46"/>
      <c r="W357" s="62"/>
      <c r="X357" s="67"/>
      <c r="Y357" s="68" t="str" cm="1">
        <f t="array" ref="Y357">CalculerNouvelleDate(I357,X357)</f>
        <v/>
      </c>
      <c r="Z357" s="68" t="str" cm="1">
        <f t="array" ref="Z357">CalculerNouvelleDate(J357,Y357)</f>
        <v/>
      </c>
      <c r="AA357" s="68" t="str" cm="1">
        <f t="array" ref="AA357">CalculerNouvelleDate(K357,Z357)</f>
        <v/>
      </c>
      <c r="AB357" s="68" t="str" cm="1">
        <f t="array" ref="AB357">CalculerNouvelleDate(L357,AA357)</f>
        <v/>
      </c>
      <c r="AC357" s="68" t="str" cm="1">
        <f t="array" ref="AC357">CalculerNouvelleDate(M357,AB357)</f>
        <v/>
      </c>
      <c r="AD357" s="68" t="str" cm="1">
        <f t="array" ref="AD357">CalculerNouvelleDate(N357,AC357)</f>
        <v/>
      </c>
      <c r="AE357" s="68" t="str" cm="1">
        <f t="array" ref="AE357">CalculerNouvelleDate(O357,AD357)</f>
        <v/>
      </c>
      <c r="AF357" s="68" t="str" cm="1">
        <f t="array" ref="AF357">CalculerNouvelleDate(P357,AE357)</f>
        <v/>
      </c>
      <c r="AG357" s="68" t="str" cm="1">
        <f t="array" ref="AG357">CalculerNouvelleDate(Q357,AF357)</f>
        <v/>
      </c>
      <c r="AH357" s="68" t="str" cm="1">
        <f t="array" ref="AH357">CalculerNouvelleDate(R357,AG357)</f>
        <v/>
      </c>
      <c r="AI357" s="68" t="str" cm="1">
        <f t="array" ref="AI357">CalculerNouvelleDate(S357,AH357)</f>
        <v/>
      </c>
      <c r="AJ357" s="68" t="str" cm="1">
        <f t="array" ref="AJ357">CalculerNouvelleDate(T357,AI357)</f>
        <v/>
      </c>
      <c r="AK357" s="68" t="str" cm="1">
        <f t="array" ref="AK357">CalculerNouvelleDate(U357,AJ357)</f>
        <v/>
      </c>
      <c r="AL357" s="68" t="str" cm="1">
        <f t="array" ref="AL357">CalculerNouvelleDate(V357,AK357)</f>
        <v/>
      </c>
      <c r="AM357" s="83" t="str" cm="1">
        <f t="array" ref="AM357">CorrespondanceDAte(X357:AL357,D358)</f>
        <v>0</v>
      </c>
      <c r="AN357" s="1"/>
      <c r="AO357" s="1"/>
      <c r="AP357" s="1"/>
      <c r="AQ357" s="1"/>
      <c r="AR357" s="1"/>
      <c r="AS357" s="1"/>
      <c r="AT357" s="1"/>
      <c r="AU357" s="1"/>
      <c r="AV357" s="1"/>
      <c r="AW357" s="1"/>
      <c r="AX357" s="1"/>
      <c r="AY357" s="1"/>
      <c r="AZ357" s="1"/>
      <c r="BA357" s="1"/>
    </row>
    <row r="358" spans="1:53" x14ac:dyDescent="0.3">
      <c r="A358" s="1"/>
      <c r="B358" s="11"/>
      <c r="C358" s="1" t="s">
        <v>740</v>
      </c>
      <c r="D358" s="1"/>
      <c r="E358" s="1"/>
      <c r="F358" s="1"/>
      <c r="G358" s="1"/>
      <c r="H358" s="43"/>
      <c r="I358" s="46"/>
      <c r="J358" s="46"/>
      <c r="K358" s="46"/>
      <c r="L358" s="46"/>
      <c r="M358" s="46"/>
      <c r="N358" s="46"/>
      <c r="O358" s="46"/>
      <c r="P358" s="46"/>
      <c r="Q358" s="46"/>
      <c r="R358" s="46"/>
      <c r="S358" s="46"/>
      <c r="T358" s="46"/>
      <c r="U358" s="46"/>
      <c r="V358" s="46"/>
      <c r="W358" s="62"/>
      <c r="X358" s="67"/>
      <c r="Y358" s="68" t="str" cm="1">
        <f t="array" ref="Y358">CalculerNouvelleDate(I358,X358)</f>
        <v/>
      </c>
      <c r="Z358" s="68" t="str" cm="1">
        <f t="array" ref="Z358">CalculerNouvelleDate(J358,Y358)</f>
        <v/>
      </c>
      <c r="AA358" s="68" t="str" cm="1">
        <f t="array" ref="AA358">CalculerNouvelleDate(K358,Z358)</f>
        <v/>
      </c>
      <c r="AB358" s="68" t="str" cm="1">
        <f t="array" ref="AB358">CalculerNouvelleDate(L358,AA358)</f>
        <v/>
      </c>
      <c r="AC358" s="68" t="str" cm="1">
        <f t="array" ref="AC358">CalculerNouvelleDate(M358,AB358)</f>
        <v/>
      </c>
      <c r="AD358" s="68" t="str" cm="1">
        <f t="array" ref="AD358">CalculerNouvelleDate(N358,AC358)</f>
        <v/>
      </c>
      <c r="AE358" s="68" t="str" cm="1">
        <f t="array" ref="AE358">CalculerNouvelleDate(O358,AD358)</f>
        <v/>
      </c>
      <c r="AF358" s="68" t="str" cm="1">
        <f t="array" ref="AF358">CalculerNouvelleDate(P358,AE358)</f>
        <v/>
      </c>
      <c r="AG358" s="68" t="str" cm="1">
        <f t="array" ref="AG358">CalculerNouvelleDate(Q358,AF358)</f>
        <v/>
      </c>
      <c r="AH358" s="68" t="str" cm="1">
        <f t="array" ref="AH358">CalculerNouvelleDate(R358,AG358)</f>
        <v/>
      </c>
      <c r="AI358" s="68" t="str" cm="1">
        <f t="array" ref="AI358">CalculerNouvelleDate(S358,AH358)</f>
        <v/>
      </c>
      <c r="AJ358" s="68" t="str" cm="1">
        <f t="array" ref="AJ358">CalculerNouvelleDate(T358,AI358)</f>
        <v/>
      </c>
      <c r="AK358" s="68" t="str" cm="1">
        <f t="array" ref="AK358">CalculerNouvelleDate(U358,AJ358)</f>
        <v/>
      </c>
      <c r="AL358" s="68" t="str" cm="1">
        <f t="array" ref="AL358">CalculerNouvelleDate(V358,AK358)</f>
        <v/>
      </c>
      <c r="AM358" s="83" t="str" cm="1">
        <f t="array" ref="AM358">CorrespondanceDAte(X358:AL358,D359)</f>
        <v>0</v>
      </c>
      <c r="AN358" s="1"/>
      <c r="AO358" s="1"/>
      <c r="AP358" s="1"/>
      <c r="AQ358" s="1"/>
      <c r="AR358" s="1"/>
      <c r="AS358" s="1"/>
      <c r="AT358" s="1"/>
      <c r="AU358" s="1"/>
      <c r="AV358" s="1"/>
      <c r="AW358" s="1"/>
      <c r="AX358" s="1"/>
      <c r="AY358" s="1"/>
      <c r="AZ358" s="1"/>
      <c r="BA358" s="1"/>
    </row>
    <row r="359" spans="1:53" x14ac:dyDescent="0.3">
      <c r="A359" s="1"/>
      <c r="B359" s="11">
        <f>B355+1</f>
        <v>13</v>
      </c>
      <c r="C359" s="1" t="s">
        <v>82</v>
      </c>
      <c r="D359" s="1"/>
      <c r="E359" s="1"/>
      <c r="F359" s="1"/>
      <c r="G359" s="1"/>
      <c r="H359" s="43"/>
      <c r="I359" s="1"/>
      <c r="J359" s="1"/>
      <c r="K359" s="1"/>
      <c r="L359" s="1"/>
      <c r="M359" s="1"/>
      <c r="N359" s="1"/>
      <c r="O359" s="1"/>
      <c r="P359" s="1"/>
      <c r="Q359" s="1"/>
      <c r="R359" s="1"/>
      <c r="S359" s="1"/>
      <c r="T359" s="1"/>
      <c r="U359" s="1"/>
      <c r="V359" s="1"/>
      <c r="W359" s="11"/>
      <c r="X359" s="67"/>
      <c r="Y359" s="68" t="str" cm="1">
        <f t="array" ref="Y359">CalculerNouvelleDate(I359,X359)</f>
        <v/>
      </c>
      <c r="Z359" s="68" t="str" cm="1">
        <f t="array" ref="Z359">CalculerNouvelleDate(J359,Y359)</f>
        <v/>
      </c>
      <c r="AA359" s="68" t="str" cm="1">
        <f t="array" ref="AA359">CalculerNouvelleDate(K359,Z359)</f>
        <v/>
      </c>
      <c r="AB359" s="68" t="str" cm="1">
        <f t="array" ref="AB359">CalculerNouvelleDate(L359,AA359)</f>
        <v/>
      </c>
      <c r="AC359" s="68" t="str" cm="1">
        <f t="array" ref="AC359">CalculerNouvelleDate(M359,AB359)</f>
        <v/>
      </c>
      <c r="AD359" s="68" t="str" cm="1">
        <f t="array" ref="AD359">CalculerNouvelleDate(N359,AC359)</f>
        <v/>
      </c>
      <c r="AE359" s="68" t="str" cm="1">
        <f t="array" ref="AE359">CalculerNouvelleDate(O359,AD359)</f>
        <v/>
      </c>
      <c r="AF359" s="68" t="str" cm="1">
        <f t="array" ref="AF359">CalculerNouvelleDate(P359,AE359)</f>
        <v/>
      </c>
      <c r="AG359" s="68" t="str" cm="1">
        <f t="array" ref="AG359">CalculerNouvelleDate(Q359,AF359)</f>
        <v/>
      </c>
      <c r="AH359" s="68" t="str" cm="1">
        <f t="array" ref="AH359">CalculerNouvelleDate(R359,AG359)</f>
        <v/>
      </c>
      <c r="AI359" s="68" t="str" cm="1">
        <f t="array" ref="AI359">CalculerNouvelleDate(S359,AH359)</f>
        <v/>
      </c>
      <c r="AJ359" s="68" t="str" cm="1">
        <f t="array" ref="AJ359">CalculerNouvelleDate(T359,AI359)</f>
        <v/>
      </c>
      <c r="AK359" s="68" t="str" cm="1">
        <f t="array" ref="AK359">CalculerNouvelleDate(U359,AJ359)</f>
        <v/>
      </c>
      <c r="AL359" s="68" t="str" cm="1">
        <f t="array" ref="AL359">CalculerNouvelleDate(V359,AK359)</f>
        <v/>
      </c>
      <c r="AM359" s="83" t="str" cm="1">
        <f t="array" ref="AM359">CorrespondanceDAte(X359:AL359,D360)</f>
        <v>0</v>
      </c>
      <c r="AN359" s="1"/>
      <c r="AO359" s="1"/>
      <c r="AP359" s="1"/>
      <c r="AQ359" s="1"/>
      <c r="AR359" s="1"/>
      <c r="AS359" s="1"/>
      <c r="AT359" s="1"/>
      <c r="AU359" s="1"/>
      <c r="AV359" s="1"/>
      <c r="AW359" s="1"/>
      <c r="AX359" s="1"/>
      <c r="AY359" s="1"/>
      <c r="AZ359" s="1"/>
      <c r="BA359" s="1"/>
    </row>
    <row r="360" spans="1:53" x14ac:dyDescent="0.3">
      <c r="A360" s="1"/>
      <c r="B360" s="11"/>
      <c r="C360" s="1" t="s">
        <v>741</v>
      </c>
      <c r="D360" s="1"/>
      <c r="E360" s="1"/>
      <c r="F360" s="1"/>
      <c r="G360" s="1"/>
      <c r="H360" s="43"/>
      <c r="I360" s="46"/>
      <c r="J360" s="46"/>
      <c r="K360" s="46"/>
      <c r="L360" s="46"/>
      <c r="M360" s="46"/>
      <c r="N360" s="46"/>
      <c r="O360" s="46"/>
      <c r="P360" s="46"/>
      <c r="Q360" s="46"/>
      <c r="R360" s="46"/>
      <c r="S360" s="46"/>
      <c r="T360" s="46"/>
      <c r="U360" s="46"/>
      <c r="V360" s="46"/>
      <c r="W360" s="62"/>
      <c r="X360" s="67"/>
      <c r="Y360" s="68" t="str" cm="1">
        <f t="array" ref="Y360">CalculerNouvelleDate(I360,X360)</f>
        <v/>
      </c>
      <c r="Z360" s="68" t="str" cm="1">
        <f t="array" ref="Z360">CalculerNouvelleDate(J360,Y360)</f>
        <v/>
      </c>
      <c r="AA360" s="68" t="str" cm="1">
        <f t="array" ref="AA360">CalculerNouvelleDate(K360,Z360)</f>
        <v/>
      </c>
      <c r="AB360" s="68" t="str" cm="1">
        <f t="array" ref="AB360">CalculerNouvelleDate(L360,AA360)</f>
        <v/>
      </c>
      <c r="AC360" s="68" t="str" cm="1">
        <f t="array" ref="AC360">CalculerNouvelleDate(M360,AB360)</f>
        <v/>
      </c>
      <c r="AD360" s="68" t="str" cm="1">
        <f t="array" ref="AD360">CalculerNouvelleDate(N360,AC360)</f>
        <v/>
      </c>
      <c r="AE360" s="68" t="str" cm="1">
        <f t="array" ref="AE360">CalculerNouvelleDate(O360,AD360)</f>
        <v/>
      </c>
      <c r="AF360" s="68" t="str" cm="1">
        <f t="array" ref="AF360">CalculerNouvelleDate(P360,AE360)</f>
        <v/>
      </c>
      <c r="AG360" s="68" t="str" cm="1">
        <f t="array" ref="AG360">CalculerNouvelleDate(Q360,AF360)</f>
        <v/>
      </c>
      <c r="AH360" s="68" t="str" cm="1">
        <f t="array" ref="AH360">CalculerNouvelleDate(R360,AG360)</f>
        <v/>
      </c>
      <c r="AI360" s="68" t="str" cm="1">
        <f t="array" ref="AI360">CalculerNouvelleDate(S360,AH360)</f>
        <v/>
      </c>
      <c r="AJ360" s="68" t="str" cm="1">
        <f t="array" ref="AJ360">CalculerNouvelleDate(T360,AI360)</f>
        <v/>
      </c>
      <c r="AK360" s="68" t="str" cm="1">
        <f t="array" ref="AK360">CalculerNouvelleDate(U360,AJ360)</f>
        <v/>
      </c>
      <c r="AL360" s="68" t="str" cm="1">
        <f t="array" ref="AL360">CalculerNouvelleDate(V360,AK360)</f>
        <v/>
      </c>
      <c r="AM360" s="83" t="str" cm="1">
        <f t="array" ref="AM360">CorrespondanceDAte(X360:AL360,D361)</f>
        <v>0</v>
      </c>
      <c r="AN360" s="1"/>
      <c r="AO360" s="1"/>
      <c r="AP360" s="1"/>
      <c r="AQ360" s="1"/>
      <c r="AR360" s="1"/>
      <c r="AS360" s="1"/>
      <c r="AT360" s="1"/>
      <c r="AU360" s="1"/>
      <c r="AV360" s="1"/>
      <c r="AW360" s="1"/>
      <c r="AX360" s="1"/>
      <c r="AY360" s="1"/>
      <c r="AZ360" s="1"/>
      <c r="BA360" s="1"/>
    </row>
    <row r="361" spans="1:53" x14ac:dyDescent="0.3">
      <c r="A361" s="1"/>
      <c r="B361" s="11"/>
      <c r="C361" s="1" t="s">
        <v>742</v>
      </c>
      <c r="D361" s="1"/>
      <c r="E361" s="1"/>
      <c r="F361" s="1"/>
      <c r="G361" s="1"/>
      <c r="H361" s="43"/>
      <c r="I361" s="46"/>
      <c r="J361" s="46"/>
      <c r="K361" s="46"/>
      <c r="L361" s="46"/>
      <c r="M361" s="46"/>
      <c r="N361" s="46"/>
      <c r="O361" s="46"/>
      <c r="P361" s="46"/>
      <c r="Q361" s="46"/>
      <c r="R361" s="46"/>
      <c r="S361" s="46"/>
      <c r="T361" s="46"/>
      <c r="U361" s="46"/>
      <c r="V361" s="46"/>
      <c r="W361" s="62"/>
      <c r="X361" s="67"/>
      <c r="Y361" s="68" t="str" cm="1">
        <f t="array" ref="Y361">CalculerNouvelleDate(I361,X361)</f>
        <v/>
      </c>
      <c r="Z361" s="68" t="str" cm="1">
        <f t="array" ref="Z361">CalculerNouvelleDate(J361,Y361)</f>
        <v/>
      </c>
      <c r="AA361" s="68" t="str" cm="1">
        <f t="array" ref="AA361">CalculerNouvelleDate(K361,Z361)</f>
        <v/>
      </c>
      <c r="AB361" s="68" t="str" cm="1">
        <f t="array" ref="AB361">CalculerNouvelleDate(L361,AA361)</f>
        <v/>
      </c>
      <c r="AC361" s="68" t="str" cm="1">
        <f t="array" ref="AC361">CalculerNouvelleDate(M361,AB361)</f>
        <v/>
      </c>
      <c r="AD361" s="68" t="str" cm="1">
        <f t="array" ref="AD361">CalculerNouvelleDate(N361,AC361)</f>
        <v/>
      </c>
      <c r="AE361" s="68" t="str" cm="1">
        <f t="array" ref="AE361">CalculerNouvelleDate(O361,AD361)</f>
        <v/>
      </c>
      <c r="AF361" s="68" t="str" cm="1">
        <f t="array" ref="AF361">CalculerNouvelleDate(P361,AE361)</f>
        <v/>
      </c>
      <c r="AG361" s="68" t="str" cm="1">
        <f t="array" ref="AG361">CalculerNouvelleDate(Q361,AF361)</f>
        <v/>
      </c>
      <c r="AH361" s="68" t="str" cm="1">
        <f t="array" ref="AH361">CalculerNouvelleDate(R361,AG361)</f>
        <v/>
      </c>
      <c r="AI361" s="68" t="str" cm="1">
        <f t="array" ref="AI361">CalculerNouvelleDate(S361,AH361)</f>
        <v/>
      </c>
      <c r="AJ361" s="68" t="str" cm="1">
        <f t="array" ref="AJ361">CalculerNouvelleDate(T361,AI361)</f>
        <v/>
      </c>
      <c r="AK361" s="68" t="str" cm="1">
        <f t="array" ref="AK361">CalculerNouvelleDate(U361,AJ361)</f>
        <v/>
      </c>
      <c r="AL361" s="68" t="str" cm="1">
        <f t="array" ref="AL361">CalculerNouvelleDate(V361,AK361)</f>
        <v/>
      </c>
      <c r="AM361" s="83" t="str" cm="1">
        <f t="array" ref="AM361">CorrespondanceDAte(X361:AL361,D362)</f>
        <v>0</v>
      </c>
      <c r="AN361" s="1"/>
      <c r="AO361" s="1"/>
      <c r="AP361" s="1"/>
      <c r="AQ361" s="1"/>
      <c r="AR361" s="1"/>
      <c r="AS361" s="1"/>
      <c r="AT361" s="1"/>
      <c r="AU361" s="1"/>
      <c r="AV361" s="1"/>
      <c r="AW361" s="1"/>
      <c r="AX361" s="1"/>
      <c r="AY361" s="1"/>
      <c r="AZ361" s="1"/>
      <c r="BA361" s="1"/>
    </row>
    <row r="362" spans="1:53" x14ac:dyDescent="0.3">
      <c r="A362" s="1"/>
      <c r="B362" s="11"/>
      <c r="C362" s="1" t="s">
        <v>743</v>
      </c>
      <c r="D362" s="1"/>
      <c r="E362" s="1"/>
      <c r="F362" s="1"/>
      <c r="G362" s="1"/>
      <c r="H362" s="43"/>
      <c r="I362" s="46"/>
      <c r="J362" s="46"/>
      <c r="K362" s="46"/>
      <c r="L362" s="46"/>
      <c r="M362" s="46"/>
      <c r="N362" s="46"/>
      <c r="O362" s="46"/>
      <c r="P362" s="46"/>
      <c r="Q362" s="46"/>
      <c r="R362" s="46"/>
      <c r="S362" s="46"/>
      <c r="T362" s="46"/>
      <c r="U362" s="46"/>
      <c r="V362" s="46"/>
      <c r="W362" s="62"/>
      <c r="X362" s="67"/>
      <c r="Y362" s="68" t="str" cm="1">
        <f t="array" ref="Y362">CalculerNouvelleDate(I362,X362)</f>
        <v/>
      </c>
      <c r="Z362" s="68" t="str" cm="1">
        <f t="array" ref="Z362">CalculerNouvelleDate(J362,Y362)</f>
        <v/>
      </c>
      <c r="AA362" s="68" t="str" cm="1">
        <f t="array" ref="AA362">CalculerNouvelleDate(K362,Z362)</f>
        <v/>
      </c>
      <c r="AB362" s="68" t="str" cm="1">
        <f t="array" ref="AB362">CalculerNouvelleDate(L362,AA362)</f>
        <v/>
      </c>
      <c r="AC362" s="68" t="str" cm="1">
        <f t="array" ref="AC362">CalculerNouvelleDate(M362,AB362)</f>
        <v/>
      </c>
      <c r="AD362" s="68" t="str" cm="1">
        <f t="array" ref="AD362">CalculerNouvelleDate(N362,AC362)</f>
        <v/>
      </c>
      <c r="AE362" s="68" t="str" cm="1">
        <f t="array" ref="AE362">CalculerNouvelleDate(O362,AD362)</f>
        <v/>
      </c>
      <c r="AF362" s="68" t="str" cm="1">
        <f t="array" ref="AF362">CalculerNouvelleDate(P362,AE362)</f>
        <v/>
      </c>
      <c r="AG362" s="68" t="str" cm="1">
        <f t="array" ref="AG362">CalculerNouvelleDate(Q362,AF362)</f>
        <v/>
      </c>
      <c r="AH362" s="68" t="str" cm="1">
        <f t="array" ref="AH362">CalculerNouvelleDate(R362,AG362)</f>
        <v/>
      </c>
      <c r="AI362" s="68" t="str" cm="1">
        <f t="array" ref="AI362">CalculerNouvelleDate(S362,AH362)</f>
        <v/>
      </c>
      <c r="AJ362" s="68" t="str" cm="1">
        <f t="array" ref="AJ362">CalculerNouvelleDate(T362,AI362)</f>
        <v/>
      </c>
      <c r="AK362" s="68" t="str" cm="1">
        <f t="array" ref="AK362">CalculerNouvelleDate(U362,AJ362)</f>
        <v/>
      </c>
      <c r="AL362" s="68" t="str" cm="1">
        <f t="array" ref="AL362">CalculerNouvelleDate(V362,AK362)</f>
        <v/>
      </c>
      <c r="AM362" s="83" t="str" cm="1">
        <f t="array" ref="AM362">CorrespondanceDAte(X362:AL362,D363)</f>
        <v>0</v>
      </c>
      <c r="AN362" s="1"/>
      <c r="AO362" s="1"/>
      <c r="AP362" s="1"/>
      <c r="AQ362" s="1"/>
      <c r="AR362" s="1"/>
      <c r="AS362" s="1"/>
      <c r="AT362" s="1"/>
      <c r="AU362" s="1"/>
      <c r="AV362" s="1"/>
      <c r="AW362" s="1"/>
      <c r="AX362" s="1"/>
      <c r="AY362" s="1"/>
      <c r="AZ362" s="1"/>
      <c r="BA362" s="1"/>
    </row>
    <row r="363" spans="1:53" x14ac:dyDescent="0.3">
      <c r="A363" s="1"/>
      <c r="B363" s="11"/>
      <c r="C363" s="1" t="s">
        <v>744</v>
      </c>
      <c r="D363" s="1"/>
      <c r="E363" s="1"/>
      <c r="F363" s="1"/>
      <c r="G363" s="1"/>
      <c r="H363" s="43"/>
      <c r="I363" s="46"/>
      <c r="J363" s="46"/>
      <c r="K363" s="46"/>
      <c r="L363" s="46"/>
      <c r="M363" s="46"/>
      <c r="N363" s="46"/>
      <c r="O363" s="46"/>
      <c r="P363" s="46"/>
      <c r="Q363" s="46"/>
      <c r="R363" s="46"/>
      <c r="S363" s="46"/>
      <c r="T363" s="46"/>
      <c r="U363" s="46"/>
      <c r="V363" s="46"/>
      <c r="W363" s="62"/>
      <c r="X363" s="67"/>
      <c r="Y363" s="68" t="str" cm="1">
        <f t="array" ref="Y363">CalculerNouvelleDate(I363,X363)</f>
        <v/>
      </c>
      <c r="Z363" s="68" t="str" cm="1">
        <f t="array" ref="Z363">CalculerNouvelleDate(J363,Y363)</f>
        <v/>
      </c>
      <c r="AA363" s="68" t="str" cm="1">
        <f t="array" ref="AA363">CalculerNouvelleDate(K363,Z363)</f>
        <v/>
      </c>
      <c r="AB363" s="68" t="str" cm="1">
        <f t="array" ref="AB363">CalculerNouvelleDate(L363,AA363)</f>
        <v/>
      </c>
      <c r="AC363" s="68" t="str" cm="1">
        <f t="array" ref="AC363">CalculerNouvelleDate(M363,AB363)</f>
        <v/>
      </c>
      <c r="AD363" s="68" t="str" cm="1">
        <f t="array" ref="AD363">CalculerNouvelleDate(N363,AC363)</f>
        <v/>
      </c>
      <c r="AE363" s="68" t="str" cm="1">
        <f t="array" ref="AE363">CalculerNouvelleDate(O363,AD363)</f>
        <v/>
      </c>
      <c r="AF363" s="68" t="str" cm="1">
        <f t="array" ref="AF363">CalculerNouvelleDate(P363,AE363)</f>
        <v/>
      </c>
      <c r="AG363" s="68" t="str" cm="1">
        <f t="array" ref="AG363">CalculerNouvelleDate(Q363,AF363)</f>
        <v/>
      </c>
      <c r="AH363" s="68" t="str" cm="1">
        <f t="array" ref="AH363">CalculerNouvelleDate(R363,AG363)</f>
        <v/>
      </c>
      <c r="AI363" s="68" t="str" cm="1">
        <f t="array" ref="AI363">CalculerNouvelleDate(S363,AH363)</f>
        <v/>
      </c>
      <c r="AJ363" s="68" t="str" cm="1">
        <f t="array" ref="AJ363">CalculerNouvelleDate(T363,AI363)</f>
        <v/>
      </c>
      <c r="AK363" s="68" t="str" cm="1">
        <f t="array" ref="AK363">CalculerNouvelleDate(U363,AJ363)</f>
        <v/>
      </c>
      <c r="AL363" s="68" t="str" cm="1">
        <f t="array" ref="AL363">CalculerNouvelleDate(V363,AK363)</f>
        <v/>
      </c>
      <c r="AM363" s="83" t="str" cm="1">
        <f t="array" ref="AM363">CorrespondanceDAte(X363:AL363,D364)</f>
        <v>0</v>
      </c>
      <c r="AN363" s="1"/>
      <c r="AO363" s="1"/>
      <c r="AP363" s="1"/>
      <c r="AQ363" s="1"/>
      <c r="AR363" s="1"/>
      <c r="AS363" s="1"/>
      <c r="AT363" s="1"/>
      <c r="AU363" s="1"/>
      <c r="AV363" s="1"/>
      <c r="AW363" s="1"/>
      <c r="AX363" s="1"/>
      <c r="AY363" s="1"/>
      <c r="AZ363" s="1"/>
      <c r="BA363" s="1"/>
    </row>
    <row r="364" spans="1:53" x14ac:dyDescent="0.3">
      <c r="A364" s="1"/>
      <c r="B364" s="11">
        <f>B359+1</f>
        <v>14</v>
      </c>
      <c r="C364" s="1" t="s">
        <v>83</v>
      </c>
      <c r="D364" s="1"/>
      <c r="E364" s="1"/>
      <c r="F364" s="1"/>
      <c r="G364" s="1"/>
      <c r="H364" s="43"/>
      <c r="I364" s="1"/>
      <c r="J364" s="1"/>
      <c r="K364" s="1"/>
      <c r="L364" s="1"/>
      <c r="M364" s="1"/>
      <c r="N364" s="1"/>
      <c r="O364" s="1"/>
      <c r="P364" s="1"/>
      <c r="Q364" s="1"/>
      <c r="R364" s="1"/>
      <c r="S364" s="1"/>
      <c r="T364" s="1"/>
      <c r="U364" s="1"/>
      <c r="V364" s="1"/>
      <c r="W364" s="11"/>
      <c r="X364" s="67"/>
      <c r="Y364" s="68" t="str" cm="1">
        <f t="array" ref="Y364">CalculerNouvelleDate(I364,X364)</f>
        <v/>
      </c>
      <c r="Z364" s="68" t="str" cm="1">
        <f t="array" ref="Z364">CalculerNouvelleDate(J364,Y364)</f>
        <v/>
      </c>
      <c r="AA364" s="68" t="str" cm="1">
        <f t="array" ref="AA364">CalculerNouvelleDate(K364,Z364)</f>
        <v/>
      </c>
      <c r="AB364" s="68" t="str" cm="1">
        <f t="array" ref="AB364">CalculerNouvelleDate(L364,AA364)</f>
        <v/>
      </c>
      <c r="AC364" s="68" t="str" cm="1">
        <f t="array" ref="AC364">CalculerNouvelleDate(M364,AB364)</f>
        <v/>
      </c>
      <c r="AD364" s="68" t="str" cm="1">
        <f t="array" ref="AD364">CalculerNouvelleDate(N364,AC364)</f>
        <v/>
      </c>
      <c r="AE364" s="68" t="str" cm="1">
        <f t="array" ref="AE364">CalculerNouvelleDate(O364,AD364)</f>
        <v/>
      </c>
      <c r="AF364" s="68" t="str" cm="1">
        <f t="array" ref="AF364">CalculerNouvelleDate(P364,AE364)</f>
        <v/>
      </c>
      <c r="AG364" s="68" t="str" cm="1">
        <f t="array" ref="AG364">CalculerNouvelleDate(Q364,AF364)</f>
        <v/>
      </c>
      <c r="AH364" s="68" t="str" cm="1">
        <f t="array" ref="AH364">CalculerNouvelleDate(R364,AG364)</f>
        <v/>
      </c>
      <c r="AI364" s="68" t="str" cm="1">
        <f t="array" ref="AI364">CalculerNouvelleDate(S364,AH364)</f>
        <v/>
      </c>
      <c r="AJ364" s="68" t="str" cm="1">
        <f t="array" ref="AJ364">CalculerNouvelleDate(T364,AI364)</f>
        <v/>
      </c>
      <c r="AK364" s="68" t="str" cm="1">
        <f t="array" ref="AK364">CalculerNouvelleDate(U364,AJ364)</f>
        <v/>
      </c>
      <c r="AL364" s="68" t="str" cm="1">
        <f t="array" ref="AL364">CalculerNouvelleDate(V364,AK364)</f>
        <v/>
      </c>
      <c r="AM364" s="83" t="str" cm="1">
        <f t="array" ref="AM364">CorrespondanceDAte(X364:AL364,D365)</f>
        <v>0</v>
      </c>
      <c r="AN364" s="1"/>
      <c r="AO364" s="1"/>
      <c r="AP364" s="1"/>
      <c r="AQ364" s="1"/>
      <c r="AR364" s="1"/>
      <c r="AS364" s="1"/>
      <c r="AT364" s="1"/>
      <c r="AU364" s="1"/>
      <c r="AV364" s="1"/>
      <c r="AW364" s="1"/>
      <c r="AX364" s="1"/>
      <c r="AY364" s="1"/>
      <c r="AZ364" s="1"/>
      <c r="BA364" s="1"/>
    </row>
    <row r="365" spans="1:53" x14ac:dyDescent="0.3">
      <c r="A365" s="1"/>
      <c r="B365" s="11"/>
      <c r="C365" s="1" t="s">
        <v>745</v>
      </c>
      <c r="D365" s="1"/>
      <c r="E365" s="1"/>
      <c r="F365" s="1"/>
      <c r="G365" s="1"/>
      <c r="H365" s="43"/>
      <c r="I365" s="46"/>
      <c r="J365" s="46"/>
      <c r="K365" s="46"/>
      <c r="L365" s="46"/>
      <c r="M365" s="46"/>
      <c r="N365" s="46"/>
      <c r="O365" s="46"/>
      <c r="P365" s="46"/>
      <c r="Q365" s="46"/>
      <c r="R365" s="46"/>
      <c r="S365" s="46"/>
      <c r="T365" s="46"/>
      <c r="U365" s="46"/>
      <c r="V365" s="46"/>
      <c r="W365" s="62"/>
      <c r="X365" s="67"/>
      <c r="Y365" s="68" t="str" cm="1">
        <f t="array" ref="Y365">CalculerNouvelleDate(I365,X365)</f>
        <v/>
      </c>
      <c r="Z365" s="68" t="str" cm="1">
        <f t="array" ref="Z365">CalculerNouvelleDate(J365,Y365)</f>
        <v/>
      </c>
      <c r="AA365" s="68" t="str" cm="1">
        <f t="array" ref="AA365">CalculerNouvelleDate(K365,Z365)</f>
        <v/>
      </c>
      <c r="AB365" s="68" t="str" cm="1">
        <f t="array" ref="AB365">CalculerNouvelleDate(L365,AA365)</f>
        <v/>
      </c>
      <c r="AC365" s="68" t="str" cm="1">
        <f t="array" ref="AC365">CalculerNouvelleDate(M365,AB365)</f>
        <v/>
      </c>
      <c r="AD365" s="68" t="str" cm="1">
        <f t="array" ref="AD365">CalculerNouvelleDate(N365,AC365)</f>
        <v/>
      </c>
      <c r="AE365" s="68" t="str" cm="1">
        <f t="array" ref="AE365">CalculerNouvelleDate(O365,AD365)</f>
        <v/>
      </c>
      <c r="AF365" s="68" t="str" cm="1">
        <f t="array" ref="AF365">CalculerNouvelleDate(P365,AE365)</f>
        <v/>
      </c>
      <c r="AG365" s="68" t="str" cm="1">
        <f t="array" ref="AG365">CalculerNouvelleDate(Q365,AF365)</f>
        <v/>
      </c>
      <c r="AH365" s="68" t="str" cm="1">
        <f t="array" ref="AH365">CalculerNouvelleDate(R365,AG365)</f>
        <v/>
      </c>
      <c r="AI365" s="68" t="str" cm="1">
        <f t="array" ref="AI365">CalculerNouvelleDate(S365,AH365)</f>
        <v/>
      </c>
      <c r="AJ365" s="68" t="str" cm="1">
        <f t="array" ref="AJ365">CalculerNouvelleDate(T365,AI365)</f>
        <v/>
      </c>
      <c r="AK365" s="68" t="str" cm="1">
        <f t="array" ref="AK365">CalculerNouvelleDate(U365,AJ365)</f>
        <v/>
      </c>
      <c r="AL365" s="68" t="str" cm="1">
        <f t="array" ref="AL365">CalculerNouvelleDate(V365,AK365)</f>
        <v/>
      </c>
      <c r="AM365" s="83" t="str" cm="1">
        <f t="array" ref="AM365">CorrespondanceDAte(X365:AL365,D366)</f>
        <v>0</v>
      </c>
      <c r="AN365" s="1"/>
      <c r="AO365" s="1"/>
      <c r="AP365" s="1"/>
      <c r="AQ365" s="1"/>
      <c r="AR365" s="1"/>
      <c r="AS365" s="1"/>
      <c r="AT365" s="1"/>
      <c r="AU365" s="1"/>
      <c r="AV365" s="1"/>
      <c r="AW365" s="1"/>
      <c r="AX365" s="1"/>
      <c r="AY365" s="1"/>
      <c r="AZ365" s="1"/>
      <c r="BA365" s="1"/>
    </row>
    <row r="366" spans="1:53" x14ac:dyDescent="0.3">
      <c r="A366" s="1"/>
      <c r="B366" s="11"/>
      <c r="C366" s="1" t="s">
        <v>746</v>
      </c>
      <c r="D366" s="1"/>
      <c r="E366" s="1"/>
      <c r="F366" s="1"/>
      <c r="G366" s="1"/>
      <c r="H366" s="43"/>
      <c r="I366" s="46"/>
      <c r="J366" s="46"/>
      <c r="K366" s="46"/>
      <c r="L366" s="46"/>
      <c r="M366" s="46"/>
      <c r="N366" s="46"/>
      <c r="O366" s="46"/>
      <c r="P366" s="46"/>
      <c r="Q366" s="46"/>
      <c r="R366" s="46"/>
      <c r="S366" s="46"/>
      <c r="T366" s="46"/>
      <c r="U366" s="46"/>
      <c r="V366" s="46"/>
      <c r="W366" s="62"/>
      <c r="X366" s="67"/>
      <c r="Y366" s="68" t="str" cm="1">
        <f t="array" ref="Y366">CalculerNouvelleDate(I366,X366)</f>
        <v/>
      </c>
      <c r="Z366" s="68" t="str" cm="1">
        <f t="array" ref="Z366">CalculerNouvelleDate(J366,Y366)</f>
        <v/>
      </c>
      <c r="AA366" s="68" t="str" cm="1">
        <f t="array" ref="AA366">CalculerNouvelleDate(K366,Z366)</f>
        <v/>
      </c>
      <c r="AB366" s="68" t="str" cm="1">
        <f t="array" ref="AB366">CalculerNouvelleDate(L366,AA366)</f>
        <v/>
      </c>
      <c r="AC366" s="68" t="str" cm="1">
        <f t="array" ref="AC366">CalculerNouvelleDate(M366,AB366)</f>
        <v/>
      </c>
      <c r="AD366" s="68" t="str" cm="1">
        <f t="array" ref="AD366">CalculerNouvelleDate(N366,AC366)</f>
        <v/>
      </c>
      <c r="AE366" s="68" t="str" cm="1">
        <f t="array" ref="AE366">CalculerNouvelleDate(O366,AD366)</f>
        <v/>
      </c>
      <c r="AF366" s="68" t="str" cm="1">
        <f t="array" ref="AF366">CalculerNouvelleDate(P366,AE366)</f>
        <v/>
      </c>
      <c r="AG366" s="68" t="str" cm="1">
        <f t="array" ref="AG366">CalculerNouvelleDate(Q366,AF366)</f>
        <v/>
      </c>
      <c r="AH366" s="68" t="str" cm="1">
        <f t="array" ref="AH366">CalculerNouvelleDate(R366,AG366)</f>
        <v/>
      </c>
      <c r="AI366" s="68" t="str" cm="1">
        <f t="array" ref="AI366">CalculerNouvelleDate(S366,AH366)</f>
        <v/>
      </c>
      <c r="AJ366" s="68" t="str" cm="1">
        <f t="array" ref="AJ366">CalculerNouvelleDate(T366,AI366)</f>
        <v/>
      </c>
      <c r="AK366" s="68" t="str" cm="1">
        <f t="array" ref="AK366">CalculerNouvelleDate(U366,AJ366)</f>
        <v/>
      </c>
      <c r="AL366" s="68" t="str" cm="1">
        <f t="array" ref="AL366">CalculerNouvelleDate(V366,AK366)</f>
        <v/>
      </c>
      <c r="AM366" s="83" t="str" cm="1">
        <f t="array" ref="AM366">CorrespondanceDAte(X366:AL366,D367)</f>
        <v>0</v>
      </c>
      <c r="AN366" s="1"/>
      <c r="AO366" s="1"/>
      <c r="AP366" s="1"/>
      <c r="AQ366" s="1"/>
      <c r="AR366" s="1"/>
      <c r="AS366" s="1"/>
      <c r="AT366" s="1"/>
      <c r="AU366" s="1"/>
      <c r="AV366" s="1"/>
      <c r="AW366" s="1"/>
      <c r="AX366" s="1"/>
      <c r="AY366" s="1"/>
      <c r="AZ366" s="1"/>
      <c r="BA366" s="1"/>
    </row>
    <row r="367" spans="1:53" x14ac:dyDescent="0.3">
      <c r="A367" s="1"/>
      <c r="B367" s="11"/>
      <c r="C367" s="1" t="s">
        <v>747</v>
      </c>
      <c r="D367" s="1"/>
      <c r="E367" s="1"/>
      <c r="F367" s="1"/>
      <c r="G367" s="1"/>
      <c r="H367" s="43"/>
      <c r="I367" s="46"/>
      <c r="J367" s="46"/>
      <c r="K367" s="46"/>
      <c r="L367" s="46"/>
      <c r="M367" s="46"/>
      <c r="N367" s="46"/>
      <c r="O367" s="46"/>
      <c r="P367" s="46"/>
      <c r="Q367" s="46"/>
      <c r="R367" s="46"/>
      <c r="S367" s="46"/>
      <c r="T367" s="46"/>
      <c r="U367" s="46"/>
      <c r="V367" s="46"/>
      <c r="W367" s="62"/>
      <c r="X367" s="67"/>
      <c r="Y367" s="68" t="str" cm="1">
        <f t="array" ref="Y367">CalculerNouvelleDate(I367,X367)</f>
        <v/>
      </c>
      <c r="Z367" s="68" t="str" cm="1">
        <f t="array" ref="Z367">CalculerNouvelleDate(J367,Y367)</f>
        <v/>
      </c>
      <c r="AA367" s="68" t="str" cm="1">
        <f t="array" ref="AA367">CalculerNouvelleDate(K367,Z367)</f>
        <v/>
      </c>
      <c r="AB367" s="68" t="str" cm="1">
        <f t="array" ref="AB367">CalculerNouvelleDate(L367,AA367)</f>
        <v/>
      </c>
      <c r="AC367" s="68" t="str" cm="1">
        <f t="array" ref="AC367">CalculerNouvelleDate(M367,AB367)</f>
        <v/>
      </c>
      <c r="AD367" s="68" t="str" cm="1">
        <f t="array" ref="AD367">CalculerNouvelleDate(N367,AC367)</f>
        <v/>
      </c>
      <c r="AE367" s="68" t="str" cm="1">
        <f t="array" ref="AE367">CalculerNouvelleDate(O367,AD367)</f>
        <v/>
      </c>
      <c r="AF367" s="68" t="str" cm="1">
        <f t="array" ref="AF367">CalculerNouvelleDate(P367,AE367)</f>
        <v/>
      </c>
      <c r="AG367" s="68" t="str" cm="1">
        <f t="array" ref="AG367">CalculerNouvelleDate(Q367,AF367)</f>
        <v/>
      </c>
      <c r="AH367" s="68" t="str" cm="1">
        <f t="array" ref="AH367">CalculerNouvelleDate(R367,AG367)</f>
        <v/>
      </c>
      <c r="AI367" s="68" t="str" cm="1">
        <f t="array" ref="AI367">CalculerNouvelleDate(S367,AH367)</f>
        <v/>
      </c>
      <c r="AJ367" s="68" t="str" cm="1">
        <f t="array" ref="AJ367">CalculerNouvelleDate(T367,AI367)</f>
        <v/>
      </c>
      <c r="AK367" s="68" t="str" cm="1">
        <f t="array" ref="AK367">CalculerNouvelleDate(U367,AJ367)</f>
        <v/>
      </c>
      <c r="AL367" s="68" t="str" cm="1">
        <f t="array" ref="AL367">CalculerNouvelleDate(V367,AK367)</f>
        <v/>
      </c>
      <c r="AM367" s="83" t="str" cm="1">
        <f t="array" ref="AM367">CorrespondanceDAte(X367:AL367,D368)</f>
        <v>0</v>
      </c>
      <c r="AN367" s="1"/>
      <c r="AO367" s="1"/>
      <c r="AP367" s="1"/>
      <c r="AQ367" s="1"/>
      <c r="AR367" s="1"/>
      <c r="AS367" s="1"/>
      <c r="AT367" s="1"/>
      <c r="AU367" s="1"/>
      <c r="AV367" s="1"/>
      <c r="AW367" s="1"/>
      <c r="AX367" s="1"/>
      <c r="AY367" s="1"/>
      <c r="AZ367" s="1"/>
      <c r="BA367" s="1"/>
    </row>
    <row r="368" spans="1:53" x14ac:dyDescent="0.3">
      <c r="A368" s="1"/>
      <c r="B368" s="11">
        <f>B364+1</f>
        <v>15</v>
      </c>
      <c r="C368" s="1" t="s">
        <v>84</v>
      </c>
      <c r="D368" s="1"/>
      <c r="E368" s="1"/>
      <c r="F368" s="1"/>
      <c r="G368" s="1"/>
      <c r="H368" s="43"/>
      <c r="I368" s="1"/>
      <c r="J368" s="1"/>
      <c r="K368" s="1"/>
      <c r="L368" s="1"/>
      <c r="M368" s="1"/>
      <c r="N368" s="1"/>
      <c r="O368" s="1"/>
      <c r="P368" s="1"/>
      <c r="Q368" s="1"/>
      <c r="R368" s="1"/>
      <c r="S368" s="1"/>
      <c r="T368" s="1"/>
      <c r="U368" s="1"/>
      <c r="V368" s="1"/>
      <c r="W368" s="11"/>
      <c r="X368" s="67"/>
      <c r="Y368" s="68" t="str" cm="1">
        <f t="array" ref="Y368">CalculerNouvelleDate(I368,X368)</f>
        <v/>
      </c>
      <c r="Z368" s="68" t="str" cm="1">
        <f t="array" ref="Z368">CalculerNouvelleDate(J368,Y368)</f>
        <v/>
      </c>
      <c r="AA368" s="68" t="str" cm="1">
        <f t="array" ref="AA368">CalculerNouvelleDate(K368,Z368)</f>
        <v/>
      </c>
      <c r="AB368" s="68" t="str" cm="1">
        <f t="array" ref="AB368">CalculerNouvelleDate(L368,AA368)</f>
        <v/>
      </c>
      <c r="AC368" s="68" t="str" cm="1">
        <f t="array" ref="AC368">CalculerNouvelleDate(M368,AB368)</f>
        <v/>
      </c>
      <c r="AD368" s="68" t="str" cm="1">
        <f t="array" ref="AD368">CalculerNouvelleDate(N368,AC368)</f>
        <v/>
      </c>
      <c r="AE368" s="68" t="str" cm="1">
        <f t="array" ref="AE368">CalculerNouvelleDate(O368,AD368)</f>
        <v/>
      </c>
      <c r="AF368" s="68" t="str" cm="1">
        <f t="array" ref="AF368">CalculerNouvelleDate(P368,AE368)</f>
        <v/>
      </c>
      <c r="AG368" s="68" t="str" cm="1">
        <f t="array" ref="AG368">CalculerNouvelleDate(Q368,AF368)</f>
        <v/>
      </c>
      <c r="AH368" s="68" t="str" cm="1">
        <f t="array" ref="AH368">CalculerNouvelleDate(R368,AG368)</f>
        <v/>
      </c>
      <c r="AI368" s="68" t="str" cm="1">
        <f t="array" ref="AI368">CalculerNouvelleDate(S368,AH368)</f>
        <v/>
      </c>
      <c r="AJ368" s="68" t="str" cm="1">
        <f t="array" ref="AJ368">CalculerNouvelleDate(T368,AI368)</f>
        <v/>
      </c>
      <c r="AK368" s="68" t="str" cm="1">
        <f t="array" ref="AK368">CalculerNouvelleDate(U368,AJ368)</f>
        <v/>
      </c>
      <c r="AL368" s="68" t="str" cm="1">
        <f t="array" ref="AL368">CalculerNouvelleDate(V368,AK368)</f>
        <v/>
      </c>
      <c r="AM368" s="83" t="str" cm="1">
        <f t="array" ref="AM368">CorrespondanceDAte(X368:AL368,D369)</f>
        <v>0</v>
      </c>
      <c r="AN368" s="1"/>
      <c r="AO368" s="1"/>
      <c r="AP368" s="1"/>
      <c r="AQ368" s="1"/>
      <c r="AR368" s="1"/>
      <c r="AS368" s="1"/>
      <c r="AT368" s="1"/>
      <c r="AU368" s="1"/>
      <c r="AV368" s="1"/>
      <c r="AW368" s="1"/>
      <c r="AX368" s="1"/>
      <c r="AY368" s="1"/>
      <c r="AZ368" s="1"/>
      <c r="BA368" s="1"/>
    </row>
    <row r="369" spans="1:53" x14ac:dyDescent="0.3">
      <c r="A369" s="1"/>
      <c r="B369" s="11"/>
      <c r="C369" s="1" t="s">
        <v>748</v>
      </c>
      <c r="D369" s="1"/>
      <c r="E369" s="1"/>
      <c r="F369" s="1"/>
      <c r="G369" s="1"/>
      <c r="H369" s="43"/>
      <c r="I369" s="46"/>
      <c r="J369" s="46"/>
      <c r="K369" s="46"/>
      <c r="L369" s="46"/>
      <c r="M369" s="46"/>
      <c r="N369" s="46"/>
      <c r="O369" s="46"/>
      <c r="P369" s="46"/>
      <c r="Q369" s="46"/>
      <c r="R369" s="46"/>
      <c r="S369" s="46"/>
      <c r="T369" s="46"/>
      <c r="U369" s="46"/>
      <c r="V369" s="46"/>
      <c r="W369" s="62"/>
      <c r="X369" s="67"/>
      <c r="Y369" s="68" t="str" cm="1">
        <f t="array" ref="Y369">CalculerNouvelleDate(I369,X369)</f>
        <v/>
      </c>
      <c r="Z369" s="68" t="str" cm="1">
        <f t="array" ref="Z369">CalculerNouvelleDate(J369,Y369)</f>
        <v/>
      </c>
      <c r="AA369" s="68" t="str" cm="1">
        <f t="array" ref="AA369">CalculerNouvelleDate(K369,Z369)</f>
        <v/>
      </c>
      <c r="AB369" s="68" t="str" cm="1">
        <f t="array" ref="AB369">CalculerNouvelleDate(L369,AA369)</f>
        <v/>
      </c>
      <c r="AC369" s="68" t="str" cm="1">
        <f t="array" ref="AC369">CalculerNouvelleDate(M369,AB369)</f>
        <v/>
      </c>
      <c r="AD369" s="68" t="str" cm="1">
        <f t="array" ref="AD369">CalculerNouvelleDate(N369,AC369)</f>
        <v/>
      </c>
      <c r="AE369" s="68" t="str" cm="1">
        <f t="array" ref="AE369">CalculerNouvelleDate(O369,AD369)</f>
        <v/>
      </c>
      <c r="AF369" s="68" t="str" cm="1">
        <f t="array" ref="AF369">CalculerNouvelleDate(P369,AE369)</f>
        <v/>
      </c>
      <c r="AG369" s="68" t="str" cm="1">
        <f t="array" ref="AG369">CalculerNouvelleDate(Q369,AF369)</f>
        <v/>
      </c>
      <c r="AH369" s="68" t="str" cm="1">
        <f t="array" ref="AH369">CalculerNouvelleDate(R369,AG369)</f>
        <v/>
      </c>
      <c r="AI369" s="68" t="str" cm="1">
        <f t="array" ref="AI369">CalculerNouvelleDate(S369,AH369)</f>
        <v/>
      </c>
      <c r="AJ369" s="68" t="str" cm="1">
        <f t="array" ref="AJ369">CalculerNouvelleDate(T369,AI369)</f>
        <v/>
      </c>
      <c r="AK369" s="68" t="str" cm="1">
        <f t="array" ref="AK369">CalculerNouvelleDate(U369,AJ369)</f>
        <v/>
      </c>
      <c r="AL369" s="68" t="str" cm="1">
        <f t="array" ref="AL369">CalculerNouvelleDate(V369,AK369)</f>
        <v/>
      </c>
      <c r="AM369" s="83" t="str" cm="1">
        <f t="array" ref="AM369">CorrespondanceDAte(X369:AL369,D370)</f>
        <v>0</v>
      </c>
      <c r="AN369" s="1"/>
      <c r="AO369" s="1"/>
      <c r="AP369" s="1"/>
      <c r="AQ369" s="1"/>
      <c r="AR369" s="1"/>
      <c r="AS369" s="1"/>
      <c r="AT369" s="1"/>
      <c r="AU369" s="1"/>
      <c r="AV369" s="1"/>
      <c r="AW369" s="1"/>
      <c r="AX369" s="1"/>
      <c r="AY369" s="1"/>
      <c r="AZ369" s="1"/>
      <c r="BA369" s="1"/>
    </row>
    <row r="370" spans="1:53" x14ac:dyDescent="0.3">
      <c r="A370" s="1"/>
      <c r="B370" s="11"/>
      <c r="C370" s="1" t="s">
        <v>749</v>
      </c>
      <c r="D370" s="1"/>
      <c r="E370" s="1"/>
      <c r="F370" s="1"/>
      <c r="G370" s="1"/>
      <c r="H370" s="43"/>
      <c r="I370" s="46"/>
      <c r="J370" s="46"/>
      <c r="K370" s="46"/>
      <c r="L370" s="46"/>
      <c r="M370" s="46"/>
      <c r="N370" s="46"/>
      <c r="O370" s="46"/>
      <c r="P370" s="46"/>
      <c r="Q370" s="46"/>
      <c r="R370" s="46"/>
      <c r="S370" s="46"/>
      <c r="T370" s="46"/>
      <c r="U370" s="46"/>
      <c r="V370" s="46"/>
      <c r="W370" s="62"/>
      <c r="X370" s="67"/>
      <c r="Y370" s="68" t="str" cm="1">
        <f t="array" ref="Y370">CalculerNouvelleDate(I370,X370)</f>
        <v/>
      </c>
      <c r="Z370" s="68" t="str" cm="1">
        <f t="array" ref="Z370">CalculerNouvelleDate(J370,Y370)</f>
        <v/>
      </c>
      <c r="AA370" s="68" t="str" cm="1">
        <f t="array" ref="AA370">CalculerNouvelleDate(K370,Z370)</f>
        <v/>
      </c>
      <c r="AB370" s="68" t="str" cm="1">
        <f t="array" ref="AB370">CalculerNouvelleDate(L370,AA370)</f>
        <v/>
      </c>
      <c r="AC370" s="68" t="str" cm="1">
        <f t="array" ref="AC370">CalculerNouvelleDate(M370,AB370)</f>
        <v/>
      </c>
      <c r="AD370" s="68" t="str" cm="1">
        <f t="array" ref="AD370">CalculerNouvelleDate(N370,AC370)</f>
        <v/>
      </c>
      <c r="AE370" s="68" t="str" cm="1">
        <f t="array" ref="AE370">CalculerNouvelleDate(O370,AD370)</f>
        <v/>
      </c>
      <c r="AF370" s="68" t="str" cm="1">
        <f t="array" ref="AF370">CalculerNouvelleDate(P370,AE370)</f>
        <v/>
      </c>
      <c r="AG370" s="68" t="str" cm="1">
        <f t="array" ref="AG370">CalculerNouvelleDate(Q370,AF370)</f>
        <v/>
      </c>
      <c r="AH370" s="68" t="str" cm="1">
        <f t="array" ref="AH370">CalculerNouvelleDate(R370,AG370)</f>
        <v/>
      </c>
      <c r="AI370" s="68" t="str" cm="1">
        <f t="array" ref="AI370">CalculerNouvelleDate(S370,AH370)</f>
        <v/>
      </c>
      <c r="AJ370" s="68" t="str" cm="1">
        <f t="array" ref="AJ370">CalculerNouvelleDate(T370,AI370)</f>
        <v/>
      </c>
      <c r="AK370" s="68" t="str" cm="1">
        <f t="array" ref="AK370">CalculerNouvelleDate(U370,AJ370)</f>
        <v/>
      </c>
      <c r="AL370" s="68" t="str" cm="1">
        <f t="array" ref="AL370">CalculerNouvelleDate(V370,AK370)</f>
        <v/>
      </c>
      <c r="AM370" s="83" t="str" cm="1">
        <f t="array" ref="AM370">CorrespondanceDAte(X370:AL370,D371)</f>
        <v>0</v>
      </c>
      <c r="AN370" s="1"/>
      <c r="AO370" s="1"/>
      <c r="AP370" s="1"/>
      <c r="AQ370" s="1"/>
      <c r="AR370" s="1"/>
      <c r="AS370" s="1"/>
      <c r="AT370" s="1"/>
      <c r="AU370" s="1"/>
      <c r="AV370" s="1"/>
      <c r="AW370" s="1"/>
      <c r="AX370" s="1"/>
      <c r="AY370" s="1"/>
      <c r="AZ370" s="1"/>
      <c r="BA370" s="1"/>
    </row>
    <row r="371" spans="1:53" x14ac:dyDescent="0.3">
      <c r="A371" s="1"/>
      <c r="B371" s="11">
        <f>B368+1</f>
        <v>16</v>
      </c>
      <c r="C371" s="1" t="s">
        <v>85</v>
      </c>
      <c r="D371" s="1"/>
      <c r="E371" s="1"/>
      <c r="F371" s="1"/>
      <c r="G371" s="1"/>
      <c r="H371" s="43"/>
      <c r="I371" s="1"/>
      <c r="J371" s="1"/>
      <c r="K371" s="1"/>
      <c r="L371" s="1"/>
      <c r="M371" s="1"/>
      <c r="N371" s="1"/>
      <c r="O371" s="1"/>
      <c r="P371" s="1"/>
      <c r="Q371" s="1"/>
      <c r="R371" s="1"/>
      <c r="S371" s="1"/>
      <c r="T371" s="1"/>
      <c r="U371" s="1"/>
      <c r="V371" s="1"/>
      <c r="W371" s="11"/>
      <c r="X371" s="67"/>
      <c r="Y371" s="68" t="str" cm="1">
        <f t="array" ref="Y371">CalculerNouvelleDate(I371,X371)</f>
        <v/>
      </c>
      <c r="Z371" s="68" t="str" cm="1">
        <f t="array" ref="Z371">CalculerNouvelleDate(J371,Y371)</f>
        <v/>
      </c>
      <c r="AA371" s="68" t="str" cm="1">
        <f t="array" ref="AA371">CalculerNouvelleDate(K371,Z371)</f>
        <v/>
      </c>
      <c r="AB371" s="68" t="str" cm="1">
        <f t="array" ref="AB371">CalculerNouvelleDate(L371,AA371)</f>
        <v/>
      </c>
      <c r="AC371" s="68" t="str" cm="1">
        <f t="array" ref="AC371">CalculerNouvelleDate(M371,AB371)</f>
        <v/>
      </c>
      <c r="AD371" s="68" t="str" cm="1">
        <f t="array" ref="AD371">CalculerNouvelleDate(N371,AC371)</f>
        <v/>
      </c>
      <c r="AE371" s="68" t="str" cm="1">
        <f t="array" ref="AE371">CalculerNouvelleDate(O371,AD371)</f>
        <v/>
      </c>
      <c r="AF371" s="68" t="str" cm="1">
        <f t="array" ref="AF371">CalculerNouvelleDate(P371,AE371)</f>
        <v/>
      </c>
      <c r="AG371" s="68" t="str" cm="1">
        <f t="array" ref="AG371">CalculerNouvelleDate(Q371,AF371)</f>
        <v/>
      </c>
      <c r="AH371" s="68" t="str" cm="1">
        <f t="array" ref="AH371">CalculerNouvelleDate(R371,AG371)</f>
        <v/>
      </c>
      <c r="AI371" s="68" t="str" cm="1">
        <f t="array" ref="AI371">CalculerNouvelleDate(S371,AH371)</f>
        <v/>
      </c>
      <c r="AJ371" s="68" t="str" cm="1">
        <f t="array" ref="AJ371">CalculerNouvelleDate(T371,AI371)</f>
        <v/>
      </c>
      <c r="AK371" s="68" t="str" cm="1">
        <f t="array" ref="AK371">CalculerNouvelleDate(U371,AJ371)</f>
        <v/>
      </c>
      <c r="AL371" s="68" t="str" cm="1">
        <f t="array" ref="AL371">CalculerNouvelleDate(V371,AK371)</f>
        <v/>
      </c>
      <c r="AM371" s="83" t="str" cm="1">
        <f t="array" ref="AM371">CorrespondanceDAte(X371:AL371,D372)</f>
        <v>0</v>
      </c>
      <c r="AN371" s="1"/>
      <c r="AO371" s="1"/>
      <c r="AP371" s="1"/>
      <c r="AQ371" s="1"/>
      <c r="AR371" s="1"/>
      <c r="AS371" s="1"/>
      <c r="AT371" s="1"/>
      <c r="AU371" s="1"/>
      <c r="AV371" s="1"/>
      <c r="AW371" s="1"/>
      <c r="AX371" s="1"/>
      <c r="AY371" s="1"/>
      <c r="AZ371" s="1"/>
      <c r="BA371" s="1"/>
    </row>
    <row r="372" spans="1:53" x14ac:dyDescent="0.3">
      <c r="A372" s="1"/>
      <c r="B372" s="11"/>
      <c r="C372" s="1" t="s">
        <v>750</v>
      </c>
      <c r="D372" s="1"/>
      <c r="E372" s="1"/>
      <c r="F372" s="1"/>
      <c r="G372" s="1"/>
      <c r="H372" s="43"/>
      <c r="I372" s="46"/>
      <c r="J372" s="46"/>
      <c r="K372" s="46"/>
      <c r="L372" s="46"/>
      <c r="M372" s="46"/>
      <c r="N372" s="46"/>
      <c r="O372" s="46"/>
      <c r="P372" s="46"/>
      <c r="Q372" s="46"/>
      <c r="R372" s="46"/>
      <c r="S372" s="46"/>
      <c r="T372" s="46"/>
      <c r="U372" s="46"/>
      <c r="V372" s="46"/>
      <c r="W372" s="62"/>
      <c r="X372" s="67"/>
      <c r="Y372" s="68" t="str" cm="1">
        <f t="array" ref="Y372">CalculerNouvelleDate(I372,X372)</f>
        <v/>
      </c>
      <c r="Z372" s="68" t="str" cm="1">
        <f t="array" ref="Z372">CalculerNouvelleDate(J372,Y372)</f>
        <v/>
      </c>
      <c r="AA372" s="68" t="str" cm="1">
        <f t="array" ref="AA372">CalculerNouvelleDate(K372,Z372)</f>
        <v/>
      </c>
      <c r="AB372" s="68" t="str" cm="1">
        <f t="array" ref="AB372">CalculerNouvelleDate(L372,AA372)</f>
        <v/>
      </c>
      <c r="AC372" s="68" t="str" cm="1">
        <f t="array" ref="AC372">CalculerNouvelleDate(M372,AB372)</f>
        <v/>
      </c>
      <c r="AD372" s="68" t="str" cm="1">
        <f t="array" ref="AD372">CalculerNouvelleDate(N372,AC372)</f>
        <v/>
      </c>
      <c r="AE372" s="68" t="str" cm="1">
        <f t="array" ref="AE372">CalculerNouvelleDate(O372,AD372)</f>
        <v/>
      </c>
      <c r="AF372" s="68" t="str" cm="1">
        <f t="array" ref="AF372">CalculerNouvelleDate(P372,AE372)</f>
        <v/>
      </c>
      <c r="AG372" s="68" t="str" cm="1">
        <f t="array" ref="AG372">CalculerNouvelleDate(Q372,AF372)</f>
        <v/>
      </c>
      <c r="AH372" s="68" t="str" cm="1">
        <f t="array" ref="AH372">CalculerNouvelleDate(R372,AG372)</f>
        <v/>
      </c>
      <c r="AI372" s="68" t="str" cm="1">
        <f t="array" ref="AI372">CalculerNouvelleDate(S372,AH372)</f>
        <v/>
      </c>
      <c r="AJ372" s="68" t="str" cm="1">
        <f t="array" ref="AJ372">CalculerNouvelleDate(T372,AI372)</f>
        <v/>
      </c>
      <c r="AK372" s="68" t="str" cm="1">
        <f t="array" ref="AK372">CalculerNouvelleDate(U372,AJ372)</f>
        <v/>
      </c>
      <c r="AL372" s="68" t="str" cm="1">
        <f t="array" ref="AL372">CalculerNouvelleDate(V372,AK372)</f>
        <v/>
      </c>
      <c r="AM372" s="83" t="str" cm="1">
        <f t="array" ref="AM372">CorrespondanceDAte(X372:AL372,D373)</f>
        <v>0</v>
      </c>
      <c r="AN372" s="1"/>
      <c r="AO372" s="1"/>
      <c r="AP372" s="1"/>
      <c r="AQ372" s="1"/>
      <c r="AR372" s="1"/>
      <c r="AS372" s="1"/>
      <c r="AT372" s="1"/>
      <c r="AU372" s="1"/>
      <c r="AV372" s="1"/>
      <c r="AW372" s="1"/>
      <c r="AX372" s="1"/>
      <c r="AY372" s="1"/>
      <c r="AZ372" s="1"/>
      <c r="BA372" s="1"/>
    </row>
    <row r="373" spans="1:53" x14ac:dyDescent="0.3">
      <c r="A373" s="1"/>
      <c r="B373" s="11"/>
      <c r="C373" s="1" t="s">
        <v>751</v>
      </c>
      <c r="D373" s="1"/>
      <c r="E373" s="1"/>
      <c r="F373" s="1"/>
      <c r="G373" s="1"/>
      <c r="H373" s="43"/>
      <c r="I373" s="46"/>
      <c r="J373" s="46"/>
      <c r="K373" s="46"/>
      <c r="L373" s="46"/>
      <c r="M373" s="46"/>
      <c r="N373" s="46"/>
      <c r="O373" s="46"/>
      <c r="P373" s="46"/>
      <c r="Q373" s="46"/>
      <c r="R373" s="46"/>
      <c r="S373" s="46"/>
      <c r="T373" s="46"/>
      <c r="U373" s="46"/>
      <c r="V373" s="46"/>
      <c r="W373" s="62"/>
      <c r="X373" s="67"/>
      <c r="Y373" s="68" t="str" cm="1">
        <f t="array" ref="Y373">CalculerNouvelleDate(I373,X373)</f>
        <v/>
      </c>
      <c r="Z373" s="68" t="str" cm="1">
        <f t="array" ref="Z373">CalculerNouvelleDate(J373,Y373)</f>
        <v/>
      </c>
      <c r="AA373" s="68" t="str" cm="1">
        <f t="array" ref="AA373">CalculerNouvelleDate(K373,Z373)</f>
        <v/>
      </c>
      <c r="AB373" s="68" t="str" cm="1">
        <f t="array" ref="AB373">CalculerNouvelleDate(L373,AA373)</f>
        <v/>
      </c>
      <c r="AC373" s="68" t="str" cm="1">
        <f t="array" ref="AC373">CalculerNouvelleDate(M373,AB373)</f>
        <v/>
      </c>
      <c r="AD373" s="68" t="str" cm="1">
        <f t="array" ref="AD373">CalculerNouvelleDate(N373,AC373)</f>
        <v/>
      </c>
      <c r="AE373" s="68" t="str" cm="1">
        <f t="array" ref="AE373">CalculerNouvelleDate(O373,AD373)</f>
        <v/>
      </c>
      <c r="AF373" s="68" t="str" cm="1">
        <f t="array" ref="AF373">CalculerNouvelleDate(P373,AE373)</f>
        <v/>
      </c>
      <c r="AG373" s="68" t="str" cm="1">
        <f t="array" ref="AG373">CalculerNouvelleDate(Q373,AF373)</f>
        <v/>
      </c>
      <c r="AH373" s="68" t="str" cm="1">
        <f t="array" ref="AH373">CalculerNouvelleDate(R373,AG373)</f>
        <v/>
      </c>
      <c r="AI373" s="68" t="str" cm="1">
        <f t="array" ref="AI373">CalculerNouvelleDate(S373,AH373)</f>
        <v/>
      </c>
      <c r="AJ373" s="68" t="str" cm="1">
        <f t="array" ref="AJ373">CalculerNouvelleDate(T373,AI373)</f>
        <v/>
      </c>
      <c r="AK373" s="68" t="str" cm="1">
        <f t="array" ref="AK373">CalculerNouvelleDate(U373,AJ373)</f>
        <v/>
      </c>
      <c r="AL373" s="68" t="str" cm="1">
        <f t="array" ref="AL373">CalculerNouvelleDate(V373,AK373)</f>
        <v/>
      </c>
      <c r="AM373" s="83" t="str" cm="1">
        <f t="array" ref="AM373">CorrespondanceDAte(X373:AL373,D374)</f>
        <v>0</v>
      </c>
      <c r="AN373" s="1"/>
      <c r="AO373" s="1"/>
      <c r="AP373" s="1"/>
      <c r="AQ373" s="1"/>
      <c r="AR373" s="1"/>
      <c r="AS373" s="1"/>
      <c r="AT373" s="1"/>
      <c r="AU373" s="1"/>
      <c r="AV373" s="1"/>
      <c r="AW373" s="1"/>
      <c r="AX373" s="1"/>
      <c r="AY373" s="1"/>
      <c r="AZ373" s="1"/>
      <c r="BA373" s="1"/>
    </row>
    <row r="374" spans="1:53" x14ac:dyDescent="0.3">
      <c r="A374" s="1"/>
      <c r="B374" s="11"/>
      <c r="C374" s="1" t="s">
        <v>752</v>
      </c>
      <c r="D374" s="1"/>
      <c r="E374" s="1"/>
      <c r="F374" s="1"/>
      <c r="G374" s="1"/>
      <c r="H374" s="43"/>
      <c r="I374" s="46"/>
      <c r="J374" s="46"/>
      <c r="K374" s="46"/>
      <c r="L374" s="46"/>
      <c r="M374" s="46"/>
      <c r="N374" s="46"/>
      <c r="O374" s="46"/>
      <c r="P374" s="46"/>
      <c r="Q374" s="46"/>
      <c r="R374" s="46"/>
      <c r="S374" s="46"/>
      <c r="T374" s="46"/>
      <c r="U374" s="46"/>
      <c r="V374" s="46"/>
      <c r="W374" s="62"/>
      <c r="X374" s="67"/>
      <c r="Y374" s="68" t="str" cm="1">
        <f t="array" ref="Y374">CalculerNouvelleDate(I374,X374)</f>
        <v/>
      </c>
      <c r="Z374" s="68" t="str" cm="1">
        <f t="array" ref="Z374">CalculerNouvelleDate(J374,Y374)</f>
        <v/>
      </c>
      <c r="AA374" s="68" t="str" cm="1">
        <f t="array" ref="AA374">CalculerNouvelleDate(K374,Z374)</f>
        <v/>
      </c>
      <c r="AB374" s="68" t="str" cm="1">
        <f t="array" ref="AB374">CalculerNouvelleDate(L374,AA374)</f>
        <v/>
      </c>
      <c r="AC374" s="68" t="str" cm="1">
        <f t="array" ref="AC374">CalculerNouvelleDate(M374,AB374)</f>
        <v/>
      </c>
      <c r="AD374" s="68" t="str" cm="1">
        <f t="array" ref="AD374">CalculerNouvelleDate(N374,AC374)</f>
        <v/>
      </c>
      <c r="AE374" s="68" t="str" cm="1">
        <f t="array" ref="AE374">CalculerNouvelleDate(O374,AD374)</f>
        <v/>
      </c>
      <c r="AF374" s="68" t="str" cm="1">
        <f t="array" ref="AF374">CalculerNouvelleDate(P374,AE374)</f>
        <v/>
      </c>
      <c r="AG374" s="68" t="str" cm="1">
        <f t="array" ref="AG374">CalculerNouvelleDate(Q374,AF374)</f>
        <v/>
      </c>
      <c r="AH374" s="68" t="str" cm="1">
        <f t="array" ref="AH374">CalculerNouvelleDate(R374,AG374)</f>
        <v/>
      </c>
      <c r="AI374" s="68" t="str" cm="1">
        <f t="array" ref="AI374">CalculerNouvelleDate(S374,AH374)</f>
        <v/>
      </c>
      <c r="AJ374" s="68" t="str" cm="1">
        <f t="array" ref="AJ374">CalculerNouvelleDate(T374,AI374)</f>
        <v/>
      </c>
      <c r="AK374" s="68" t="str" cm="1">
        <f t="array" ref="AK374">CalculerNouvelleDate(U374,AJ374)</f>
        <v/>
      </c>
      <c r="AL374" s="68" t="str" cm="1">
        <f t="array" ref="AL374">CalculerNouvelleDate(V374,AK374)</f>
        <v/>
      </c>
      <c r="AM374" s="83" t="str" cm="1">
        <f t="array" ref="AM374">CorrespondanceDAte(X374:AL374,D375)</f>
        <v>0</v>
      </c>
      <c r="AN374" s="1"/>
      <c r="AO374" s="1"/>
      <c r="AP374" s="1"/>
      <c r="AQ374" s="1"/>
      <c r="AR374" s="1"/>
      <c r="AS374" s="1"/>
      <c r="AT374" s="1"/>
      <c r="AU374" s="1"/>
      <c r="AV374" s="1"/>
      <c r="AW374" s="1"/>
      <c r="AX374" s="1"/>
      <c r="AY374" s="1"/>
      <c r="AZ374" s="1"/>
      <c r="BA374" s="1"/>
    </row>
    <row r="375" spans="1:53" x14ac:dyDescent="0.3">
      <c r="A375" s="1"/>
      <c r="B375" s="11">
        <f>B371+1</f>
        <v>17</v>
      </c>
      <c r="C375" s="1" t="s">
        <v>86</v>
      </c>
      <c r="D375" s="1"/>
      <c r="E375" s="1"/>
      <c r="F375" s="1"/>
      <c r="G375" s="1"/>
      <c r="H375" s="43"/>
      <c r="I375" s="1"/>
      <c r="J375" s="1"/>
      <c r="K375" s="1"/>
      <c r="L375" s="1"/>
      <c r="M375" s="1"/>
      <c r="N375" s="1"/>
      <c r="O375" s="1"/>
      <c r="P375" s="1"/>
      <c r="Q375" s="1"/>
      <c r="R375" s="1"/>
      <c r="S375" s="1"/>
      <c r="T375" s="1"/>
      <c r="U375" s="1"/>
      <c r="V375" s="1"/>
      <c r="W375" s="11"/>
      <c r="X375" s="67"/>
      <c r="Y375" s="68" t="str" cm="1">
        <f t="array" ref="Y375">CalculerNouvelleDate(I375,X375)</f>
        <v/>
      </c>
      <c r="Z375" s="68" t="str" cm="1">
        <f t="array" ref="Z375">CalculerNouvelleDate(J375,Y375)</f>
        <v/>
      </c>
      <c r="AA375" s="68" t="str" cm="1">
        <f t="array" ref="AA375">CalculerNouvelleDate(K375,Z375)</f>
        <v/>
      </c>
      <c r="AB375" s="68" t="str" cm="1">
        <f t="array" ref="AB375">CalculerNouvelleDate(L375,AA375)</f>
        <v/>
      </c>
      <c r="AC375" s="68" t="str" cm="1">
        <f t="array" ref="AC375">CalculerNouvelleDate(M375,AB375)</f>
        <v/>
      </c>
      <c r="AD375" s="68" t="str" cm="1">
        <f t="array" ref="AD375">CalculerNouvelleDate(N375,AC375)</f>
        <v/>
      </c>
      <c r="AE375" s="68" t="str" cm="1">
        <f t="array" ref="AE375">CalculerNouvelleDate(O375,AD375)</f>
        <v/>
      </c>
      <c r="AF375" s="68" t="str" cm="1">
        <f t="array" ref="AF375">CalculerNouvelleDate(P375,AE375)</f>
        <v/>
      </c>
      <c r="AG375" s="68" t="str" cm="1">
        <f t="array" ref="AG375">CalculerNouvelleDate(Q375,AF375)</f>
        <v/>
      </c>
      <c r="AH375" s="68" t="str" cm="1">
        <f t="array" ref="AH375">CalculerNouvelleDate(R375,AG375)</f>
        <v/>
      </c>
      <c r="AI375" s="68" t="str" cm="1">
        <f t="array" ref="AI375">CalculerNouvelleDate(S375,AH375)</f>
        <v/>
      </c>
      <c r="AJ375" s="68" t="str" cm="1">
        <f t="array" ref="AJ375">CalculerNouvelleDate(T375,AI375)</f>
        <v/>
      </c>
      <c r="AK375" s="68" t="str" cm="1">
        <f t="array" ref="AK375">CalculerNouvelleDate(U375,AJ375)</f>
        <v/>
      </c>
      <c r="AL375" s="68" t="str" cm="1">
        <f t="array" ref="AL375">CalculerNouvelleDate(V375,AK375)</f>
        <v/>
      </c>
      <c r="AM375" s="83" t="str" cm="1">
        <f t="array" ref="AM375">CorrespondanceDAte(X375:AL375,D376)</f>
        <v>0</v>
      </c>
      <c r="AN375" s="1"/>
      <c r="AO375" s="1"/>
      <c r="AP375" s="1"/>
      <c r="AQ375" s="1"/>
      <c r="AR375" s="1"/>
      <c r="AS375" s="1"/>
      <c r="AT375" s="1"/>
      <c r="AU375" s="1"/>
      <c r="AV375" s="1"/>
      <c r="AW375" s="1"/>
      <c r="AX375" s="1"/>
      <c r="AY375" s="1"/>
      <c r="AZ375" s="1"/>
      <c r="BA375" s="1"/>
    </row>
    <row r="376" spans="1:53" x14ac:dyDescent="0.3">
      <c r="A376" s="1"/>
      <c r="B376" s="11"/>
      <c r="C376" s="1" t="s">
        <v>753</v>
      </c>
      <c r="D376" s="1"/>
      <c r="E376" s="1"/>
      <c r="F376" s="1"/>
      <c r="G376" s="1"/>
      <c r="H376" s="43"/>
      <c r="I376" s="46"/>
      <c r="J376" s="46"/>
      <c r="K376" s="46"/>
      <c r="L376" s="46"/>
      <c r="M376" s="46"/>
      <c r="N376" s="46"/>
      <c r="O376" s="46"/>
      <c r="P376" s="46"/>
      <c r="Q376" s="46"/>
      <c r="R376" s="46"/>
      <c r="S376" s="46"/>
      <c r="T376" s="46"/>
      <c r="U376" s="46"/>
      <c r="V376" s="46"/>
      <c r="W376" s="62"/>
      <c r="X376" s="67"/>
      <c r="Y376" s="68" t="str" cm="1">
        <f t="array" ref="Y376">CalculerNouvelleDate(I376,X376)</f>
        <v/>
      </c>
      <c r="Z376" s="68" t="str" cm="1">
        <f t="array" ref="Z376">CalculerNouvelleDate(J376,Y376)</f>
        <v/>
      </c>
      <c r="AA376" s="68" t="str" cm="1">
        <f t="array" ref="AA376">CalculerNouvelleDate(K376,Z376)</f>
        <v/>
      </c>
      <c r="AB376" s="68" t="str" cm="1">
        <f t="array" ref="AB376">CalculerNouvelleDate(L376,AA376)</f>
        <v/>
      </c>
      <c r="AC376" s="68" t="str" cm="1">
        <f t="array" ref="AC376">CalculerNouvelleDate(M376,AB376)</f>
        <v/>
      </c>
      <c r="AD376" s="68" t="str" cm="1">
        <f t="array" ref="AD376">CalculerNouvelleDate(N376,AC376)</f>
        <v/>
      </c>
      <c r="AE376" s="68" t="str" cm="1">
        <f t="array" ref="AE376">CalculerNouvelleDate(O376,AD376)</f>
        <v/>
      </c>
      <c r="AF376" s="68" t="str" cm="1">
        <f t="array" ref="AF376">CalculerNouvelleDate(P376,AE376)</f>
        <v/>
      </c>
      <c r="AG376" s="68" t="str" cm="1">
        <f t="array" ref="AG376">CalculerNouvelleDate(Q376,AF376)</f>
        <v/>
      </c>
      <c r="AH376" s="68" t="str" cm="1">
        <f t="array" ref="AH376">CalculerNouvelleDate(R376,AG376)</f>
        <v/>
      </c>
      <c r="AI376" s="68" t="str" cm="1">
        <f t="array" ref="AI376">CalculerNouvelleDate(S376,AH376)</f>
        <v/>
      </c>
      <c r="AJ376" s="68" t="str" cm="1">
        <f t="array" ref="AJ376">CalculerNouvelleDate(T376,AI376)</f>
        <v/>
      </c>
      <c r="AK376" s="68" t="str" cm="1">
        <f t="array" ref="AK376">CalculerNouvelleDate(U376,AJ376)</f>
        <v/>
      </c>
      <c r="AL376" s="68" t="str" cm="1">
        <f t="array" ref="AL376">CalculerNouvelleDate(V376,AK376)</f>
        <v/>
      </c>
      <c r="AM376" s="83" t="str" cm="1">
        <f t="array" ref="AM376">CorrespondanceDAte(X376:AL376,D377)</f>
        <v>0</v>
      </c>
      <c r="AN376" s="1"/>
      <c r="AO376" s="1"/>
      <c r="AP376" s="1"/>
      <c r="AQ376" s="1"/>
      <c r="AR376" s="1"/>
      <c r="AS376" s="1"/>
      <c r="AT376" s="1"/>
      <c r="AU376" s="1"/>
      <c r="AV376" s="1"/>
      <c r="AW376" s="1"/>
      <c r="AX376" s="1"/>
      <c r="AY376" s="1"/>
      <c r="AZ376" s="1"/>
      <c r="BA376" s="1"/>
    </row>
    <row r="377" spans="1:53" x14ac:dyDescent="0.3">
      <c r="A377" s="1"/>
      <c r="B377" s="11"/>
      <c r="C377" s="1" t="s">
        <v>754</v>
      </c>
      <c r="D377" s="1"/>
      <c r="E377" s="1"/>
      <c r="F377" s="1"/>
      <c r="G377" s="1"/>
      <c r="H377" s="43"/>
      <c r="I377" s="46"/>
      <c r="J377" s="46"/>
      <c r="K377" s="46"/>
      <c r="L377" s="46"/>
      <c r="M377" s="46"/>
      <c r="N377" s="46"/>
      <c r="O377" s="46"/>
      <c r="P377" s="46"/>
      <c r="Q377" s="46"/>
      <c r="R377" s="46"/>
      <c r="S377" s="46"/>
      <c r="T377" s="46"/>
      <c r="U377" s="46"/>
      <c r="V377" s="46"/>
      <c r="W377" s="62"/>
      <c r="X377" s="67"/>
      <c r="Y377" s="68" t="str" cm="1">
        <f t="array" ref="Y377">CalculerNouvelleDate(I377,X377)</f>
        <v/>
      </c>
      <c r="Z377" s="68" t="str" cm="1">
        <f t="array" ref="Z377">CalculerNouvelleDate(J377,Y377)</f>
        <v/>
      </c>
      <c r="AA377" s="68" t="str" cm="1">
        <f t="array" ref="AA377">CalculerNouvelleDate(K377,Z377)</f>
        <v/>
      </c>
      <c r="AB377" s="68" t="str" cm="1">
        <f t="array" ref="AB377">CalculerNouvelleDate(L377,AA377)</f>
        <v/>
      </c>
      <c r="AC377" s="68" t="str" cm="1">
        <f t="array" ref="AC377">CalculerNouvelleDate(M377,AB377)</f>
        <v/>
      </c>
      <c r="AD377" s="68" t="str" cm="1">
        <f t="array" ref="AD377">CalculerNouvelleDate(N377,AC377)</f>
        <v/>
      </c>
      <c r="AE377" s="68" t="str" cm="1">
        <f t="array" ref="AE377">CalculerNouvelleDate(O377,AD377)</f>
        <v/>
      </c>
      <c r="AF377" s="68" t="str" cm="1">
        <f t="array" ref="AF377">CalculerNouvelleDate(P377,AE377)</f>
        <v/>
      </c>
      <c r="AG377" s="68" t="str" cm="1">
        <f t="array" ref="AG377">CalculerNouvelleDate(Q377,AF377)</f>
        <v/>
      </c>
      <c r="AH377" s="68" t="str" cm="1">
        <f t="array" ref="AH377">CalculerNouvelleDate(R377,AG377)</f>
        <v/>
      </c>
      <c r="AI377" s="68" t="str" cm="1">
        <f t="array" ref="AI377">CalculerNouvelleDate(S377,AH377)</f>
        <v/>
      </c>
      <c r="AJ377" s="68" t="str" cm="1">
        <f t="array" ref="AJ377">CalculerNouvelleDate(T377,AI377)</f>
        <v/>
      </c>
      <c r="AK377" s="68" t="str" cm="1">
        <f t="array" ref="AK377">CalculerNouvelleDate(U377,AJ377)</f>
        <v/>
      </c>
      <c r="AL377" s="68" t="str" cm="1">
        <f t="array" ref="AL377">CalculerNouvelleDate(V377,AK377)</f>
        <v/>
      </c>
      <c r="AM377" s="83" t="str" cm="1">
        <f t="array" ref="AM377">CorrespondanceDAte(X377:AL377,D378)</f>
        <v>0</v>
      </c>
      <c r="AN377" s="1"/>
      <c r="AO377" s="1"/>
      <c r="AP377" s="1"/>
      <c r="AQ377" s="1"/>
      <c r="AR377" s="1"/>
      <c r="AS377" s="1"/>
      <c r="AT377" s="1"/>
      <c r="AU377" s="1"/>
      <c r="AV377" s="1"/>
      <c r="AW377" s="1"/>
      <c r="AX377" s="1"/>
      <c r="AY377" s="1"/>
      <c r="AZ377" s="1"/>
      <c r="BA377" s="1"/>
    </row>
    <row r="378" spans="1:53" x14ac:dyDescent="0.3">
      <c r="A378" s="1"/>
      <c r="B378" s="11">
        <f>B375+1</f>
        <v>18</v>
      </c>
      <c r="C378" s="1" t="s">
        <v>87</v>
      </c>
      <c r="D378" s="1"/>
      <c r="E378" s="1"/>
      <c r="F378" s="1"/>
      <c r="G378" s="1"/>
      <c r="H378" s="43"/>
      <c r="I378" s="1"/>
      <c r="J378" s="1"/>
      <c r="K378" s="1"/>
      <c r="L378" s="1"/>
      <c r="M378" s="1"/>
      <c r="N378" s="1"/>
      <c r="O378" s="1"/>
      <c r="P378" s="1"/>
      <c r="Q378" s="1"/>
      <c r="R378" s="1"/>
      <c r="S378" s="1"/>
      <c r="T378" s="1"/>
      <c r="U378" s="1"/>
      <c r="V378" s="1"/>
      <c r="W378" s="11"/>
      <c r="X378" s="67"/>
      <c r="Y378" s="68" t="str" cm="1">
        <f t="array" ref="Y378">CalculerNouvelleDate(I378,X378)</f>
        <v/>
      </c>
      <c r="Z378" s="68" t="str" cm="1">
        <f t="array" ref="Z378">CalculerNouvelleDate(J378,Y378)</f>
        <v/>
      </c>
      <c r="AA378" s="68" t="str" cm="1">
        <f t="array" ref="AA378">CalculerNouvelleDate(K378,Z378)</f>
        <v/>
      </c>
      <c r="AB378" s="68" t="str" cm="1">
        <f t="array" ref="AB378">CalculerNouvelleDate(L378,AA378)</f>
        <v/>
      </c>
      <c r="AC378" s="68" t="str" cm="1">
        <f t="array" ref="AC378">CalculerNouvelleDate(M378,AB378)</f>
        <v/>
      </c>
      <c r="AD378" s="68" t="str" cm="1">
        <f t="array" ref="AD378">CalculerNouvelleDate(N378,AC378)</f>
        <v/>
      </c>
      <c r="AE378" s="68" t="str" cm="1">
        <f t="array" ref="AE378">CalculerNouvelleDate(O378,AD378)</f>
        <v/>
      </c>
      <c r="AF378" s="68" t="str" cm="1">
        <f t="array" ref="AF378">CalculerNouvelleDate(P378,AE378)</f>
        <v/>
      </c>
      <c r="AG378" s="68" t="str" cm="1">
        <f t="array" ref="AG378">CalculerNouvelleDate(Q378,AF378)</f>
        <v/>
      </c>
      <c r="AH378" s="68" t="str" cm="1">
        <f t="array" ref="AH378">CalculerNouvelleDate(R378,AG378)</f>
        <v/>
      </c>
      <c r="AI378" s="68" t="str" cm="1">
        <f t="array" ref="AI378">CalculerNouvelleDate(S378,AH378)</f>
        <v/>
      </c>
      <c r="AJ378" s="68" t="str" cm="1">
        <f t="array" ref="AJ378">CalculerNouvelleDate(T378,AI378)</f>
        <v/>
      </c>
      <c r="AK378" s="68" t="str" cm="1">
        <f t="array" ref="AK378">CalculerNouvelleDate(U378,AJ378)</f>
        <v/>
      </c>
      <c r="AL378" s="68" t="str" cm="1">
        <f t="array" ref="AL378">CalculerNouvelleDate(V378,AK378)</f>
        <v/>
      </c>
      <c r="AM378" s="83" t="str" cm="1">
        <f t="array" ref="AM378">CorrespondanceDAte(X378:AL378,D379)</f>
        <v>0</v>
      </c>
      <c r="AN378" s="1"/>
      <c r="AO378" s="1"/>
      <c r="AP378" s="1"/>
      <c r="AQ378" s="1"/>
      <c r="AR378" s="1"/>
      <c r="AS378" s="1"/>
      <c r="AT378" s="1"/>
      <c r="AU378" s="1"/>
      <c r="AV378" s="1"/>
      <c r="AW378" s="1"/>
      <c r="AX378" s="1"/>
      <c r="AY378" s="1"/>
      <c r="AZ378" s="1"/>
      <c r="BA378" s="1"/>
    </row>
    <row r="379" spans="1:53" x14ac:dyDescent="0.3">
      <c r="A379" s="1"/>
      <c r="B379" s="11"/>
      <c r="C379" s="1" t="s">
        <v>755</v>
      </c>
      <c r="D379" s="1"/>
      <c r="E379" s="1"/>
      <c r="F379" s="1"/>
      <c r="G379" s="1"/>
      <c r="H379" s="43"/>
      <c r="I379" s="46"/>
      <c r="J379" s="46"/>
      <c r="K379" s="46"/>
      <c r="L379" s="46"/>
      <c r="M379" s="46"/>
      <c r="N379" s="46"/>
      <c r="O379" s="46"/>
      <c r="P379" s="46"/>
      <c r="Q379" s="46"/>
      <c r="R379" s="46"/>
      <c r="S379" s="46"/>
      <c r="T379" s="46"/>
      <c r="U379" s="46"/>
      <c r="V379" s="46"/>
      <c r="W379" s="62"/>
      <c r="X379" s="67"/>
      <c r="Y379" s="68" t="str" cm="1">
        <f t="array" ref="Y379">CalculerNouvelleDate(I379,X379)</f>
        <v/>
      </c>
      <c r="Z379" s="68" t="str" cm="1">
        <f t="array" ref="Z379">CalculerNouvelleDate(J379,Y379)</f>
        <v/>
      </c>
      <c r="AA379" s="68" t="str" cm="1">
        <f t="array" ref="AA379">CalculerNouvelleDate(K379,Z379)</f>
        <v/>
      </c>
      <c r="AB379" s="68" t="str" cm="1">
        <f t="array" ref="AB379">CalculerNouvelleDate(L379,AA379)</f>
        <v/>
      </c>
      <c r="AC379" s="68" t="str" cm="1">
        <f t="array" ref="AC379">CalculerNouvelleDate(M379,AB379)</f>
        <v/>
      </c>
      <c r="AD379" s="68" t="str" cm="1">
        <f t="array" ref="AD379">CalculerNouvelleDate(N379,AC379)</f>
        <v/>
      </c>
      <c r="AE379" s="68" t="str" cm="1">
        <f t="array" ref="AE379">CalculerNouvelleDate(O379,AD379)</f>
        <v/>
      </c>
      <c r="AF379" s="68" t="str" cm="1">
        <f t="array" ref="AF379">CalculerNouvelleDate(P379,AE379)</f>
        <v/>
      </c>
      <c r="AG379" s="68" t="str" cm="1">
        <f t="array" ref="AG379">CalculerNouvelleDate(Q379,AF379)</f>
        <v/>
      </c>
      <c r="AH379" s="68" t="str" cm="1">
        <f t="array" ref="AH379">CalculerNouvelleDate(R379,AG379)</f>
        <v/>
      </c>
      <c r="AI379" s="68" t="str" cm="1">
        <f t="array" ref="AI379">CalculerNouvelleDate(S379,AH379)</f>
        <v/>
      </c>
      <c r="AJ379" s="68" t="str" cm="1">
        <f t="array" ref="AJ379">CalculerNouvelleDate(T379,AI379)</f>
        <v/>
      </c>
      <c r="AK379" s="68" t="str" cm="1">
        <f t="array" ref="AK379">CalculerNouvelleDate(U379,AJ379)</f>
        <v/>
      </c>
      <c r="AL379" s="68" t="str" cm="1">
        <f t="array" ref="AL379">CalculerNouvelleDate(V379,AK379)</f>
        <v/>
      </c>
      <c r="AM379" s="83" t="str" cm="1">
        <f t="array" ref="AM379">CorrespondanceDAte(X379:AL379,D380)</f>
        <v>0</v>
      </c>
      <c r="AN379" s="1"/>
      <c r="AO379" s="1"/>
      <c r="AP379" s="1"/>
      <c r="AQ379" s="1"/>
      <c r="AR379" s="1"/>
      <c r="AS379" s="1"/>
      <c r="AT379" s="1"/>
      <c r="AU379" s="1"/>
      <c r="AV379" s="1"/>
      <c r="AW379" s="1"/>
      <c r="AX379" s="1"/>
      <c r="AY379" s="1"/>
      <c r="AZ379" s="1"/>
      <c r="BA379" s="1"/>
    </row>
    <row r="380" spans="1:53" x14ac:dyDescent="0.3">
      <c r="A380" s="1"/>
      <c r="B380" s="11"/>
      <c r="C380" s="1" t="s">
        <v>756</v>
      </c>
      <c r="D380" s="1"/>
      <c r="E380" s="1"/>
      <c r="F380" s="1"/>
      <c r="G380" s="1"/>
      <c r="H380" s="43"/>
      <c r="I380" s="46"/>
      <c r="J380" s="46"/>
      <c r="K380" s="46"/>
      <c r="L380" s="46"/>
      <c r="M380" s="46"/>
      <c r="N380" s="46"/>
      <c r="O380" s="46"/>
      <c r="P380" s="46"/>
      <c r="Q380" s="46"/>
      <c r="R380" s="46"/>
      <c r="S380" s="46"/>
      <c r="T380" s="46"/>
      <c r="U380" s="46"/>
      <c r="V380" s="46"/>
      <c r="W380" s="62"/>
      <c r="X380" s="67"/>
      <c r="Y380" s="68" t="str" cm="1">
        <f t="array" ref="Y380">CalculerNouvelleDate(I380,X380)</f>
        <v/>
      </c>
      <c r="Z380" s="68" t="str" cm="1">
        <f t="array" ref="Z380">CalculerNouvelleDate(J380,Y380)</f>
        <v/>
      </c>
      <c r="AA380" s="68" t="str" cm="1">
        <f t="array" ref="AA380">CalculerNouvelleDate(K380,Z380)</f>
        <v/>
      </c>
      <c r="AB380" s="68" t="str" cm="1">
        <f t="array" ref="AB380">CalculerNouvelleDate(L380,AA380)</f>
        <v/>
      </c>
      <c r="AC380" s="68" t="str" cm="1">
        <f t="array" ref="AC380">CalculerNouvelleDate(M380,AB380)</f>
        <v/>
      </c>
      <c r="AD380" s="68" t="str" cm="1">
        <f t="array" ref="AD380">CalculerNouvelleDate(N380,AC380)</f>
        <v/>
      </c>
      <c r="AE380" s="68" t="str" cm="1">
        <f t="array" ref="AE380">CalculerNouvelleDate(O380,AD380)</f>
        <v/>
      </c>
      <c r="AF380" s="68" t="str" cm="1">
        <f t="array" ref="AF380">CalculerNouvelleDate(P380,AE380)</f>
        <v/>
      </c>
      <c r="AG380" s="68" t="str" cm="1">
        <f t="array" ref="AG380">CalculerNouvelleDate(Q380,AF380)</f>
        <v/>
      </c>
      <c r="AH380" s="68" t="str" cm="1">
        <f t="array" ref="AH380">CalculerNouvelleDate(R380,AG380)</f>
        <v/>
      </c>
      <c r="AI380" s="68" t="str" cm="1">
        <f t="array" ref="AI380">CalculerNouvelleDate(S380,AH380)</f>
        <v/>
      </c>
      <c r="AJ380" s="68" t="str" cm="1">
        <f t="array" ref="AJ380">CalculerNouvelleDate(T380,AI380)</f>
        <v/>
      </c>
      <c r="AK380" s="68" t="str" cm="1">
        <f t="array" ref="AK380">CalculerNouvelleDate(U380,AJ380)</f>
        <v/>
      </c>
      <c r="AL380" s="68" t="str" cm="1">
        <f t="array" ref="AL380">CalculerNouvelleDate(V380,AK380)</f>
        <v/>
      </c>
      <c r="AM380" s="83" t="str" cm="1">
        <f t="array" ref="AM380">CorrespondanceDAte(X380:AL380,D381)</f>
        <v>0</v>
      </c>
      <c r="AN380" s="1"/>
      <c r="AO380" s="1"/>
      <c r="AP380" s="1"/>
      <c r="AQ380" s="1"/>
      <c r="AR380" s="1"/>
      <c r="AS380" s="1"/>
      <c r="AT380" s="1"/>
      <c r="AU380" s="1"/>
      <c r="AV380" s="1"/>
      <c r="AW380" s="1"/>
      <c r="AX380" s="1"/>
      <c r="AY380" s="1"/>
      <c r="AZ380" s="1"/>
      <c r="BA380" s="1"/>
    </row>
    <row r="381" spans="1:53" x14ac:dyDescent="0.3">
      <c r="A381" s="1"/>
      <c r="B381" s="11"/>
      <c r="C381" s="1" t="s">
        <v>758</v>
      </c>
      <c r="D381" s="1"/>
      <c r="E381" s="1"/>
      <c r="F381" s="1"/>
      <c r="G381" s="1"/>
      <c r="H381" s="43"/>
      <c r="I381" s="46"/>
      <c r="J381" s="46"/>
      <c r="K381" s="46"/>
      <c r="L381" s="46"/>
      <c r="M381" s="46"/>
      <c r="N381" s="46"/>
      <c r="O381" s="46"/>
      <c r="P381" s="46"/>
      <c r="Q381" s="46"/>
      <c r="R381" s="46"/>
      <c r="S381" s="46"/>
      <c r="T381" s="46"/>
      <c r="U381" s="46"/>
      <c r="V381" s="46"/>
      <c r="W381" s="62"/>
      <c r="X381" s="67"/>
      <c r="Y381" s="68" t="str" cm="1">
        <f t="array" ref="Y381">CalculerNouvelleDate(I381,X381)</f>
        <v/>
      </c>
      <c r="Z381" s="68" t="str" cm="1">
        <f t="array" ref="Z381">CalculerNouvelleDate(J381,Y381)</f>
        <v/>
      </c>
      <c r="AA381" s="68" t="str" cm="1">
        <f t="array" ref="AA381">CalculerNouvelleDate(K381,Z381)</f>
        <v/>
      </c>
      <c r="AB381" s="68" t="str" cm="1">
        <f t="array" ref="AB381">CalculerNouvelleDate(L381,AA381)</f>
        <v/>
      </c>
      <c r="AC381" s="68" t="str" cm="1">
        <f t="array" ref="AC381">CalculerNouvelleDate(M381,AB381)</f>
        <v/>
      </c>
      <c r="AD381" s="68" t="str" cm="1">
        <f t="array" ref="AD381">CalculerNouvelleDate(N381,AC381)</f>
        <v/>
      </c>
      <c r="AE381" s="68" t="str" cm="1">
        <f t="array" ref="AE381">CalculerNouvelleDate(O381,AD381)</f>
        <v/>
      </c>
      <c r="AF381" s="68" t="str" cm="1">
        <f t="array" ref="AF381">CalculerNouvelleDate(P381,AE381)</f>
        <v/>
      </c>
      <c r="AG381" s="68" t="str" cm="1">
        <f t="array" ref="AG381">CalculerNouvelleDate(Q381,AF381)</f>
        <v/>
      </c>
      <c r="AH381" s="68" t="str" cm="1">
        <f t="array" ref="AH381">CalculerNouvelleDate(R381,AG381)</f>
        <v/>
      </c>
      <c r="AI381" s="68" t="str" cm="1">
        <f t="array" ref="AI381">CalculerNouvelleDate(S381,AH381)</f>
        <v/>
      </c>
      <c r="AJ381" s="68" t="str" cm="1">
        <f t="array" ref="AJ381">CalculerNouvelleDate(T381,AI381)</f>
        <v/>
      </c>
      <c r="AK381" s="68" t="str" cm="1">
        <f t="array" ref="AK381">CalculerNouvelleDate(U381,AJ381)</f>
        <v/>
      </c>
      <c r="AL381" s="68" t="str" cm="1">
        <f t="array" ref="AL381">CalculerNouvelleDate(V381,AK381)</f>
        <v/>
      </c>
      <c r="AM381" s="83" t="str" cm="1">
        <f t="array" ref="AM381">CorrespondanceDAte(X381:AL381,D382)</f>
        <v>0</v>
      </c>
      <c r="AN381" s="1"/>
      <c r="AO381" s="1"/>
      <c r="AP381" s="1"/>
      <c r="AQ381" s="1"/>
      <c r="AR381" s="1"/>
      <c r="AS381" s="1"/>
      <c r="AT381" s="1"/>
      <c r="AU381" s="1"/>
      <c r="AV381" s="1"/>
      <c r="AW381" s="1"/>
      <c r="AX381" s="1"/>
      <c r="AY381" s="1"/>
      <c r="AZ381" s="1"/>
      <c r="BA381" s="1"/>
    </row>
    <row r="382" spans="1:53" x14ac:dyDescent="0.3">
      <c r="A382" s="1"/>
      <c r="B382" s="11"/>
      <c r="C382" s="1" t="s">
        <v>759</v>
      </c>
      <c r="D382" s="1"/>
      <c r="E382" s="1"/>
      <c r="F382" s="1"/>
      <c r="G382" s="1"/>
      <c r="H382" s="43"/>
      <c r="I382" s="46"/>
      <c r="J382" s="46"/>
      <c r="K382" s="46"/>
      <c r="L382" s="46"/>
      <c r="M382" s="46"/>
      <c r="N382" s="46"/>
      <c r="O382" s="46"/>
      <c r="P382" s="46"/>
      <c r="Q382" s="46"/>
      <c r="R382" s="46"/>
      <c r="S382" s="46"/>
      <c r="T382" s="46"/>
      <c r="U382" s="46"/>
      <c r="V382" s="46"/>
      <c r="W382" s="62"/>
      <c r="X382" s="67"/>
      <c r="Y382" s="68" t="str" cm="1">
        <f t="array" ref="Y382">CalculerNouvelleDate(I382,X382)</f>
        <v/>
      </c>
      <c r="Z382" s="68" t="str" cm="1">
        <f t="array" ref="Z382">CalculerNouvelleDate(J382,Y382)</f>
        <v/>
      </c>
      <c r="AA382" s="68" t="str" cm="1">
        <f t="array" ref="AA382">CalculerNouvelleDate(K382,Z382)</f>
        <v/>
      </c>
      <c r="AB382" s="68" t="str" cm="1">
        <f t="array" ref="AB382">CalculerNouvelleDate(L382,AA382)</f>
        <v/>
      </c>
      <c r="AC382" s="68" t="str" cm="1">
        <f t="array" ref="AC382">CalculerNouvelleDate(M382,AB382)</f>
        <v/>
      </c>
      <c r="AD382" s="68" t="str" cm="1">
        <f t="array" ref="AD382">CalculerNouvelleDate(N382,AC382)</f>
        <v/>
      </c>
      <c r="AE382" s="68" t="str" cm="1">
        <f t="array" ref="AE382">CalculerNouvelleDate(O382,AD382)</f>
        <v/>
      </c>
      <c r="AF382" s="68" t="str" cm="1">
        <f t="array" ref="AF382">CalculerNouvelleDate(P382,AE382)</f>
        <v/>
      </c>
      <c r="AG382" s="68" t="str" cm="1">
        <f t="array" ref="AG382">CalculerNouvelleDate(Q382,AF382)</f>
        <v/>
      </c>
      <c r="AH382" s="68" t="str" cm="1">
        <f t="array" ref="AH382">CalculerNouvelleDate(R382,AG382)</f>
        <v/>
      </c>
      <c r="AI382" s="68" t="str" cm="1">
        <f t="array" ref="AI382">CalculerNouvelleDate(S382,AH382)</f>
        <v/>
      </c>
      <c r="AJ382" s="68" t="str" cm="1">
        <f t="array" ref="AJ382">CalculerNouvelleDate(T382,AI382)</f>
        <v/>
      </c>
      <c r="AK382" s="68" t="str" cm="1">
        <f t="array" ref="AK382">CalculerNouvelleDate(U382,AJ382)</f>
        <v/>
      </c>
      <c r="AL382" s="68" t="str" cm="1">
        <f t="array" ref="AL382">CalculerNouvelleDate(V382,AK382)</f>
        <v/>
      </c>
      <c r="AM382" s="83" t="str" cm="1">
        <f t="array" ref="AM382">CorrespondanceDAte(X382:AL382,D383)</f>
        <v>0</v>
      </c>
      <c r="AN382" s="1"/>
      <c r="AO382" s="1"/>
      <c r="AP382" s="1"/>
      <c r="AQ382" s="1"/>
      <c r="AR382" s="1"/>
      <c r="AS382" s="1"/>
      <c r="AT382" s="1"/>
      <c r="AU382" s="1"/>
      <c r="AV382" s="1"/>
      <c r="AW382" s="1"/>
      <c r="AX382" s="1"/>
      <c r="AY382" s="1"/>
      <c r="AZ382" s="1"/>
      <c r="BA382" s="1"/>
    </row>
    <row r="383" spans="1:53" x14ac:dyDescent="0.3">
      <c r="A383" s="1"/>
      <c r="B383" s="11">
        <f t="shared" ref="B383" si="5">B378+1</f>
        <v>19</v>
      </c>
      <c r="C383" s="1" t="s">
        <v>69</v>
      </c>
      <c r="D383" s="1"/>
      <c r="E383" s="1"/>
      <c r="F383" s="1"/>
      <c r="G383" s="1"/>
      <c r="H383" s="43"/>
      <c r="I383" s="1"/>
      <c r="J383" s="1"/>
      <c r="K383" s="1"/>
      <c r="L383" s="1"/>
      <c r="M383" s="1"/>
      <c r="N383" s="1"/>
      <c r="O383" s="1"/>
      <c r="P383" s="1"/>
      <c r="Q383" s="1"/>
      <c r="R383" s="1"/>
      <c r="S383" s="1"/>
      <c r="T383" s="1"/>
      <c r="U383" s="1"/>
      <c r="V383" s="1"/>
      <c r="W383" s="11"/>
      <c r="X383" s="67"/>
      <c r="Y383" s="68" t="str" cm="1">
        <f t="array" ref="Y383">CalculerNouvelleDate(I383,X383)</f>
        <v/>
      </c>
      <c r="Z383" s="68" t="str" cm="1">
        <f t="array" ref="Z383">CalculerNouvelleDate(J383,Y383)</f>
        <v/>
      </c>
      <c r="AA383" s="68" t="str" cm="1">
        <f t="array" ref="AA383">CalculerNouvelleDate(K383,Z383)</f>
        <v/>
      </c>
      <c r="AB383" s="68" t="str" cm="1">
        <f t="array" ref="AB383">CalculerNouvelleDate(L383,AA383)</f>
        <v/>
      </c>
      <c r="AC383" s="68" t="str" cm="1">
        <f t="array" ref="AC383">CalculerNouvelleDate(M383,AB383)</f>
        <v/>
      </c>
      <c r="AD383" s="68" t="str" cm="1">
        <f t="array" ref="AD383">CalculerNouvelleDate(N383,AC383)</f>
        <v/>
      </c>
      <c r="AE383" s="68" t="str" cm="1">
        <f t="array" ref="AE383">CalculerNouvelleDate(O383,AD383)</f>
        <v/>
      </c>
      <c r="AF383" s="68" t="str" cm="1">
        <f t="array" ref="AF383">CalculerNouvelleDate(P383,AE383)</f>
        <v/>
      </c>
      <c r="AG383" s="68" t="str" cm="1">
        <f t="array" ref="AG383">CalculerNouvelleDate(Q383,AF383)</f>
        <v/>
      </c>
      <c r="AH383" s="68" t="str" cm="1">
        <f t="array" ref="AH383">CalculerNouvelleDate(R383,AG383)</f>
        <v/>
      </c>
      <c r="AI383" s="68" t="str" cm="1">
        <f t="array" ref="AI383">CalculerNouvelleDate(S383,AH383)</f>
        <v/>
      </c>
      <c r="AJ383" s="68" t="str" cm="1">
        <f t="array" ref="AJ383">CalculerNouvelleDate(T383,AI383)</f>
        <v/>
      </c>
      <c r="AK383" s="68" t="str" cm="1">
        <f t="array" ref="AK383">CalculerNouvelleDate(U383,AJ383)</f>
        <v/>
      </c>
      <c r="AL383" s="68" t="str" cm="1">
        <f t="array" ref="AL383">CalculerNouvelleDate(V383,AK383)</f>
        <v/>
      </c>
      <c r="AM383" s="83" t="str" cm="1">
        <f t="array" ref="AM383">CorrespondanceDAte(X383:AL383,D384)</f>
        <v>0</v>
      </c>
      <c r="AN383" s="1"/>
      <c r="AO383" s="1"/>
      <c r="AP383" s="1"/>
      <c r="AQ383" s="1"/>
      <c r="AR383" s="1"/>
      <c r="AS383" s="1"/>
      <c r="AT383" s="1"/>
      <c r="AU383" s="1"/>
      <c r="AV383" s="1"/>
      <c r="AW383" s="1"/>
      <c r="AX383" s="1"/>
      <c r="AY383" s="1"/>
      <c r="AZ383" s="1"/>
      <c r="BA383" s="1"/>
    </row>
    <row r="384" spans="1:53" x14ac:dyDescent="0.3">
      <c r="A384" s="1"/>
      <c r="B384" s="11"/>
      <c r="C384" s="1" t="s">
        <v>757</v>
      </c>
      <c r="D384" s="1"/>
      <c r="E384" s="1"/>
      <c r="F384" s="1"/>
      <c r="G384" s="1"/>
      <c r="H384" s="43"/>
      <c r="I384" s="46"/>
      <c r="J384" s="46"/>
      <c r="K384" s="46"/>
      <c r="L384" s="46"/>
      <c r="M384" s="46"/>
      <c r="N384" s="46"/>
      <c r="O384" s="46"/>
      <c r="P384" s="46"/>
      <c r="Q384" s="46"/>
      <c r="R384" s="46"/>
      <c r="S384" s="46"/>
      <c r="T384" s="46"/>
      <c r="U384" s="46"/>
      <c r="V384" s="46"/>
      <c r="W384" s="62"/>
      <c r="X384" s="67"/>
      <c r="Y384" s="68" t="str" cm="1">
        <f t="array" ref="Y384">CalculerNouvelleDate(I384,X384)</f>
        <v/>
      </c>
      <c r="Z384" s="68" t="str" cm="1">
        <f t="array" ref="Z384">CalculerNouvelleDate(J384,Y384)</f>
        <v/>
      </c>
      <c r="AA384" s="68" t="str" cm="1">
        <f t="array" ref="AA384">CalculerNouvelleDate(K384,Z384)</f>
        <v/>
      </c>
      <c r="AB384" s="68" t="str" cm="1">
        <f t="array" ref="AB384">CalculerNouvelleDate(L384,AA384)</f>
        <v/>
      </c>
      <c r="AC384" s="68" t="str" cm="1">
        <f t="array" ref="AC384">CalculerNouvelleDate(M384,AB384)</f>
        <v/>
      </c>
      <c r="AD384" s="68" t="str" cm="1">
        <f t="array" ref="AD384">CalculerNouvelleDate(N384,AC384)</f>
        <v/>
      </c>
      <c r="AE384" s="68" t="str" cm="1">
        <f t="array" ref="AE384">CalculerNouvelleDate(O384,AD384)</f>
        <v/>
      </c>
      <c r="AF384" s="68" t="str" cm="1">
        <f t="array" ref="AF384">CalculerNouvelleDate(P384,AE384)</f>
        <v/>
      </c>
      <c r="AG384" s="68" t="str" cm="1">
        <f t="array" ref="AG384">CalculerNouvelleDate(Q384,AF384)</f>
        <v/>
      </c>
      <c r="AH384" s="68" t="str" cm="1">
        <f t="array" ref="AH384">CalculerNouvelleDate(R384,AG384)</f>
        <v/>
      </c>
      <c r="AI384" s="68" t="str" cm="1">
        <f t="array" ref="AI384">CalculerNouvelleDate(S384,AH384)</f>
        <v/>
      </c>
      <c r="AJ384" s="68" t="str" cm="1">
        <f t="array" ref="AJ384">CalculerNouvelleDate(T384,AI384)</f>
        <v/>
      </c>
      <c r="AK384" s="68" t="str" cm="1">
        <f t="array" ref="AK384">CalculerNouvelleDate(U384,AJ384)</f>
        <v/>
      </c>
      <c r="AL384" s="68" t="str" cm="1">
        <f t="array" ref="AL384">CalculerNouvelleDate(V384,AK384)</f>
        <v/>
      </c>
      <c r="AM384" s="83" t="str" cm="1">
        <f t="array" ref="AM384">CorrespondanceDAte(X384:AL384,D385)</f>
        <v>0</v>
      </c>
      <c r="AN384" s="1"/>
      <c r="AO384" s="1"/>
      <c r="AP384" s="1"/>
      <c r="AQ384" s="1"/>
      <c r="AR384" s="1"/>
      <c r="AS384" s="1"/>
      <c r="AT384" s="1"/>
      <c r="AU384" s="1"/>
      <c r="AV384" s="1"/>
      <c r="AW384" s="1"/>
      <c r="AX384" s="1"/>
      <c r="AY384" s="1"/>
      <c r="AZ384" s="1"/>
      <c r="BA384" s="1"/>
    </row>
    <row r="385" spans="1:53" x14ac:dyDescent="0.3">
      <c r="A385" s="1"/>
      <c r="B385" s="11"/>
      <c r="C385" s="1" t="s">
        <v>760</v>
      </c>
      <c r="D385" s="1"/>
      <c r="E385" s="1"/>
      <c r="F385" s="1"/>
      <c r="G385" s="1"/>
      <c r="H385" s="43"/>
      <c r="I385" s="46"/>
      <c r="J385" s="46"/>
      <c r="K385" s="46"/>
      <c r="L385" s="46"/>
      <c r="M385" s="46"/>
      <c r="N385" s="46"/>
      <c r="O385" s="46"/>
      <c r="P385" s="46"/>
      <c r="Q385" s="46"/>
      <c r="R385" s="46"/>
      <c r="S385" s="46"/>
      <c r="T385" s="46"/>
      <c r="U385" s="46"/>
      <c r="V385" s="46"/>
      <c r="W385" s="62"/>
      <c r="X385" s="67"/>
      <c r="Y385" s="68" t="str" cm="1">
        <f t="array" ref="Y385">CalculerNouvelleDate(I385,X385)</f>
        <v/>
      </c>
      <c r="Z385" s="68" t="str" cm="1">
        <f t="array" ref="Z385">CalculerNouvelleDate(J385,Y385)</f>
        <v/>
      </c>
      <c r="AA385" s="68" t="str" cm="1">
        <f t="array" ref="AA385">CalculerNouvelleDate(K385,Z385)</f>
        <v/>
      </c>
      <c r="AB385" s="68" t="str" cm="1">
        <f t="array" ref="AB385">CalculerNouvelleDate(L385,AA385)</f>
        <v/>
      </c>
      <c r="AC385" s="68" t="str" cm="1">
        <f t="array" ref="AC385">CalculerNouvelleDate(M385,AB385)</f>
        <v/>
      </c>
      <c r="AD385" s="68" t="str" cm="1">
        <f t="array" ref="AD385">CalculerNouvelleDate(N385,AC385)</f>
        <v/>
      </c>
      <c r="AE385" s="68" t="str" cm="1">
        <f t="array" ref="AE385">CalculerNouvelleDate(O385,AD385)</f>
        <v/>
      </c>
      <c r="AF385" s="68" t="str" cm="1">
        <f t="array" ref="AF385">CalculerNouvelleDate(P385,AE385)</f>
        <v/>
      </c>
      <c r="AG385" s="68" t="str" cm="1">
        <f t="array" ref="AG385">CalculerNouvelleDate(Q385,AF385)</f>
        <v/>
      </c>
      <c r="AH385" s="68" t="str" cm="1">
        <f t="array" ref="AH385">CalculerNouvelleDate(R385,AG385)</f>
        <v/>
      </c>
      <c r="AI385" s="68" t="str" cm="1">
        <f t="array" ref="AI385">CalculerNouvelleDate(S385,AH385)</f>
        <v/>
      </c>
      <c r="AJ385" s="68" t="str" cm="1">
        <f t="array" ref="AJ385">CalculerNouvelleDate(T385,AI385)</f>
        <v/>
      </c>
      <c r="AK385" s="68" t="str" cm="1">
        <f t="array" ref="AK385">CalculerNouvelleDate(U385,AJ385)</f>
        <v/>
      </c>
      <c r="AL385" s="68" t="str" cm="1">
        <f t="array" ref="AL385">CalculerNouvelleDate(V385,AK385)</f>
        <v/>
      </c>
      <c r="AM385" s="83" t="str" cm="1">
        <f t="array" ref="AM385">CorrespondanceDAte(X385:AL385,D386)</f>
        <v>0</v>
      </c>
      <c r="AN385" s="1"/>
      <c r="AO385" s="1"/>
      <c r="AP385" s="1"/>
      <c r="AQ385" s="1"/>
      <c r="AR385" s="1"/>
      <c r="AS385" s="1"/>
      <c r="AT385" s="1"/>
      <c r="AU385" s="1"/>
      <c r="AV385" s="1"/>
      <c r="AW385" s="1"/>
      <c r="AX385" s="1"/>
      <c r="AY385" s="1"/>
      <c r="AZ385" s="1"/>
      <c r="BA385" s="1"/>
    </row>
    <row r="386" spans="1:53" x14ac:dyDescent="0.3">
      <c r="A386" s="1"/>
      <c r="B386" s="11"/>
      <c r="C386" s="1" t="s">
        <v>761</v>
      </c>
      <c r="D386" s="1"/>
      <c r="E386" s="1"/>
      <c r="F386" s="1"/>
      <c r="G386" s="1"/>
      <c r="H386" s="43"/>
      <c r="I386" s="46"/>
      <c r="J386" s="46"/>
      <c r="K386" s="46"/>
      <c r="L386" s="46"/>
      <c r="M386" s="46"/>
      <c r="N386" s="46"/>
      <c r="O386" s="46"/>
      <c r="P386" s="46"/>
      <c r="Q386" s="46"/>
      <c r="R386" s="46"/>
      <c r="S386" s="46"/>
      <c r="T386" s="46"/>
      <c r="U386" s="46"/>
      <c r="V386" s="46"/>
      <c r="W386" s="62"/>
      <c r="X386" s="67"/>
      <c r="Y386" s="68" t="str" cm="1">
        <f t="array" ref="Y386">CalculerNouvelleDate(I386,X386)</f>
        <v/>
      </c>
      <c r="Z386" s="68" t="str" cm="1">
        <f t="array" ref="Z386">CalculerNouvelleDate(J386,Y386)</f>
        <v/>
      </c>
      <c r="AA386" s="68" t="str" cm="1">
        <f t="array" ref="AA386">CalculerNouvelleDate(K386,Z386)</f>
        <v/>
      </c>
      <c r="AB386" s="68" t="str" cm="1">
        <f t="array" ref="AB386">CalculerNouvelleDate(L386,AA386)</f>
        <v/>
      </c>
      <c r="AC386" s="68" t="str" cm="1">
        <f t="array" ref="AC386">CalculerNouvelleDate(M386,AB386)</f>
        <v/>
      </c>
      <c r="AD386" s="68" t="str" cm="1">
        <f t="array" ref="AD386">CalculerNouvelleDate(N386,AC386)</f>
        <v/>
      </c>
      <c r="AE386" s="68" t="str" cm="1">
        <f t="array" ref="AE386">CalculerNouvelleDate(O386,AD386)</f>
        <v/>
      </c>
      <c r="AF386" s="68" t="str" cm="1">
        <f t="array" ref="AF386">CalculerNouvelleDate(P386,AE386)</f>
        <v/>
      </c>
      <c r="AG386" s="68" t="str" cm="1">
        <f t="array" ref="AG386">CalculerNouvelleDate(Q386,AF386)</f>
        <v/>
      </c>
      <c r="AH386" s="68" t="str" cm="1">
        <f t="array" ref="AH386">CalculerNouvelleDate(R386,AG386)</f>
        <v/>
      </c>
      <c r="AI386" s="68" t="str" cm="1">
        <f t="array" ref="AI386">CalculerNouvelleDate(S386,AH386)</f>
        <v/>
      </c>
      <c r="AJ386" s="68" t="str" cm="1">
        <f t="array" ref="AJ386">CalculerNouvelleDate(T386,AI386)</f>
        <v/>
      </c>
      <c r="AK386" s="68" t="str" cm="1">
        <f t="array" ref="AK386">CalculerNouvelleDate(U386,AJ386)</f>
        <v/>
      </c>
      <c r="AL386" s="68" t="str" cm="1">
        <f t="array" ref="AL386">CalculerNouvelleDate(V386,AK386)</f>
        <v/>
      </c>
      <c r="AM386" s="83" t="str" cm="1">
        <f t="array" ref="AM386">CorrespondanceDAte(X386:AL386,D387)</f>
        <v>0</v>
      </c>
      <c r="AN386" s="1"/>
      <c r="AO386" s="1"/>
      <c r="AP386" s="1"/>
      <c r="AQ386" s="1"/>
      <c r="AR386" s="1"/>
      <c r="AS386" s="1"/>
      <c r="AT386" s="1"/>
      <c r="AU386" s="1"/>
      <c r="AV386" s="1"/>
      <c r="AW386" s="1"/>
      <c r="AX386" s="1"/>
      <c r="AY386" s="1"/>
      <c r="AZ386" s="1"/>
      <c r="BA386" s="1"/>
    </row>
    <row r="387" spans="1:53" x14ac:dyDescent="0.3">
      <c r="A387" s="1"/>
      <c r="B387" s="11"/>
      <c r="C387" s="1" t="s">
        <v>762</v>
      </c>
      <c r="D387" s="1"/>
      <c r="E387" s="1"/>
      <c r="F387" s="1"/>
      <c r="G387" s="1"/>
      <c r="H387" s="43"/>
      <c r="I387" s="46"/>
      <c r="J387" s="46"/>
      <c r="K387" s="46"/>
      <c r="L387" s="46"/>
      <c r="M387" s="46"/>
      <c r="N387" s="46"/>
      <c r="O387" s="46"/>
      <c r="P387" s="46"/>
      <c r="Q387" s="46"/>
      <c r="R387" s="46"/>
      <c r="S387" s="46"/>
      <c r="T387" s="46"/>
      <c r="U387" s="46"/>
      <c r="V387" s="46"/>
      <c r="W387" s="62"/>
      <c r="X387" s="67"/>
      <c r="Y387" s="68" t="str" cm="1">
        <f t="array" ref="Y387">CalculerNouvelleDate(I387,X387)</f>
        <v/>
      </c>
      <c r="Z387" s="68" t="str" cm="1">
        <f t="array" ref="Z387">CalculerNouvelleDate(J387,Y387)</f>
        <v/>
      </c>
      <c r="AA387" s="68" t="str" cm="1">
        <f t="array" ref="AA387">CalculerNouvelleDate(K387,Z387)</f>
        <v/>
      </c>
      <c r="AB387" s="68" t="str" cm="1">
        <f t="array" ref="AB387">CalculerNouvelleDate(L387,AA387)</f>
        <v/>
      </c>
      <c r="AC387" s="68" t="str" cm="1">
        <f t="array" ref="AC387">CalculerNouvelleDate(M387,AB387)</f>
        <v/>
      </c>
      <c r="AD387" s="68" t="str" cm="1">
        <f t="array" ref="AD387">CalculerNouvelleDate(N387,AC387)</f>
        <v/>
      </c>
      <c r="AE387" s="68" t="str" cm="1">
        <f t="array" ref="AE387">CalculerNouvelleDate(O387,AD387)</f>
        <v/>
      </c>
      <c r="AF387" s="68" t="str" cm="1">
        <f t="array" ref="AF387">CalculerNouvelleDate(P387,AE387)</f>
        <v/>
      </c>
      <c r="AG387" s="68" t="str" cm="1">
        <f t="array" ref="AG387">CalculerNouvelleDate(Q387,AF387)</f>
        <v/>
      </c>
      <c r="AH387" s="68" t="str" cm="1">
        <f t="array" ref="AH387">CalculerNouvelleDate(R387,AG387)</f>
        <v/>
      </c>
      <c r="AI387" s="68" t="str" cm="1">
        <f t="array" ref="AI387">CalculerNouvelleDate(S387,AH387)</f>
        <v/>
      </c>
      <c r="AJ387" s="68" t="str" cm="1">
        <f t="array" ref="AJ387">CalculerNouvelleDate(T387,AI387)</f>
        <v/>
      </c>
      <c r="AK387" s="68" t="str" cm="1">
        <f t="array" ref="AK387">CalculerNouvelleDate(U387,AJ387)</f>
        <v/>
      </c>
      <c r="AL387" s="68" t="str" cm="1">
        <f t="array" ref="AL387">CalculerNouvelleDate(V387,AK387)</f>
        <v/>
      </c>
      <c r="AM387" s="83" t="str" cm="1">
        <f t="array" ref="AM387">CorrespondanceDAte(X387:AL387,D388)</f>
        <v>0</v>
      </c>
      <c r="AN387" s="1"/>
      <c r="AO387" s="1"/>
      <c r="AP387" s="1"/>
      <c r="AQ387" s="1"/>
      <c r="AR387" s="1"/>
      <c r="AS387" s="1"/>
      <c r="AT387" s="1"/>
      <c r="AU387" s="1"/>
      <c r="AV387" s="1"/>
      <c r="AW387" s="1"/>
      <c r="AX387" s="1"/>
      <c r="AY387" s="1"/>
      <c r="AZ387" s="1"/>
      <c r="BA387" s="1"/>
    </row>
    <row r="388" spans="1:53" x14ac:dyDescent="0.3">
      <c r="A388" s="1"/>
      <c r="B388" s="11"/>
      <c r="C388" s="1"/>
      <c r="D388" s="1"/>
      <c r="E388" s="1"/>
      <c r="F388" s="1"/>
      <c r="G388" s="1"/>
      <c r="H388" s="43"/>
      <c r="I388" s="46"/>
      <c r="J388" s="46"/>
      <c r="K388" s="46"/>
      <c r="L388" s="46"/>
      <c r="M388" s="46"/>
      <c r="N388" s="46"/>
      <c r="O388" s="46"/>
      <c r="P388" s="46"/>
      <c r="Q388" s="46"/>
      <c r="R388" s="46"/>
      <c r="S388" s="46"/>
      <c r="T388" s="46"/>
      <c r="U388" s="46"/>
      <c r="V388" s="46"/>
      <c r="W388" s="62"/>
      <c r="X388" s="67"/>
      <c r="Y388" s="68" t="str" cm="1">
        <f t="array" ref="Y388">CalculerNouvelleDate(I388,X388)</f>
        <v/>
      </c>
      <c r="Z388" s="68" t="str" cm="1">
        <f t="array" ref="Z388">CalculerNouvelleDate(J388,Y388)</f>
        <v/>
      </c>
      <c r="AA388" s="68" t="str" cm="1">
        <f t="array" ref="AA388">CalculerNouvelleDate(K388,Z388)</f>
        <v/>
      </c>
      <c r="AB388" s="68" t="str" cm="1">
        <f t="array" ref="AB388">CalculerNouvelleDate(L388,AA388)</f>
        <v/>
      </c>
      <c r="AC388" s="68" t="str" cm="1">
        <f t="array" ref="AC388">CalculerNouvelleDate(M388,AB388)</f>
        <v/>
      </c>
      <c r="AD388" s="68" t="str" cm="1">
        <f t="array" ref="AD388">CalculerNouvelleDate(N388,AC388)</f>
        <v/>
      </c>
      <c r="AE388" s="68" t="str" cm="1">
        <f t="array" ref="AE388">CalculerNouvelleDate(O388,AD388)</f>
        <v/>
      </c>
      <c r="AF388" s="68" t="str" cm="1">
        <f t="array" ref="AF388">CalculerNouvelleDate(P388,AE388)</f>
        <v/>
      </c>
      <c r="AG388" s="68" t="str" cm="1">
        <f t="array" ref="AG388">CalculerNouvelleDate(Q388,AF388)</f>
        <v/>
      </c>
      <c r="AH388" s="68" t="str" cm="1">
        <f t="array" ref="AH388">CalculerNouvelleDate(R388,AG388)</f>
        <v/>
      </c>
      <c r="AI388" s="68" t="str" cm="1">
        <f t="array" ref="AI388">CalculerNouvelleDate(S388,AH388)</f>
        <v/>
      </c>
      <c r="AJ388" s="68" t="str" cm="1">
        <f t="array" ref="AJ388">CalculerNouvelleDate(T388,AI388)</f>
        <v/>
      </c>
      <c r="AK388" s="68" t="str" cm="1">
        <f t="array" ref="AK388">CalculerNouvelleDate(U388,AJ388)</f>
        <v/>
      </c>
      <c r="AL388" s="68" t="str" cm="1">
        <f t="array" ref="AL388">CalculerNouvelleDate(V388,AK388)</f>
        <v/>
      </c>
      <c r="AM388" s="83" t="str" cm="1">
        <f t="array" ref="AM388">CorrespondanceDAte(X388:AL388,D389)</f>
        <v>0</v>
      </c>
      <c r="AN388" s="1"/>
      <c r="AO388" s="1"/>
      <c r="AP388" s="1"/>
      <c r="AQ388" s="1"/>
      <c r="AR388" s="1"/>
      <c r="AS388" s="1"/>
      <c r="AT388" s="1"/>
      <c r="AU388" s="1"/>
      <c r="AV388" s="1"/>
      <c r="AW388" s="1"/>
      <c r="AX388" s="1"/>
      <c r="AY388" s="1"/>
      <c r="AZ388" s="1"/>
      <c r="BA388" s="1"/>
    </row>
    <row r="389" spans="1:53" x14ac:dyDescent="0.3">
      <c r="A389" s="20" t="s">
        <v>88</v>
      </c>
      <c r="B389" s="19"/>
      <c r="C389" s="19"/>
      <c r="D389" s="19"/>
      <c r="E389" s="19"/>
      <c r="F389" s="22"/>
      <c r="G389" s="22"/>
      <c r="H389" s="43"/>
      <c r="I389" s="1"/>
      <c r="J389" s="1"/>
      <c r="K389" s="1"/>
      <c r="L389" s="1"/>
      <c r="M389" s="1"/>
      <c r="N389" s="1"/>
      <c r="O389" s="1"/>
      <c r="P389" s="1"/>
      <c r="Q389" s="1"/>
      <c r="R389" s="1"/>
      <c r="S389" s="1"/>
      <c r="T389" s="1"/>
      <c r="U389" s="1"/>
      <c r="V389" s="1"/>
      <c r="W389" s="11"/>
      <c r="X389" s="67"/>
      <c r="Y389" s="68" t="str" cm="1">
        <f t="array" ref="Y389">CalculerNouvelleDate(I389,X389)</f>
        <v/>
      </c>
      <c r="Z389" s="68" t="str" cm="1">
        <f t="array" ref="Z389">CalculerNouvelleDate(J389,Y389)</f>
        <v/>
      </c>
      <c r="AA389" s="68" t="str" cm="1">
        <f t="array" ref="AA389">CalculerNouvelleDate(K389,Z389)</f>
        <v/>
      </c>
      <c r="AB389" s="68" t="str" cm="1">
        <f t="array" ref="AB389">CalculerNouvelleDate(L389,AA389)</f>
        <v/>
      </c>
      <c r="AC389" s="68" t="str" cm="1">
        <f t="array" ref="AC389">CalculerNouvelleDate(M389,AB389)</f>
        <v/>
      </c>
      <c r="AD389" s="68" t="str" cm="1">
        <f t="array" ref="AD389">CalculerNouvelleDate(N389,AC389)</f>
        <v/>
      </c>
      <c r="AE389" s="68" t="str" cm="1">
        <f t="array" ref="AE389">CalculerNouvelleDate(O389,AD389)</f>
        <v/>
      </c>
      <c r="AF389" s="68" t="str" cm="1">
        <f t="array" ref="AF389">CalculerNouvelleDate(P389,AE389)</f>
        <v/>
      </c>
      <c r="AG389" s="68" t="str" cm="1">
        <f t="array" ref="AG389">CalculerNouvelleDate(Q389,AF389)</f>
        <v/>
      </c>
      <c r="AH389" s="68" t="str" cm="1">
        <f t="array" ref="AH389">CalculerNouvelleDate(R389,AG389)</f>
        <v/>
      </c>
      <c r="AI389" s="68" t="str" cm="1">
        <f t="array" ref="AI389">CalculerNouvelleDate(S389,AH389)</f>
        <v/>
      </c>
      <c r="AJ389" s="68" t="str" cm="1">
        <f t="array" ref="AJ389">CalculerNouvelleDate(T389,AI389)</f>
        <v/>
      </c>
      <c r="AK389" s="68" t="str" cm="1">
        <f t="array" ref="AK389">CalculerNouvelleDate(U389,AJ389)</f>
        <v/>
      </c>
      <c r="AL389" s="68" t="str" cm="1">
        <f t="array" ref="AL389">CalculerNouvelleDate(V389,AK389)</f>
        <v/>
      </c>
      <c r="AM389" s="83" t="str" cm="1">
        <f t="array" ref="AM389">CorrespondanceDAte(X389:AL389,D390)</f>
        <v>0</v>
      </c>
      <c r="AN389" s="1"/>
      <c r="AO389" s="1"/>
      <c r="AP389" s="1"/>
      <c r="AQ389" s="1"/>
      <c r="AR389" s="1"/>
      <c r="AS389" s="1"/>
      <c r="AT389" s="1"/>
      <c r="AU389" s="1"/>
      <c r="AV389" s="1"/>
      <c r="AW389" s="1"/>
      <c r="AX389" s="1"/>
      <c r="AY389" s="1"/>
      <c r="AZ389" s="1"/>
      <c r="BA389" s="1"/>
    </row>
    <row r="390" spans="1:53" x14ac:dyDescent="0.3">
      <c r="A390" s="1"/>
      <c r="B390" s="11">
        <v>1</v>
      </c>
      <c r="C390" s="1" t="s">
        <v>98</v>
      </c>
      <c r="D390" s="1"/>
      <c r="E390" s="1"/>
      <c r="F390" s="1"/>
      <c r="G390" s="1"/>
      <c r="H390" s="43"/>
      <c r="I390" s="1"/>
      <c r="J390" s="1"/>
      <c r="K390" s="1"/>
      <c r="L390" s="1"/>
      <c r="M390" s="1"/>
      <c r="N390" s="1"/>
      <c r="O390" s="1"/>
      <c r="P390" s="1"/>
      <c r="Q390" s="1"/>
      <c r="R390" s="1"/>
      <c r="S390" s="1"/>
      <c r="T390" s="1"/>
      <c r="U390" s="1"/>
      <c r="V390" s="1"/>
      <c r="W390" s="11"/>
      <c r="X390" s="67"/>
      <c r="Y390" s="68" t="str" cm="1">
        <f t="array" ref="Y390">CalculerNouvelleDate(I390,X390)</f>
        <v/>
      </c>
      <c r="Z390" s="68" t="str" cm="1">
        <f t="array" ref="Z390">CalculerNouvelleDate(J390,Y390)</f>
        <v/>
      </c>
      <c r="AA390" s="68" t="str" cm="1">
        <f t="array" ref="AA390">CalculerNouvelleDate(K390,Z390)</f>
        <v/>
      </c>
      <c r="AB390" s="68" t="str" cm="1">
        <f t="array" ref="AB390">CalculerNouvelleDate(L390,AA390)</f>
        <v/>
      </c>
      <c r="AC390" s="68" t="str" cm="1">
        <f t="array" ref="AC390">CalculerNouvelleDate(M390,AB390)</f>
        <v/>
      </c>
      <c r="AD390" s="68" t="str" cm="1">
        <f t="array" ref="AD390">CalculerNouvelleDate(N390,AC390)</f>
        <v/>
      </c>
      <c r="AE390" s="68" t="str" cm="1">
        <f t="array" ref="AE390">CalculerNouvelleDate(O390,AD390)</f>
        <v/>
      </c>
      <c r="AF390" s="68" t="str" cm="1">
        <f t="array" ref="AF390">CalculerNouvelleDate(P390,AE390)</f>
        <v/>
      </c>
      <c r="AG390" s="68" t="str" cm="1">
        <f t="array" ref="AG390">CalculerNouvelleDate(Q390,AF390)</f>
        <v/>
      </c>
      <c r="AH390" s="68" t="str" cm="1">
        <f t="array" ref="AH390">CalculerNouvelleDate(R390,AG390)</f>
        <v/>
      </c>
      <c r="AI390" s="68" t="str" cm="1">
        <f t="array" ref="AI390">CalculerNouvelleDate(S390,AH390)</f>
        <v/>
      </c>
      <c r="AJ390" s="68" t="str" cm="1">
        <f t="array" ref="AJ390">CalculerNouvelleDate(T390,AI390)</f>
        <v/>
      </c>
      <c r="AK390" s="68" t="str" cm="1">
        <f t="array" ref="AK390">CalculerNouvelleDate(U390,AJ390)</f>
        <v/>
      </c>
      <c r="AL390" s="68" t="str" cm="1">
        <f t="array" ref="AL390">CalculerNouvelleDate(V390,AK390)</f>
        <v/>
      </c>
      <c r="AM390" s="83" t="str" cm="1">
        <f t="array" ref="AM390">CorrespondanceDAte(X390:AL390,D391)</f>
        <v>0</v>
      </c>
      <c r="AN390" s="1"/>
      <c r="AO390" s="1"/>
      <c r="AP390" s="1"/>
      <c r="AQ390" s="1"/>
      <c r="AR390" s="1"/>
      <c r="AS390" s="1"/>
      <c r="AT390" s="1"/>
      <c r="AU390" s="1"/>
      <c r="AV390" s="1"/>
      <c r="AW390" s="1"/>
      <c r="AX390" s="1"/>
      <c r="AY390" s="1"/>
      <c r="AZ390" s="1"/>
      <c r="BA390" s="1"/>
    </row>
    <row r="391" spans="1:53" x14ac:dyDescent="0.3">
      <c r="A391" s="1"/>
      <c r="B391" s="11"/>
      <c r="C391" s="69" t="s">
        <v>531</v>
      </c>
      <c r="D391" s="1"/>
      <c r="E391" s="1"/>
      <c r="F391" s="1"/>
      <c r="G391" s="1"/>
      <c r="H391" s="43"/>
      <c r="I391" s="46"/>
      <c r="J391" s="46"/>
      <c r="K391" s="46"/>
      <c r="L391" s="46"/>
      <c r="M391" s="46"/>
      <c r="N391" s="46"/>
      <c r="O391" s="46"/>
      <c r="P391" s="46"/>
      <c r="Q391" s="46"/>
      <c r="R391" s="46"/>
      <c r="S391" s="46"/>
      <c r="T391" s="46"/>
      <c r="U391" s="46"/>
      <c r="V391" s="46"/>
      <c r="W391" s="62"/>
      <c r="X391" s="67"/>
      <c r="Y391" s="68" t="str" cm="1">
        <f t="array" ref="Y391">CalculerNouvelleDate(I391,X391)</f>
        <v/>
      </c>
      <c r="Z391" s="68" t="str" cm="1">
        <f t="array" ref="Z391">CalculerNouvelleDate(J391,Y391)</f>
        <v/>
      </c>
      <c r="AA391" s="68" t="str" cm="1">
        <f t="array" ref="AA391">CalculerNouvelleDate(K391,Z391)</f>
        <v/>
      </c>
      <c r="AB391" s="68" t="str" cm="1">
        <f t="array" ref="AB391">CalculerNouvelleDate(L391,AA391)</f>
        <v/>
      </c>
      <c r="AC391" s="68" t="str" cm="1">
        <f t="array" ref="AC391">CalculerNouvelleDate(M391,AB391)</f>
        <v/>
      </c>
      <c r="AD391" s="68" t="str" cm="1">
        <f t="array" ref="AD391">CalculerNouvelleDate(N391,AC391)</f>
        <v/>
      </c>
      <c r="AE391" s="68" t="str" cm="1">
        <f t="array" ref="AE391">CalculerNouvelleDate(O391,AD391)</f>
        <v/>
      </c>
      <c r="AF391" s="68" t="str" cm="1">
        <f t="array" ref="AF391">CalculerNouvelleDate(P391,AE391)</f>
        <v/>
      </c>
      <c r="AG391" s="68" t="str" cm="1">
        <f t="array" ref="AG391">CalculerNouvelleDate(Q391,AF391)</f>
        <v/>
      </c>
      <c r="AH391" s="68" t="str" cm="1">
        <f t="array" ref="AH391">CalculerNouvelleDate(R391,AG391)</f>
        <v/>
      </c>
      <c r="AI391" s="68" t="str" cm="1">
        <f t="array" ref="AI391">CalculerNouvelleDate(S391,AH391)</f>
        <v/>
      </c>
      <c r="AJ391" s="68" t="str" cm="1">
        <f t="array" ref="AJ391">CalculerNouvelleDate(T391,AI391)</f>
        <v/>
      </c>
      <c r="AK391" s="68" t="str" cm="1">
        <f t="array" ref="AK391">CalculerNouvelleDate(U391,AJ391)</f>
        <v/>
      </c>
      <c r="AL391" s="68" t="str" cm="1">
        <f t="array" ref="AL391">CalculerNouvelleDate(V391,AK391)</f>
        <v/>
      </c>
      <c r="AM391" s="83" t="str" cm="1">
        <f t="array" ref="AM391">CorrespondanceDAte(X391:AL391,D392)</f>
        <v>0</v>
      </c>
      <c r="AN391" s="1"/>
      <c r="AO391" s="1"/>
      <c r="AP391" s="1"/>
      <c r="AQ391" s="1"/>
      <c r="AR391" s="1"/>
      <c r="AS391" s="1"/>
      <c r="AT391" s="1"/>
      <c r="AU391" s="1"/>
      <c r="AV391" s="1"/>
      <c r="AW391" s="1"/>
      <c r="AX391" s="1"/>
      <c r="AY391" s="1"/>
      <c r="AZ391" s="1"/>
      <c r="BA391" s="1"/>
    </row>
    <row r="392" spans="1:53" x14ac:dyDescent="0.3">
      <c r="A392" s="1"/>
      <c r="B392" s="11"/>
      <c r="C392" s="69" t="s">
        <v>534</v>
      </c>
      <c r="D392" s="1"/>
      <c r="E392" s="1"/>
      <c r="F392" s="1"/>
      <c r="G392" s="1"/>
      <c r="H392" s="43"/>
      <c r="I392" s="46"/>
      <c r="J392" s="46"/>
      <c r="K392" s="46"/>
      <c r="L392" s="46"/>
      <c r="M392" s="46"/>
      <c r="N392" s="46"/>
      <c r="O392" s="46"/>
      <c r="P392" s="46"/>
      <c r="Q392" s="46"/>
      <c r="R392" s="46"/>
      <c r="S392" s="46"/>
      <c r="T392" s="46"/>
      <c r="U392" s="46"/>
      <c r="V392" s="46"/>
      <c r="W392" s="62"/>
      <c r="X392" s="67"/>
      <c r="Y392" s="68" t="str" cm="1">
        <f t="array" ref="Y392">CalculerNouvelleDate(I392,X392)</f>
        <v/>
      </c>
      <c r="Z392" s="68" t="str" cm="1">
        <f t="array" ref="Z392">CalculerNouvelleDate(J392,Y392)</f>
        <v/>
      </c>
      <c r="AA392" s="68" t="str" cm="1">
        <f t="array" ref="AA392">CalculerNouvelleDate(K392,Z392)</f>
        <v/>
      </c>
      <c r="AB392" s="68" t="str" cm="1">
        <f t="array" ref="AB392">CalculerNouvelleDate(L392,AA392)</f>
        <v/>
      </c>
      <c r="AC392" s="68" t="str" cm="1">
        <f t="array" ref="AC392">CalculerNouvelleDate(M392,AB392)</f>
        <v/>
      </c>
      <c r="AD392" s="68" t="str" cm="1">
        <f t="array" ref="AD392">CalculerNouvelleDate(N392,AC392)</f>
        <v/>
      </c>
      <c r="AE392" s="68" t="str" cm="1">
        <f t="array" ref="AE392">CalculerNouvelleDate(O392,AD392)</f>
        <v/>
      </c>
      <c r="AF392" s="68" t="str" cm="1">
        <f t="array" ref="AF392">CalculerNouvelleDate(P392,AE392)</f>
        <v/>
      </c>
      <c r="AG392" s="68" t="str" cm="1">
        <f t="array" ref="AG392">CalculerNouvelleDate(Q392,AF392)</f>
        <v/>
      </c>
      <c r="AH392" s="68" t="str" cm="1">
        <f t="array" ref="AH392">CalculerNouvelleDate(R392,AG392)</f>
        <v/>
      </c>
      <c r="AI392" s="68" t="str" cm="1">
        <f t="array" ref="AI392">CalculerNouvelleDate(S392,AH392)</f>
        <v/>
      </c>
      <c r="AJ392" s="68" t="str" cm="1">
        <f t="array" ref="AJ392">CalculerNouvelleDate(T392,AI392)</f>
        <v/>
      </c>
      <c r="AK392" s="68" t="str" cm="1">
        <f t="array" ref="AK392">CalculerNouvelleDate(U392,AJ392)</f>
        <v/>
      </c>
      <c r="AL392" s="68" t="str" cm="1">
        <f t="array" ref="AL392">CalculerNouvelleDate(V392,AK392)</f>
        <v/>
      </c>
      <c r="AM392" s="83" t="str" cm="1">
        <f t="array" ref="AM392">CorrespondanceDAte(X392:AL392,D393)</f>
        <v>0</v>
      </c>
      <c r="AN392" s="1"/>
      <c r="AO392" s="1"/>
      <c r="AP392" s="1"/>
      <c r="AQ392" s="1"/>
      <c r="AR392" s="1"/>
      <c r="AS392" s="1"/>
      <c r="AT392" s="1"/>
      <c r="AU392" s="1"/>
      <c r="AV392" s="1"/>
      <c r="AW392" s="1"/>
      <c r="AX392" s="1"/>
      <c r="AY392" s="1"/>
      <c r="AZ392" s="1"/>
      <c r="BA392" s="1"/>
    </row>
    <row r="393" spans="1:53" x14ac:dyDescent="0.3">
      <c r="A393" s="1"/>
      <c r="B393" s="11"/>
      <c r="C393" s="69" t="s">
        <v>538</v>
      </c>
      <c r="D393" s="1"/>
      <c r="E393" s="1"/>
      <c r="F393" s="1"/>
      <c r="G393" s="1"/>
      <c r="H393" s="43"/>
      <c r="I393" s="46"/>
      <c r="J393" s="46"/>
      <c r="K393" s="46"/>
      <c r="L393" s="46"/>
      <c r="M393" s="46"/>
      <c r="N393" s="46"/>
      <c r="O393" s="46"/>
      <c r="P393" s="46"/>
      <c r="Q393" s="46"/>
      <c r="R393" s="46"/>
      <c r="S393" s="46"/>
      <c r="T393" s="46"/>
      <c r="U393" s="46"/>
      <c r="V393" s="46"/>
      <c r="W393" s="62"/>
      <c r="X393" s="67"/>
      <c r="Y393" s="68" t="str" cm="1">
        <f t="array" ref="Y393">CalculerNouvelleDate(I393,X393)</f>
        <v/>
      </c>
      <c r="Z393" s="68" t="str" cm="1">
        <f t="array" ref="Z393">CalculerNouvelleDate(J393,Y393)</f>
        <v/>
      </c>
      <c r="AA393" s="68" t="str" cm="1">
        <f t="array" ref="AA393">CalculerNouvelleDate(K393,Z393)</f>
        <v/>
      </c>
      <c r="AB393" s="68" t="str" cm="1">
        <f t="array" ref="AB393">CalculerNouvelleDate(L393,AA393)</f>
        <v/>
      </c>
      <c r="AC393" s="68" t="str" cm="1">
        <f t="array" ref="AC393">CalculerNouvelleDate(M393,AB393)</f>
        <v/>
      </c>
      <c r="AD393" s="68" t="str" cm="1">
        <f t="array" ref="AD393">CalculerNouvelleDate(N393,AC393)</f>
        <v/>
      </c>
      <c r="AE393" s="68" t="str" cm="1">
        <f t="array" ref="AE393">CalculerNouvelleDate(O393,AD393)</f>
        <v/>
      </c>
      <c r="AF393" s="68" t="str" cm="1">
        <f t="array" ref="AF393">CalculerNouvelleDate(P393,AE393)</f>
        <v/>
      </c>
      <c r="AG393" s="68" t="str" cm="1">
        <f t="array" ref="AG393">CalculerNouvelleDate(Q393,AF393)</f>
        <v/>
      </c>
      <c r="AH393" s="68" t="str" cm="1">
        <f t="array" ref="AH393">CalculerNouvelleDate(R393,AG393)</f>
        <v/>
      </c>
      <c r="AI393" s="68" t="str" cm="1">
        <f t="array" ref="AI393">CalculerNouvelleDate(S393,AH393)</f>
        <v/>
      </c>
      <c r="AJ393" s="68" t="str" cm="1">
        <f t="array" ref="AJ393">CalculerNouvelleDate(T393,AI393)</f>
        <v/>
      </c>
      <c r="AK393" s="68" t="str" cm="1">
        <f t="array" ref="AK393">CalculerNouvelleDate(U393,AJ393)</f>
        <v/>
      </c>
      <c r="AL393" s="68" t="str" cm="1">
        <f t="array" ref="AL393">CalculerNouvelleDate(V393,AK393)</f>
        <v/>
      </c>
      <c r="AM393" s="83" t="str" cm="1">
        <f t="array" ref="AM393">CorrespondanceDAte(X393:AL393,D394)</f>
        <v>0</v>
      </c>
      <c r="AN393" s="1"/>
      <c r="AO393" s="1"/>
      <c r="AP393" s="1"/>
      <c r="AQ393" s="1"/>
      <c r="AR393" s="1"/>
      <c r="AS393" s="1"/>
      <c r="AT393" s="1"/>
      <c r="AU393" s="1"/>
      <c r="AV393" s="1"/>
      <c r="AW393" s="1"/>
      <c r="AX393" s="1"/>
      <c r="AY393" s="1"/>
      <c r="AZ393" s="1"/>
      <c r="BA393" s="1"/>
    </row>
    <row r="394" spans="1:53" x14ac:dyDescent="0.3">
      <c r="A394" s="1"/>
      <c r="B394" s="11">
        <v>2</v>
      </c>
      <c r="C394" s="1" t="s">
        <v>97</v>
      </c>
      <c r="D394" s="1"/>
      <c r="E394" s="1"/>
      <c r="F394" s="1"/>
      <c r="G394" s="1"/>
      <c r="H394" s="43"/>
      <c r="I394" s="1"/>
      <c r="J394" s="1"/>
      <c r="K394" s="1"/>
      <c r="L394" s="1"/>
      <c r="M394" s="1"/>
      <c r="N394" s="1"/>
      <c r="O394" s="1"/>
      <c r="P394" s="1"/>
      <c r="Q394" s="1"/>
      <c r="R394" s="1"/>
      <c r="S394" s="1"/>
      <c r="T394" s="1"/>
      <c r="U394" s="1"/>
      <c r="V394" s="1"/>
      <c r="W394" s="11"/>
      <c r="X394" s="67"/>
      <c r="Y394" s="68" t="str" cm="1">
        <f t="array" ref="Y394">CalculerNouvelleDate(I394,X394)</f>
        <v/>
      </c>
      <c r="Z394" s="68" t="str" cm="1">
        <f t="array" ref="Z394">CalculerNouvelleDate(J394,Y394)</f>
        <v/>
      </c>
      <c r="AA394" s="68" t="str" cm="1">
        <f t="array" ref="AA394">CalculerNouvelleDate(K394,Z394)</f>
        <v/>
      </c>
      <c r="AB394" s="68" t="str" cm="1">
        <f t="array" ref="AB394">CalculerNouvelleDate(L394,AA394)</f>
        <v/>
      </c>
      <c r="AC394" s="68" t="str" cm="1">
        <f t="array" ref="AC394">CalculerNouvelleDate(M394,AB394)</f>
        <v/>
      </c>
      <c r="AD394" s="68" t="str" cm="1">
        <f t="array" ref="AD394">CalculerNouvelleDate(N394,AC394)</f>
        <v/>
      </c>
      <c r="AE394" s="68" t="str" cm="1">
        <f t="array" ref="AE394">CalculerNouvelleDate(O394,AD394)</f>
        <v/>
      </c>
      <c r="AF394" s="68" t="str" cm="1">
        <f t="array" ref="AF394">CalculerNouvelleDate(P394,AE394)</f>
        <v/>
      </c>
      <c r="AG394" s="68" t="str" cm="1">
        <f t="array" ref="AG394">CalculerNouvelleDate(Q394,AF394)</f>
        <v/>
      </c>
      <c r="AH394" s="68" t="str" cm="1">
        <f t="array" ref="AH394">CalculerNouvelleDate(R394,AG394)</f>
        <v/>
      </c>
      <c r="AI394" s="68" t="str" cm="1">
        <f t="array" ref="AI394">CalculerNouvelleDate(S394,AH394)</f>
        <v/>
      </c>
      <c r="AJ394" s="68" t="str" cm="1">
        <f t="array" ref="AJ394">CalculerNouvelleDate(T394,AI394)</f>
        <v/>
      </c>
      <c r="AK394" s="68" t="str" cm="1">
        <f t="array" ref="AK394">CalculerNouvelleDate(U394,AJ394)</f>
        <v/>
      </c>
      <c r="AL394" s="68" t="str" cm="1">
        <f t="array" ref="AL394">CalculerNouvelleDate(V394,AK394)</f>
        <v/>
      </c>
      <c r="AM394" s="83" t="str" cm="1">
        <f t="array" ref="AM394">CorrespondanceDAte(X394:AL394,D395)</f>
        <v>0</v>
      </c>
      <c r="AN394" s="1"/>
      <c r="AO394" s="1"/>
      <c r="AP394" s="1"/>
      <c r="AQ394" s="1"/>
      <c r="AR394" s="1"/>
      <c r="AS394" s="1"/>
      <c r="AT394" s="1"/>
      <c r="AU394" s="1"/>
      <c r="AV394" s="1"/>
      <c r="AW394" s="1"/>
      <c r="AX394" s="1"/>
      <c r="AY394" s="1"/>
      <c r="AZ394" s="1"/>
      <c r="BA394" s="1"/>
    </row>
    <row r="395" spans="1:53" x14ac:dyDescent="0.3">
      <c r="A395" s="1"/>
      <c r="B395" s="11"/>
      <c r="C395" s="69" t="s">
        <v>533</v>
      </c>
      <c r="D395" s="1"/>
      <c r="E395" s="1"/>
      <c r="F395" s="1"/>
      <c r="G395" s="1"/>
      <c r="H395" s="43"/>
      <c r="I395" s="46"/>
      <c r="J395" s="46"/>
      <c r="K395" s="46"/>
      <c r="L395" s="46"/>
      <c r="M395" s="46"/>
      <c r="N395" s="46"/>
      <c r="O395" s="46"/>
      <c r="P395" s="46"/>
      <c r="Q395" s="46"/>
      <c r="R395" s="46"/>
      <c r="S395" s="46"/>
      <c r="T395" s="46"/>
      <c r="U395" s="46"/>
      <c r="V395" s="46"/>
      <c r="W395" s="62"/>
      <c r="X395" s="67"/>
      <c r="Y395" s="68" t="str" cm="1">
        <f t="array" ref="Y395">CalculerNouvelleDate(I395,X395)</f>
        <v/>
      </c>
      <c r="Z395" s="68" t="str" cm="1">
        <f t="array" ref="Z395">CalculerNouvelleDate(J395,Y395)</f>
        <v/>
      </c>
      <c r="AA395" s="68" t="str" cm="1">
        <f t="array" ref="AA395">CalculerNouvelleDate(K395,Z395)</f>
        <v/>
      </c>
      <c r="AB395" s="68" t="str" cm="1">
        <f t="array" ref="AB395">CalculerNouvelleDate(L395,AA395)</f>
        <v/>
      </c>
      <c r="AC395" s="68" t="str" cm="1">
        <f t="array" ref="AC395">CalculerNouvelleDate(M395,AB395)</f>
        <v/>
      </c>
      <c r="AD395" s="68" t="str" cm="1">
        <f t="array" ref="AD395">CalculerNouvelleDate(N395,AC395)</f>
        <v/>
      </c>
      <c r="AE395" s="68" t="str" cm="1">
        <f t="array" ref="AE395">CalculerNouvelleDate(O395,AD395)</f>
        <v/>
      </c>
      <c r="AF395" s="68" t="str" cm="1">
        <f t="array" ref="AF395">CalculerNouvelleDate(P395,AE395)</f>
        <v/>
      </c>
      <c r="AG395" s="68" t="str" cm="1">
        <f t="array" ref="AG395">CalculerNouvelleDate(Q395,AF395)</f>
        <v/>
      </c>
      <c r="AH395" s="68" t="str" cm="1">
        <f t="array" ref="AH395">CalculerNouvelleDate(R395,AG395)</f>
        <v/>
      </c>
      <c r="AI395" s="68" t="str" cm="1">
        <f t="array" ref="AI395">CalculerNouvelleDate(S395,AH395)</f>
        <v/>
      </c>
      <c r="AJ395" s="68" t="str" cm="1">
        <f t="array" ref="AJ395">CalculerNouvelleDate(T395,AI395)</f>
        <v/>
      </c>
      <c r="AK395" s="68" t="str" cm="1">
        <f t="array" ref="AK395">CalculerNouvelleDate(U395,AJ395)</f>
        <v/>
      </c>
      <c r="AL395" s="68" t="str" cm="1">
        <f t="array" ref="AL395">CalculerNouvelleDate(V395,AK395)</f>
        <v/>
      </c>
      <c r="AM395" s="83" t="str" cm="1">
        <f t="array" ref="AM395">CorrespondanceDAte(X395:AL395,D396)</f>
        <v>0</v>
      </c>
      <c r="AN395" s="1"/>
      <c r="AO395" s="1"/>
      <c r="AP395" s="1"/>
      <c r="AQ395" s="1"/>
      <c r="AR395" s="1"/>
      <c r="AS395" s="1"/>
      <c r="AT395" s="1"/>
      <c r="AU395" s="1"/>
      <c r="AV395" s="1"/>
      <c r="AW395" s="1"/>
      <c r="AX395" s="1"/>
      <c r="AY395" s="1"/>
      <c r="AZ395" s="1"/>
      <c r="BA395" s="1"/>
    </row>
    <row r="396" spans="1:53" x14ac:dyDescent="0.3">
      <c r="A396" s="1"/>
      <c r="B396" s="11"/>
      <c r="C396" s="69" t="s">
        <v>535</v>
      </c>
      <c r="D396" s="1"/>
      <c r="E396" s="1"/>
      <c r="F396" s="1"/>
      <c r="G396" s="1"/>
      <c r="H396" s="43"/>
      <c r="I396" s="46"/>
      <c r="J396" s="46"/>
      <c r="K396" s="46"/>
      <c r="L396" s="46"/>
      <c r="M396" s="46"/>
      <c r="N396" s="46"/>
      <c r="O396" s="46"/>
      <c r="P396" s="46"/>
      <c r="Q396" s="46"/>
      <c r="R396" s="46"/>
      <c r="S396" s="46"/>
      <c r="T396" s="46"/>
      <c r="U396" s="46"/>
      <c r="V396" s="46"/>
      <c r="W396" s="62"/>
      <c r="X396" s="67"/>
      <c r="Y396" s="68" t="str" cm="1">
        <f t="array" ref="Y396">CalculerNouvelleDate(I396,X396)</f>
        <v/>
      </c>
      <c r="Z396" s="68" t="str" cm="1">
        <f t="array" ref="Z396">CalculerNouvelleDate(J396,Y396)</f>
        <v/>
      </c>
      <c r="AA396" s="68" t="str" cm="1">
        <f t="array" ref="AA396">CalculerNouvelleDate(K396,Z396)</f>
        <v/>
      </c>
      <c r="AB396" s="68" t="str" cm="1">
        <f t="array" ref="AB396">CalculerNouvelleDate(L396,AA396)</f>
        <v/>
      </c>
      <c r="AC396" s="68" t="str" cm="1">
        <f t="array" ref="AC396">CalculerNouvelleDate(M396,AB396)</f>
        <v/>
      </c>
      <c r="AD396" s="68" t="str" cm="1">
        <f t="array" ref="AD396">CalculerNouvelleDate(N396,AC396)</f>
        <v/>
      </c>
      <c r="AE396" s="68" t="str" cm="1">
        <f t="array" ref="AE396">CalculerNouvelleDate(O396,AD396)</f>
        <v/>
      </c>
      <c r="AF396" s="68" t="str" cm="1">
        <f t="array" ref="AF396">CalculerNouvelleDate(P396,AE396)</f>
        <v/>
      </c>
      <c r="AG396" s="68" t="str" cm="1">
        <f t="array" ref="AG396">CalculerNouvelleDate(Q396,AF396)</f>
        <v/>
      </c>
      <c r="AH396" s="68" t="str" cm="1">
        <f t="array" ref="AH396">CalculerNouvelleDate(R396,AG396)</f>
        <v/>
      </c>
      <c r="AI396" s="68" t="str" cm="1">
        <f t="array" ref="AI396">CalculerNouvelleDate(S396,AH396)</f>
        <v/>
      </c>
      <c r="AJ396" s="68" t="str" cm="1">
        <f t="array" ref="AJ396">CalculerNouvelleDate(T396,AI396)</f>
        <v/>
      </c>
      <c r="AK396" s="68" t="str" cm="1">
        <f t="array" ref="AK396">CalculerNouvelleDate(U396,AJ396)</f>
        <v/>
      </c>
      <c r="AL396" s="68" t="str" cm="1">
        <f t="array" ref="AL396">CalculerNouvelleDate(V396,AK396)</f>
        <v/>
      </c>
      <c r="AM396" s="83" t="str" cm="1">
        <f t="array" ref="AM396">CorrespondanceDAte(X396:AL396,D397)</f>
        <v>0</v>
      </c>
      <c r="AN396" s="1"/>
      <c r="AO396" s="1"/>
      <c r="AP396" s="1"/>
      <c r="AQ396" s="1"/>
      <c r="AR396" s="1"/>
      <c r="AS396" s="1"/>
      <c r="AT396" s="1"/>
      <c r="AU396" s="1"/>
      <c r="AV396" s="1"/>
      <c r="AW396" s="1"/>
      <c r="AX396" s="1"/>
      <c r="AY396" s="1"/>
      <c r="AZ396" s="1"/>
      <c r="BA396" s="1"/>
    </row>
    <row r="397" spans="1:53" x14ac:dyDescent="0.3">
      <c r="A397" s="1"/>
      <c r="B397" s="11"/>
      <c r="C397" s="69" t="s">
        <v>545</v>
      </c>
      <c r="D397" s="1"/>
      <c r="E397" s="1"/>
      <c r="F397" s="1"/>
      <c r="G397" s="1"/>
      <c r="H397" s="43"/>
      <c r="I397" s="46"/>
      <c r="J397" s="46"/>
      <c r="K397" s="46"/>
      <c r="L397" s="46"/>
      <c r="M397" s="46"/>
      <c r="N397" s="46"/>
      <c r="O397" s="46"/>
      <c r="P397" s="46"/>
      <c r="Q397" s="46"/>
      <c r="R397" s="46"/>
      <c r="S397" s="46"/>
      <c r="T397" s="46"/>
      <c r="U397" s="46"/>
      <c r="V397" s="46"/>
      <c r="W397" s="62"/>
      <c r="X397" s="67"/>
      <c r="Y397" s="68" t="str" cm="1">
        <f t="array" ref="Y397">CalculerNouvelleDate(I397,X397)</f>
        <v/>
      </c>
      <c r="Z397" s="68" t="str" cm="1">
        <f t="array" ref="Z397">CalculerNouvelleDate(J397,Y397)</f>
        <v/>
      </c>
      <c r="AA397" s="68" t="str" cm="1">
        <f t="array" ref="AA397">CalculerNouvelleDate(K397,Z397)</f>
        <v/>
      </c>
      <c r="AB397" s="68" t="str" cm="1">
        <f t="array" ref="AB397">CalculerNouvelleDate(L397,AA397)</f>
        <v/>
      </c>
      <c r="AC397" s="68" t="str" cm="1">
        <f t="array" ref="AC397">CalculerNouvelleDate(M397,AB397)</f>
        <v/>
      </c>
      <c r="AD397" s="68" t="str" cm="1">
        <f t="array" ref="AD397">CalculerNouvelleDate(N397,AC397)</f>
        <v/>
      </c>
      <c r="AE397" s="68" t="str" cm="1">
        <f t="array" ref="AE397">CalculerNouvelleDate(O397,AD397)</f>
        <v/>
      </c>
      <c r="AF397" s="68" t="str" cm="1">
        <f t="array" ref="AF397">CalculerNouvelleDate(P397,AE397)</f>
        <v/>
      </c>
      <c r="AG397" s="68" t="str" cm="1">
        <f t="array" ref="AG397">CalculerNouvelleDate(Q397,AF397)</f>
        <v/>
      </c>
      <c r="AH397" s="68" t="str" cm="1">
        <f t="array" ref="AH397">CalculerNouvelleDate(R397,AG397)</f>
        <v/>
      </c>
      <c r="AI397" s="68" t="str" cm="1">
        <f t="array" ref="AI397">CalculerNouvelleDate(S397,AH397)</f>
        <v/>
      </c>
      <c r="AJ397" s="68" t="str" cm="1">
        <f t="array" ref="AJ397">CalculerNouvelleDate(T397,AI397)</f>
        <v/>
      </c>
      <c r="AK397" s="68" t="str" cm="1">
        <f t="array" ref="AK397">CalculerNouvelleDate(U397,AJ397)</f>
        <v/>
      </c>
      <c r="AL397" s="68" t="str" cm="1">
        <f t="array" ref="AL397">CalculerNouvelleDate(V397,AK397)</f>
        <v/>
      </c>
      <c r="AM397" s="83" t="str" cm="1">
        <f t="array" ref="AM397">CorrespondanceDAte(X397:AL397,D398)</f>
        <v>0</v>
      </c>
      <c r="AN397" s="1"/>
      <c r="AO397" s="1"/>
      <c r="AP397" s="1"/>
      <c r="AQ397" s="1"/>
      <c r="AR397" s="1"/>
      <c r="AS397" s="1"/>
      <c r="AT397" s="1"/>
      <c r="AU397" s="1"/>
      <c r="AV397" s="1"/>
      <c r="AW397" s="1"/>
      <c r="AX397" s="1"/>
      <c r="AY397" s="1"/>
      <c r="AZ397" s="1"/>
      <c r="BA397" s="1"/>
    </row>
    <row r="398" spans="1:53" x14ac:dyDescent="0.3">
      <c r="A398" s="1"/>
      <c r="B398" s="11"/>
      <c r="C398" s="69" t="s">
        <v>653</v>
      </c>
      <c r="D398" s="1"/>
      <c r="E398" s="1"/>
      <c r="F398" s="1"/>
      <c r="G398" s="1"/>
      <c r="H398" s="43"/>
      <c r="I398" s="46"/>
      <c r="J398" s="46"/>
      <c r="K398" s="46"/>
      <c r="L398" s="46"/>
      <c r="M398" s="46"/>
      <c r="N398" s="46"/>
      <c r="O398" s="46"/>
      <c r="P398" s="46"/>
      <c r="Q398" s="46"/>
      <c r="R398" s="46"/>
      <c r="S398" s="46"/>
      <c r="T398" s="46"/>
      <c r="U398" s="46"/>
      <c r="V398" s="46"/>
      <c r="W398" s="62"/>
      <c r="X398" s="67"/>
      <c r="Y398" s="68" t="str" cm="1">
        <f t="array" ref="Y398">CalculerNouvelleDate(I398,X398)</f>
        <v/>
      </c>
      <c r="Z398" s="68" t="str" cm="1">
        <f t="array" ref="Z398">CalculerNouvelleDate(J398,Y398)</f>
        <v/>
      </c>
      <c r="AA398" s="68" t="str" cm="1">
        <f t="array" ref="AA398">CalculerNouvelleDate(K398,Z398)</f>
        <v/>
      </c>
      <c r="AB398" s="68" t="str" cm="1">
        <f t="array" ref="AB398">CalculerNouvelleDate(L398,AA398)</f>
        <v/>
      </c>
      <c r="AC398" s="68" t="str" cm="1">
        <f t="array" ref="AC398">CalculerNouvelleDate(M398,AB398)</f>
        <v/>
      </c>
      <c r="AD398" s="68" t="str" cm="1">
        <f t="array" ref="AD398">CalculerNouvelleDate(N398,AC398)</f>
        <v/>
      </c>
      <c r="AE398" s="68" t="str" cm="1">
        <f t="array" ref="AE398">CalculerNouvelleDate(O398,AD398)</f>
        <v/>
      </c>
      <c r="AF398" s="68" t="str" cm="1">
        <f t="array" ref="AF398">CalculerNouvelleDate(P398,AE398)</f>
        <v/>
      </c>
      <c r="AG398" s="68" t="str" cm="1">
        <f t="array" ref="AG398">CalculerNouvelleDate(Q398,AF398)</f>
        <v/>
      </c>
      <c r="AH398" s="68" t="str" cm="1">
        <f t="array" ref="AH398">CalculerNouvelleDate(R398,AG398)</f>
        <v/>
      </c>
      <c r="AI398" s="68" t="str" cm="1">
        <f t="array" ref="AI398">CalculerNouvelleDate(S398,AH398)</f>
        <v/>
      </c>
      <c r="AJ398" s="68" t="str" cm="1">
        <f t="array" ref="AJ398">CalculerNouvelleDate(T398,AI398)</f>
        <v/>
      </c>
      <c r="AK398" s="68" t="str" cm="1">
        <f t="array" ref="AK398">CalculerNouvelleDate(U398,AJ398)</f>
        <v/>
      </c>
      <c r="AL398" s="68" t="str" cm="1">
        <f t="array" ref="AL398">CalculerNouvelleDate(V398,AK398)</f>
        <v/>
      </c>
      <c r="AM398" s="83" t="str" cm="1">
        <f t="array" ref="AM398">CorrespondanceDAte(X398:AL398,D399)</f>
        <v>0</v>
      </c>
      <c r="AN398" s="1"/>
      <c r="AO398" s="1"/>
      <c r="AP398" s="1"/>
      <c r="AQ398" s="1"/>
      <c r="AR398" s="1"/>
      <c r="AS398" s="1"/>
      <c r="AT398" s="1"/>
      <c r="AU398" s="1"/>
      <c r="AV398" s="1"/>
      <c r="AW398" s="1"/>
      <c r="AX398" s="1"/>
      <c r="AY398" s="1"/>
      <c r="AZ398" s="1"/>
      <c r="BA398" s="1"/>
    </row>
    <row r="399" spans="1:53" x14ac:dyDescent="0.3">
      <c r="A399" s="1"/>
      <c r="B399" s="11"/>
      <c r="C399" s="69" t="s">
        <v>654</v>
      </c>
      <c r="D399" s="1"/>
      <c r="E399" s="1"/>
      <c r="F399" s="1"/>
      <c r="G399" s="1"/>
      <c r="H399" s="43"/>
      <c r="I399" s="46"/>
      <c r="J399" s="46"/>
      <c r="K399" s="46"/>
      <c r="L399" s="46"/>
      <c r="M399" s="46"/>
      <c r="N399" s="46"/>
      <c r="O399" s="46"/>
      <c r="P399" s="46"/>
      <c r="Q399" s="46"/>
      <c r="R399" s="46"/>
      <c r="S399" s="46"/>
      <c r="T399" s="46"/>
      <c r="U399" s="46"/>
      <c r="V399" s="46"/>
      <c r="W399" s="62"/>
      <c r="X399" s="67"/>
      <c r="Y399" s="68" t="str" cm="1">
        <f t="array" ref="Y399">CalculerNouvelleDate(I399,X399)</f>
        <v/>
      </c>
      <c r="Z399" s="68" t="str" cm="1">
        <f t="array" ref="Z399">CalculerNouvelleDate(J399,Y399)</f>
        <v/>
      </c>
      <c r="AA399" s="68" t="str" cm="1">
        <f t="array" ref="AA399">CalculerNouvelleDate(K399,Z399)</f>
        <v/>
      </c>
      <c r="AB399" s="68" t="str" cm="1">
        <f t="array" ref="AB399">CalculerNouvelleDate(L399,AA399)</f>
        <v/>
      </c>
      <c r="AC399" s="68" t="str" cm="1">
        <f t="array" ref="AC399">CalculerNouvelleDate(M399,AB399)</f>
        <v/>
      </c>
      <c r="AD399" s="68" t="str" cm="1">
        <f t="array" ref="AD399">CalculerNouvelleDate(N399,AC399)</f>
        <v/>
      </c>
      <c r="AE399" s="68" t="str" cm="1">
        <f t="array" ref="AE399">CalculerNouvelleDate(O399,AD399)</f>
        <v/>
      </c>
      <c r="AF399" s="68" t="str" cm="1">
        <f t="array" ref="AF399">CalculerNouvelleDate(P399,AE399)</f>
        <v/>
      </c>
      <c r="AG399" s="68" t="str" cm="1">
        <f t="array" ref="AG399">CalculerNouvelleDate(Q399,AF399)</f>
        <v/>
      </c>
      <c r="AH399" s="68" t="str" cm="1">
        <f t="array" ref="AH399">CalculerNouvelleDate(R399,AG399)</f>
        <v/>
      </c>
      <c r="AI399" s="68" t="str" cm="1">
        <f t="array" ref="AI399">CalculerNouvelleDate(S399,AH399)</f>
        <v/>
      </c>
      <c r="AJ399" s="68" t="str" cm="1">
        <f t="array" ref="AJ399">CalculerNouvelleDate(T399,AI399)</f>
        <v/>
      </c>
      <c r="AK399" s="68" t="str" cm="1">
        <f t="array" ref="AK399">CalculerNouvelleDate(U399,AJ399)</f>
        <v/>
      </c>
      <c r="AL399" s="68" t="str" cm="1">
        <f t="array" ref="AL399">CalculerNouvelleDate(V399,AK399)</f>
        <v/>
      </c>
      <c r="AM399" s="83" t="str" cm="1">
        <f t="array" ref="AM399">CorrespondanceDAte(X399:AL399,D400)</f>
        <v>0</v>
      </c>
      <c r="AN399" s="1"/>
      <c r="AO399" s="1"/>
      <c r="AP399" s="1"/>
      <c r="AQ399" s="1"/>
      <c r="AR399" s="1"/>
      <c r="AS399" s="1"/>
      <c r="AT399" s="1"/>
      <c r="AU399" s="1"/>
      <c r="AV399" s="1"/>
      <c r="AW399" s="1"/>
      <c r="AX399" s="1"/>
      <c r="AY399" s="1"/>
      <c r="AZ399" s="1"/>
      <c r="BA399" s="1"/>
    </row>
    <row r="400" spans="1:53" x14ac:dyDescent="0.3">
      <c r="A400" s="1"/>
      <c r="B400" s="11"/>
      <c r="C400" s="69" t="s">
        <v>655</v>
      </c>
      <c r="D400" s="1"/>
      <c r="E400" s="1"/>
      <c r="F400" s="1"/>
      <c r="G400" s="1"/>
      <c r="H400" s="43"/>
      <c r="I400" s="46"/>
      <c r="J400" s="46"/>
      <c r="K400" s="46"/>
      <c r="L400" s="46"/>
      <c r="M400" s="46"/>
      <c r="N400" s="46"/>
      <c r="O400" s="46"/>
      <c r="P400" s="46"/>
      <c r="Q400" s="46"/>
      <c r="R400" s="46"/>
      <c r="S400" s="46"/>
      <c r="T400" s="46"/>
      <c r="U400" s="46"/>
      <c r="V400" s="46"/>
      <c r="W400" s="62"/>
      <c r="X400" s="67"/>
      <c r="Y400" s="68" t="str" cm="1">
        <f t="array" ref="Y400">CalculerNouvelleDate(I400,X400)</f>
        <v/>
      </c>
      <c r="Z400" s="68" t="str" cm="1">
        <f t="array" ref="Z400">CalculerNouvelleDate(J400,Y400)</f>
        <v/>
      </c>
      <c r="AA400" s="68" t="str" cm="1">
        <f t="array" ref="AA400">CalculerNouvelleDate(K400,Z400)</f>
        <v/>
      </c>
      <c r="AB400" s="68" t="str" cm="1">
        <f t="array" ref="AB400">CalculerNouvelleDate(L400,AA400)</f>
        <v/>
      </c>
      <c r="AC400" s="68" t="str" cm="1">
        <f t="array" ref="AC400">CalculerNouvelleDate(M400,AB400)</f>
        <v/>
      </c>
      <c r="AD400" s="68" t="str" cm="1">
        <f t="array" ref="AD400">CalculerNouvelleDate(N400,AC400)</f>
        <v/>
      </c>
      <c r="AE400" s="68" t="str" cm="1">
        <f t="array" ref="AE400">CalculerNouvelleDate(O400,AD400)</f>
        <v/>
      </c>
      <c r="AF400" s="68" t="str" cm="1">
        <f t="array" ref="AF400">CalculerNouvelleDate(P400,AE400)</f>
        <v/>
      </c>
      <c r="AG400" s="68" t="str" cm="1">
        <f t="array" ref="AG400">CalculerNouvelleDate(Q400,AF400)</f>
        <v/>
      </c>
      <c r="AH400" s="68" t="str" cm="1">
        <f t="array" ref="AH400">CalculerNouvelleDate(R400,AG400)</f>
        <v/>
      </c>
      <c r="AI400" s="68" t="str" cm="1">
        <f t="array" ref="AI400">CalculerNouvelleDate(S400,AH400)</f>
        <v/>
      </c>
      <c r="AJ400" s="68" t="str" cm="1">
        <f t="array" ref="AJ400">CalculerNouvelleDate(T400,AI400)</f>
        <v/>
      </c>
      <c r="AK400" s="68" t="str" cm="1">
        <f t="array" ref="AK400">CalculerNouvelleDate(U400,AJ400)</f>
        <v/>
      </c>
      <c r="AL400" s="68" t="str" cm="1">
        <f t="array" ref="AL400">CalculerNouvelleDate(V400,AK400)</f>
        <v/>
      </c>
      <c r="AM400" s="83" t="str" cm="1">
        <f t="array" ref="AM400">CorrespondanceDAte(X400:AL400,D401)</f>
        <v>0</v>
      </c>
      <c r="AN400" s="1"/>
      <c r="AO400" s="1"/>
      <c r="AP400" s="1"/>
      <c r="AQ400" s="1"/>
      <c r="AR400" s="1"/>
      <c r="AS400" s="1"/>
      <c r="AT400" s="1"/>
      <c r="AU400" s="1"/>
      <c r="AV400" s="1"/>
      <c r="AW400" s="1"/>
      <c r="AX400" s="1"/>
      <c r="AY400" s="1"/>
      <c r="AZ400" s="1"/>
      <c r="BA400" s="1"/>
    </row>
    <row r="401" spans="1:53" x14ac:dyDescent="0.3">
      <c r="A401" s="1"/>
      <c r="B401" s="11">
        <v>3</v>
      </c>
      <c r="C401" s="1" t="s">
        <v>96</v>
      </c>
      <c r="D401" s="1"/>
      <c r="E401" s="1"/>
      <c r="F401" s="1"/>
      <c r="G401" s="1"/>
      <c r="H401" s="43"/>
      <c r="I401" s="1"/>
      <c r="J401" s="1"/>
      <c r="K401" s="1"/>
      <c r="L401" s="1"/>
      <c r="M401" s="1"/>
      <c r="N401" s="1"/>
      <c r="O401" s="1"/>
      <c r="P401" s="1"/>
      <c r="Q401" s="1"/>
      <c r="R401" s="1"/>
      <c r="S401" s="1"/>
      <c r="T401" s="1"/>
      <c r="U401" s="1"/>
      <c r="V401" s="1"/>
      <c r="W401" s="11"/>
      <c r="X401" s="67"/>
      <c r="Y401" s="68" t="str" cm="1">
        <f t="array" ref="Y401">CalculerNouvelleDate(I401,X401)</f>
        <v/>
      </c>
      <c r="Z401" s="68" t="str" cm="1">
        <f t="array" ref="Z401">CalculerNouvelleDate(J401,Y401)</f>
        <v/>
      </c>
      <c r="AA401" s="68" t="str" cm="1">
        <f t="array" ref="AA401">CalculerNouvelleDate(K401,Z401)</f>
        <v/>
      </c>
      <c r="AB401" s="68" t="str" cm="1">
        <f t="array" ref="AB401">CalculerNouvelleDate(L401,AA401)</f>
        <v/>
      </c>
      <c r="AC401" s="68" t="str" cm="1">
        <f t="array" ref="AC401">CalculerNouvelleDate(M401,AB401)</f>
        <v/>
      </c>
      <c r="AD401" s="68" t="str" cm="1">
        <f t="array" ref="AD401">CalculerNouvelleDate(N401,AC401)</f>
        <v/>
      </c>
      <c r="AE401" s="68" t="str" cm="1">
        <f t="array" ref="AE401">CalculerNouvelleDate(O401,AD401)</f>
        <v/>
      </c>
      <c r="AF401" s="68" t="str" cm="1">
        <f t="array" ref="AF401">CalculerNouvelleDate(P401,AE401)</f>
        <v/>
      </c>
      <c r="AG401" s="68" t="str" cm="1">
        <f t="array" ref="AG401">CalculerNouvelleDate(Q401,AF401)</f>
        <v/>
      </c>
      <c r="AH401" s="68" t="str" cm="1">
        <f t="array" ref="AH401">CalculerNouvelleDate(R401,AG401)</f>
        <v/>
      </c>
      <c r="AI401" s="68" t="str" cm="1">
        <f t="array" ref="AI401">CalculerNouvelleDate(S401,AH401)</f>
        <v/>
      </c>
      <c r="AJ401" s="68" t="str" cm="1">
        <f t="array" ref="AJ401">CalculerNouvelleDate(T401,AI401)</f>
        <v/>
      </c>
      <c r="AK401" s="68" t="str" cm="1">
        <f t="array" ref="AK401">CalculerNouvelleDate(U401,AJ401)</f>
        <v/>
      </c>
      <c r="AL401" s="68" t="str" cm="1">
        <f t="array" ref="AL401">CalculerNouvelleDate(V401,AK401)</f>
        <v/>
      </c>
      <c r="AM401" s="83" t="str" cm="1">
        <f t="array" ref="AM401">CorrespondanceDAte(X401:AL401,D402)</f>
        <v>0</v>
      </c>
      <c r="AN401" s="1"/>
      <c r="AO401" s="1"/>
      <c r="AP401" s="1"/>
      <c r="AQ401" s="1"/>
      <c r="AR401" s="1"/>
      <c r="AS401" s="1"/>
      <c r="AT401" s="1"/>
      <c r="AU401" s="1"/>
      <c r="AV401" s="1"/>
      <c r="AW401" s="1"/>
      <c r="AX401" s="1"/>
      <c r="AY401" s="1"/>
      <c r="AZ401" s="1"/>
      <c r="BA401" s="1"/>
    </row>
    <row r="402" spans="1:53" x14ac:dyDescent="0.3">
      <c r="A402" s="1"/>
      <c r="B402" s="11"/>
      <c r="C402" s="69" t="s">
        <v>549</v>
      </c>
      <c r="D402" s="1"/>
      <c r="E402" s="1"/>
      <c r="F402" s="1"/>
      <c r="G402" s="1"/>
      <c r="H402" s="43"/>
      <c r="I402" s="46"/>
      <c r="J402" s="46"/>
      <c r="K402" s="46"/>
      <c r="L402" s="46"/>
      <c r="M402" s="46"/>
      <c r="N402" s="46"/>
      <c r="O402" s="46"/>
      <c r="P402" s="46"/>
      <c r="Q402" s="46"/>
      <c r="R402" s="46"/>
      <c r="S402" s="46"/>
      <c r="T402" s="46"/>
      <c r="U402" s="46"/>
      <c r="V402" s="46"/>
      <c r="W402" s="62"/>
      <c r="X402" s="67"/>
      <c r="Y402" s="68" t="str" cm="1">
        <f t="array" ref="Y402">CalculerNouvelleDate(I402,X402)</f>
        <v/>
      </c>
      <c r="Z402" s="68" t="str" cm="1">
        <f t="array" ref="Z402">CalculerNouvelleDate(J402,Y402)</f>
        <v/>
      </c>
      <c r="AA402" s="68" t="str" cm="1">
        <f t="array" ref="AA402">CalculerNouvelleDate(K402,Z402)</f>
        <v/>
      </c>
      <c r="AB402" s="68" t="str" cm="1">
        <f t="array" ref="AB402">CalculerNouvelleDate(L402,AA402)</f>
        <v/>
      </c>
      <c r="AC402" s="68" t="str" cm="1">
        <f t="array" ref="AC402">CalculerNouvelleDate(M402,AB402)</f>
        <v/>
      </c>
      <c r="AD402" s="68" t="str" cm="1">
        <f t="array" ref="AD402">CalculerNouvelleDate(N402,AC402)</f>
        <v/>
      </c>
      <c r="AE402" s="68" t="str" cm="1">
        <f t="array" ref="AE402">CalculerNouvelleDate(O402,AD402)</f>
        <v/>
      </c>
      <c r="AF402" s="68" t="str" cm="1">
        <f t="array" ref="AF402">CalculerNouvelleDate(P402,AE402)</f>
        <v/>
      </c>
      <c r="AG402" s="68" t="str" cm="1">
        <f t="array" ref="AG402">CalculerNouvelleDate(Q402,AF402)</f>
        <v/>
      </c>
      <c r="AH402" s="68" t="str" cm="1">
        <f t="array" ref="AH402">CalculerNouvelleDate(R402,AG402)</f>
        <v/>
      </c>
      <c r="AI402" s="68" t="str" cm="1">
        <f t="array" ref="AI402">CalculerNouvelleDate(S402,AH402)</f>
        <v/>
      </c>
      <c r="AJ402" s="68" t="str" cm="1">
        <f t="array" ref="AJ402">CalculerNouvelleDate(T402,AI402)</f>
        <v/>
      </c>
      <c r="AK402" s="68" t="str" cm="1">
        <f t="array" ref="AK402">CalculerNouvelleDate(U402,AJ402)</f>
        <v/>
      </c>
      <c r="AL402" s="68" t="str" cm="1">
        <f t="array" ref="AL402">CalculerNouvelleDate(V402,AK402)</f>
        <v/>
      </c>
      <c r="AM402" s="83" t="str" cm="1">
        <f t="array" ref="AM402">CorrespondanceDAte(X402:AL402,D403)</f>
        <v>0</v>
      </c>
      <c r="AN402" s="1"/>
      <c r="AO402" s="1"/>
      <c r="AP402" s="1"/>
      <c r="AQ402" s="1"/>
      <c r="AR402" s="1"/>
      <c r="AS402" s="1"/>
      <c r="AT402" s="1"/>
      <c r="AU402" s="1"/>
      <c r="AV402" s="1"/>
      <c r="AW402" s="1"/>
      <c r="AX402" s="1"/>
      <c r="AY402" s="1"/>
      <c r="AZ402" s="1"/>
      <c r="BA402" s="1"/>
    </row>
    <row r="403" spans="1:53" x14ac:dyDescent="0.3">
      <c r="A403" s="1"/>
      <c r="B403" s="11"/>
      <c r="C403" s="69" t="s">
        <v>536</v>
      </c>
      <c r="D403" s="1"/>
      <c r="E403" s="1"/>
      <c r="F403" s="1"/>
      <c r="G403" s="1"/>
      <c r="H403" s="43"/>
      <c r="I403" s="46"/>
      <c r="J403" s="46"/>
      <c r="K403" s="46"/>
      <c r="L403" s="46"/>
      <c r="M403" s="46"/>
      <c r="N403" s="46"/>
      <c r="O403" s="46"/>
      <c r="P403" s="46"/>
      <c r="Q403" s="46"/>
      <c r="R403" s="46"/>
      <c r="S403" s="46"/>
      <c r="T403" s="46"/>
      <c r="U403" s="46"/>
      <c r="V403" s="46"/>
      <c r="W403" s="62"/>
      <c r="X403" s="67"/>
      <c r="Y403" s="68" t="str" cm="1">
        <f t="array" ref="Y403">CalculerNouvelleDate(I403,X403)</f>
        <v/>
      </c>
      <c r="Z403" s="68" t="str" cm="1">
        <f t="array" ref="Z403">CalculerNouvelleDate(J403,Y403)</f>
        <v/>
      </c>
      <c r="AA403" s="68" t="str" cm="1">
        <f t="array" ref="AA403">CalculerNouvelleDate(K403,Z403)</f>
        <v/>
      </c>
      <c r="AB403" s="68" t="str" cm="1">
        <f t="array" ref="AB403">CalculerNouvelleDate(L403,AA403)</f>
        <v/>
      </c>
      <c r="AC403" s="68" t="str" cm="1">
        <f t="array" ref="AC403">CalculerNouvelleDate(M403,AB403)</f>
        <v/>
      </c>
      <c r="AD403" s="68" t="str" cm="1">
        <f t="array" ref="AD403">CalculerNouvelleDate(N403,AC403)</f>
        <v/>
      </c>
      <c r="AE403" s="68" t="str" cm="1">
        <f t="array" ref="AE403">CalculerNouvelleDate(O403,AD403)</f>
        <v/>
      </c>
      <c r="AF403" s="68" t="str" cm="1">
        <f t="array" ref="AF403">CalculerNouvelleDate(P403,AE403)</f>
        <v/>
      </c>
      <c r="AG403" s="68" t="str" cm="1">
        <f t="array" ref="AG403">CalculerNouvelleDate(Q403,AF403)</f>
        <v/>
      </c>
      <c r="AH403" s="68" t="str" cm="1">
        <f t="array" ref="AH403">CalculerNouvelleDate(R403,AG403)</f>
        <v/>
      </c>
      <c r="AI403" s="68" t="str" cm="1">
        <f t="array" ref="AI403">CalculerNouvelleDate(S403,AH403)</f>
        <v/>
      </c>
      <c r="AJ403" s="68" t="str" cm="1">
        <f t="array" ref="AJ403">CalculerNouvelleDate(T403,AI403)</f>
        <v/>
      </c>
      <c r="AK403" s="68" t="str" cm="1">
        <f t="array" ref="AK403">CalculerNouvelleDate(U403,AJ403)</f>
        <v/>
      </c>
      <c r="AL403" s="68" t="str" cm="1">
        <f t="array" ref="AL403">CalculerNouvelleDate(V403,AK403)</f>
        <v/>
      </c>
      <c r="AM403" s="83" t="str" cm="1">
        <f t="array" ref="AM403">CorrespondanceDAte(X403:AL403,D404)</f>
        <v>0</v>
      </c>
      <c r="AN403" s="1"/>
      <c r="AO403" s="1"/>
      <c r="AP403" s="1"/>
      <c r="AQ403" s="1"/>
      <c r="AR403" s="1"/>
      <c r="AS403" s="1"/>
      <c r="AT403" s="1"/>
      <c r="AU403" s="1"/>
      <c r="AV403" s="1"/>
      <c r="AW403" s="1"/>
      <c r="AX403" s="1"/>
      <c r="AY403" s="1"/>
      <c r="AZ403" s="1"/>
      <c r="BA403" s="1"/>
    </row>
    <row r="404" spans="1:53" x14ac:dyDescent="0.3">
      <c r="A404" s="1"/>
      <c r="B404" s="11"/>
      <c r="C404" s="69" t="s">
        <v>550</v>
      </c>
      <c r="D404" s="1"/>
      <c r="E404" s="1"/>
      <c r="F404" s="1"/>
      <c r="G404" s="1"/>
      <c r="H404" s="43"/>
      <c r="I404" s="46"/>
      <c r="J404" s="46"/>
      <c r="K404" s="46"/>
      <c r="L404" s="46"/>
      <c r="M404" s="46"/>
      <c r="N404" s="46"/>
      <c r="O404" s="46"/>
      <c r="P404" s="46"/>
      <c r="Q404" s="46"/>
      <c r="R404" s="46"/>
      <c r="S404" s="46"/>
      <c r="T404" s="46"/>
      <c r="U404" s="46"/>
      <c r="V404" s="46"/>
      <c r="W404" s="62"/>
      <c r="X404" s="67"/>
      <c r="Y404" s="68" t="str" cm="1">
        <f t="array" ref="Y404">CalculerNouvelleDate(I404,X404)</f>
        <v/>
      </c>
      <c r="Z404" s="68" t="str" cm="1">
        <f t="array" ref="Z404">CalculerNouvelleDate(J404,Y404)</f>
        <v/>
      </c>
      <c r="AA404" s="68" t="str" cm="1">
        <f t="array" ref="AA404">CalculerNouvelleDate(K404,Z404)</f>
        <v/>
      </c>
      <c r="AB404" s="68" t="str" cm="1">
        <f t="array" ref="AB404">CalculerNouvelleDate(L404,AA404)</f>
        <v/>
      </c>
      <c r="AC404" s="68" t="str" cm="1">
        <f t="array" ref="AC404">CalculerNouvelleDate(M404,AB404)</f>
        <v/>
      </c>
      <c r="AD404" s="68" t="str" cm="1">
        <f t="array" ref="AD404">CalculerNouvelleDate(N404,AC404)</f>
        <v/>
      </c>
      <c r="AE404" s="68" t="str" cm="1">
        <f t="array" ref="AE404">CalculerNouvelleDate(O404,AD404)</f>
        <v/>
      </c>
      <c r="AF404" s="68" t="str" cm="1">
        <f t="array" ref="AF404">CalculerNouvelleDate(P404,AE404)</f>
        <v/>
      </c>
      <c r="AG404" s="68" t="str" cm="1">
        <f t="array" ref="AG404">CalculerNouvelleDate(Q404,AF404)</f>
        <v/>
      </c>
      <c r="AH404" s="68" t="str" cm="1">
        <f t="array" ref="AH404">CalculerNouvelleDate(R404,AG404)</f>
        <v/>
      </c>
      <c r="AI404" s="68" t="str" cm="1">
        <f t="array" ref="AI404">CalculerNouvelleDate(S404,AH404)</f>
        <v/>
      </c>
      <c r="AJ404" s="68" t="str" cm="1">
        <f t="array" ref="AJ404">CalculerNouvelleDate(T404,AI404)</f>
        <v/>
      </c>
      <c r="AK404" s="68" t="str" cm="1">
        <f t="array" ref="AK404">CalculerNouvelleDate(U404,AJ404)</f>
        <v/>
      </c>
      <c r="AL404" s="68" t="str" cm="1">
        <f t="array" ref="AL404">CalculerNouvelleDate(V404,AK404)</f>
        <v/>
      </c>
      <c r="AM404" s="83" t="str" cm="1">
        <f t="array" ref="AM404">CorrespondanceDAte(X404:AL404,D405)</f>
        <v>0</v>
      </c>
      <c r="AN404" s="1"/>
      <c r="AO404" s="1"/>
      <c r="AP404" s="1"/>
      <c r="AQ404" s="1"/>
      <c r="AR404" s="1"/>
      <c r="AS404" s="1"/>
      <c r="AT404" s="1"/>
      <c r="AU404" s="1"/>
      <c r="AV404" s="1"/>
      <c r="AW404" s="1"/>
      <c r="AX404" s="1"/>
      <c r="AY404" s="1"/>
      <c r="AZ404" s="1"/>
      <c r="BA404" s="1"/>
    </row>
    <row r="405" spans="1:53" x14ac:dyDescent="0.3">
      <c r="A405" s="1"/>
      <c r="B405" s="11"/>
      <c r="C405" s="1" t="s">
        <v>551</v>
      </c>
      <c r="D405" s="1"/>
      <c r="E405" s="1"/>
      <c r="F405" s="1"/>
      <c r="G405" s="1"/>
      <c r="H405" s="43"/>
      <c r="I405" s="46"/>
      <c r="J405" s="46"/>
      <c r="K405" s="46"/>
      <c r="L405" s="46"/>
      <c r="M405" s="46"/>
      <c r="N405" s="46"/>
      <c r="O405" s="46"/>
      <c r="P405" s="46"/>
      <c r="Q405" s="46"/>
      <c r="R405" s="46"/>
      <c r="S405" s="46"/>
      <c r="T405" s="46"/>
      <c r="U405" s="46"/>
      <c r="V405" s="46"/>
      <c r="W405" s="62"/>
      <c r="X405" s="67"/>
      <c r="Y405" s="68" t="str" cm="1">
        <f t="array" ref="Y405">CalculerNouvelleDate(I405,X405)</f>
        <v/>
      </c>
      <c r="Z405" s="68" t="str" cm="1">
        <f t="array" ref="Z405">CalculerNouvelleDate(J405,Y405)</f>
        <v/>
      </c>
      <c r="AA405" s="68" t="str" cm="1">
        <f t="array" ref="AA405">CalculerNouvelleDate(K405,Z405)</f>
        <v/>
      </c>
      <c r="AB405" s="68" t="str" cm="1">
        <f t="array" ref="AB405">CalculerNouvelleDate(L405,AA405)</f>
        <v/>
      </c>
      <c r="AC405" s="68" t="str" cm="1">
        <f t="array" ref="AC405">CalculerNouvelleDate(M405,AB405)</f>
        <v/>
      </c>
      <c r="AD405" s="68" t="str" cm="1">
        <f t="array" ref="AD405">CalculerNouvelleDate(N405,AC405)</f>
        <v/>
      </c>
      <c r="AE405" s="68" t="str" cm="1">
        <f t="array" ref="AE405">CalculerNouvelleDate(O405,AD405)</f>
        <v/>
      </c>
      <c r="AF405" s="68" t="str" cm="1">
        <f t="array" ref="AF405">CalculerNouvelleDate(P405,AE405)</f>
        <v/>
      </c>
      <c r="AG405" s="68" t="str" cm="1">
        <f t="array" ref="AG405">CalculerNouvelleDate(Q405,AF405)</f>
        <v/>
      </c>
      <c r="AH405" s="68" t="str" cm="1">
        <f t="array" ref="AH405">CalculerNouvelleDate(R405,AG405)</f>
        <v/>
      </c>
      <c r="AI405" s="68" t="str" cm="1">
        <f t="array" ref="AI405">CalculerNouvelleDate(S405,AH405)</f>
        <v/>
      </c>
      <c r="AJ405" s="68" t="str" cm="1">
        <f t="array" ref="AJ405">CalculerNouvelleDate(T405,AI405)</f>
        <v/>
      </c>
      <c r="AK405" s="68" t="str" cm="1">
        <f t="array" ref="AK405">CalculerNouvelleDate(U405,AJ405)</f>
        <v/>
      </c>
      <c r="AL405" s="68" t="str" cm="1">
        <f t="array" ref="AL405">CalculerNouvelleDate(V405,AK405)</f>
        <v/>
      </c>
      <c r="AM405" s="83" t="str" cm="1">
        <f t="array" ref="AM405">CorrespondanceDAte(X405:AL405,D406)</f>
        <v>0</v>
      </c>
      <c r="AN405" s="1"/>
      <c r="AO405" s="1"/>
      <c r="AP405" s="1"/>
      <c r="AQ405" s="1"/>
      <c r="AR405" s="1"/>
      <c r="AS405" s="1"/>
      <c r="AT405" s="1"/>
      <c r="AU405" s="1"/>
      <c r="AV405" s="1"/>
      <c r="AW405" s="1"/>
      <c r="AX405" s="1"/>
      <c r="AY405" s="1"/>
      <c r="AZ405" s="1"/>
      <c r="BA405" s="1"/>
    </row>
    <row r="406" spans="1:53" x14ac:dyDescent="0.3">
      <c r="A406" s="1"/>
      <c r="B406" s="11">
        <v>4</v>
      </c>
      <c r="C406" s="1" t="s">
        <v>95</v>
      </c>
      <c r="D406" s="1"/>
      <c r="E406" s="1"/>
      <c r="F406" s="1"/>
      <c r="G406" s="1"/>
      <c r="H406" s="43"/>
      <c r="I406" s="1"/>
      <c r="J406" s="1"/>
      <c r="K406" s="1"/>
      <c r="L406" s="1"/>
      <c r="M406" s="1"/>
      <c r="N406" s="1"/>
      <c r="O406" s="1"/>
      <c r="P406" s="1"/>
      <c r="Q406" s="1"/>
      <c r="R406" s="1"/>
      <c r="S406" s="1"/>
      <c r="T406" s="1"/>
      <c r="U406" s="1"/>
      <c r="V406" s="1"/>
      <c r="W406" s="11"/>
      <c r="X406" s="67"/>
      <c r="Y406" s="68" t="str" cm="1">
        <f t="array" ref="Y406">CalculerNouvelleDate(I406,X406)</f>
        <v/>
      </c>
      <c r="Z406" s="68" t="str" cm="1">
        <f t="array" ref="Z406">CalculerNouvelleDate(J406,Y406)</f>
        <v/>
      </c>
      <c r="AA406" s="68" t="str" cm="1">
        <f t="array" ref="AA406">CalculerNouvelleDate(K406,Z406)</f>
        <v/>
      </c>
      <c r="AB406" s="68" t="str" cm="1">
        <f t="array" ref="AB406">CalculerNouvelleDate(L406,AA406)</f>
        <v/>
      </c>
      <c r="AC406" s="68" t="str" cm="1">
        <f t="array" ref="AC406">CalculerNouvelleDate(M406,AB406)</f>
        <v/>
      </c>
      <c r="AD406" s="68" t="str" cm="1">
        <f t="array" ref="AD406">CalculerNouvelleDate(N406,AC406)</f>
        <v/>
      </c>
      <c r="AE406" s="68" t="str" cm="1">
        <f t="array" ref="AE406">CalculerNouvelleDate(O406,AD406)</f>
        <v/>
      </c>
      <c r="AF406" s="68" t="str" cm="1">
        <f t="array" ref="AF406">CalculerNouvelleDate(P406,AE406)</f>
        <v/>
      </c>
      <c r="AG406" s="68" t="str" cm="1">
        <f t="array" ref="AG406">CalculerNouvelleDate(Q406,AF406)</f>
        <v/>
      </c>
      <c r="AH406" s="68" t="str" cm="1">
        <f t="array" ref="AH406">CalculerNouvelleDate(R406,AG406)</f>
        <v/>
      </c>
      <c r="AI406" s="68" t="str" cm="1">
        <f t="array" ref="AI406">CalculerNouvelleDate(S406,AH406)</f>
        <v/>
      </c>
      <c r="AJ406" s="68" t="str" cm="1">
        <f t="array" ref="AJ406">CalculerNouvelleDate(T406,AI406)</f>
        <v/>
      </c>
      <c r="AK406" s="68" t="str" cm="1">
        <f t="array" ref="AK406">CalculerNouvelleDate(U406,AJ406)</f>
        <v/>
      </c>
      <c r="AL406" s="68" t="str" cm="1">
        <f t="array" ref="AL406">CalculerNouvelleDate(V406,AK406)</f>
        <v/>
      </c>
      <c r="AM406" s="83" t="str" cm="1">
        <f t="array" ref="AM406">CorrespondanceDAte(X406:AL406,D407)</f>
        <v>0</v>
      </c>
      <c r="AN406" s="1"/>
      <c r="AO406" s="1"/>
      <c r="AP406" s="1"/>
      <c r="AQ406" s="1"/>
      <c r="AR406" s="1"/>
      <c r="AS406" s="1"/>
      <c r="AT406" s="1"/>
      <c r="AU406" s="1"/>
      <c r="AV406" s="1"/>
      <c r="AW406" s="1"/>
      <c r="AX406" s="1"/>
      <c r="AY406" s="1"/>
      <c r="AZ406" s="1"/>
      <c r="BA406" s="1"/>
    </row>
    <row r="407" spans="1:53" x14ac:dyDescent="0.3">
      <c r="A407" s="1"/>
      <c r="B407" s="11"/>
      <c r="C407" s="69" t="s">
        <v>556</v>
      </c>
      <c r="D407" s="1"/>
      <c r="E407" s="1"/>
      <c r="F407" s="1"/>
      <c r="G407" s="1"/>
      <c r="H407" s="43"/>
      <c r="I407" s="46"/>
      <c r="J407" s="46"/>
      <c r="K407" s="46"/>
      <c r="L407" s="46"/>
      <c r="M407" s="46"/>
      <c r="N407" s="46"/>
      <c r="O407" s="46"/>
      <c r="P407" s="46"/>
      <c r="Q407" s="46"/>
      <c r="R407" s="46"/>
      <c r="S407" s="46"/>
      <c r="T407" s="46"/>
      <c r="U407" s="46"/>
      <c r="V407" s="46"/>
      <c r="W407" s="62"/>
      <c r="X407" s="67"/>
      <c r="Y407" s="68" t="str" cm="1">
        <f t="array" ref="Y407">CalculerNouvelleDate(I407,X407)</f>
        <v/>
      </c>
      <c r="Z407" s="68" t="str" cm="1">
        <f t="array" ref="Z407">CalculerNouvelleDate(J407,Y407)</f>
        <v/>
      </c>
      <c r="AA407" s="68" t="str" cm="1">
        <f t="array" ref="AA407">CalculerNouvelleDate(K407,Z407)</f>
        <v/>
      </c>
      <c r="AB407" s="68" t="str" cm="1">
        <f t="array" ref="AB407">CalculerNouvelleDate(L407,AA407)</f>
        <v/>
      </c>
      <c r="AC407" s="68" t="str" cm="1">
        <f t="array" ref="AC407">CalculerNouvelleDate(M407,AB407)</f>
        <v/>
      </c>
      <c r="AD407" s="68" t="str" cm="1">
        <f t="array" ref="AD407">CalculerNouvelleDate(N407,AC407)</f>
        <v/>
      </c>
      <c r="AE407" s="68" t="str" cm="1">
        <f t="array" ref="AE407">CalculerNouvelleDate(O407,AD407)</f>
        <v/>
      </c>
      <c r="AF407" s="68" t="str" cm="1">
        <f t="array" ref="AF407">CalculerNouvelleDate(P407,AE407)</f>
        <v/>
      </c>
      <c r="AG407" s="68" t="str" cm="1">
        <f t="array" ref="AG407">CalculerNouvelleDate(Q407,AF407)</f>
        <v/>
      </c>
      <c r="AH407" s="68" t="str" cm="1">
        <f t="array" ref="AH407">CalculerNouvelleDate(R407,AG407)</f>
        <v/>
      </c>
      <c r="AI407" s="68" t="str" cm="1">
        <f t="array" ref="AI407">CalculerNouvelleDate(S407,AH407)</f>
        <v/>
      </c>
      <c r="AJ407" s="68" t="str" cm="1">
        <f t="array" ref="AJ407">CalculerNouvelleDate(T407,AI407)</f>
        <v/>
      </c>
      <c r="AK407" s="68" t="str" cm="1">
        <f t="array" ref="AK407">CalculerNouvelleDate(U407,AJ407)</f>
        <v/>
      </c>
      <c r="AL407" s="68" t="str" cm="1">
        <f t="array" ref="AL407">CalculerNouvelleDate(V407,AK407)</f>
        <v/>
      </c>
      <c r="AM407" s="83" t="str" cm="1">
        <f t="array" ref="AM407">CorrespondanceDAte(X407:AL407,D408)</f>
        <v>0</v>
      </c>
      <c r="AN407" s="1"/>
      <c r="AO407" s="1"/>
      <c r="AP407" s="1"/>
      <c r="AQ407" s="1"/>
      <c r="AR407" s="1"/>
      <c r="AS407" s="1"/>
      <c r="AT407" s="1"/>
      <c r="AU407" s="1"/>
      <c r="AV407" s="1"/>
      <c r="AW407" s="1"/>
      <c r="AX407" s="1"/>
      <c r="AY407" s="1"/>
      <c r="AZ407" s="1"/>
      <c r="BA407" s="1"/>
    </row>
    <row r="408" spans="1:53" x14ac:dyDescent="0.3">
      <c r="A408" s="1"/>
      <c r="B408" s="11"/>
      <c r="C408" s="69" t="s">
        <v>537</v>
      </c>
      <c r="D408" s="1"/>
      <c r="E408" s="1"/>
      <c r="F408" s="1"/>
      <c r="G408" s="1"/>
      <c r="H408" s="43"/>
      <c r="I408" s="46"/>
      <c r="J408" s="46"/>
      <c r="K408" s="46"/>
      <c r="L408" s="46"/>
      <c r="M408" s="46"/>
      <c r="N408" s="46"/>
      <c r="O408" s="46"/>
      <c r="P408" s="46"/>
      <c r="Q408" s="46"/>
      <c r="R408" s="46"/>
      <c r="S408" s="46"/>
      <c r="T408" s="46"/>
      <c r="U408" s="46"/>
      <c r="V408" s="46"/>
      <c r="W408" s="62"/>
      <c r="X408" s="67"/>
      <c r="Y408" s="68" t="str" cm="1">
        <f t="array" ref="Y408">CalculerNouvelleDate(I408,X408)</f>
        <v/>
      </c>
      <c r="Z408" s="68" t="str" cm="1">
        <f t="array" ref="Z408">CalculerNouvelleDate(J408,Y408)</f>
        <v/>
      </c>
      <c r="AA408" s="68" t="str" cm="1">
        <f t="array" ref="AA408">CalculerNouvelleDate(K408,Z408)</f>
        <v/>
      </c>
      <c r="AB408" s="68" t="str" cm="1">
        <f t="array" ref="AB408">CalculerNouvelleDate(L408,AA408)</f>
        <v/>
      </c>
      <c r="AC408" s="68" t="str" cm="1">
        <f t="array" ref="AC408">CalculerNouvelleDate(M408,AB408)</f>
        <v/>
      </c>
      <c r="AD408" s="68" t="str" cm="1">
        <f t="array" ref="AD408">CalculerNouvelleDate(N408,AC408)</f>
        <v/>
      </c>
      <c r="AE408" s="68" t="str" cm="1">
        <f t="array" ref="AE408">CalculerNouvelleDate(O408,AD408)</f>
        <v/>
      </c>
      <c r="AF408" s="68" t="str" cm="1">
        <f t="array" ref="AF408">CalculerNouvelleDate(P408,AE408)</f>
        <v/>
      </c>
      <c r="AG408" s="68" t="str" cm="1">
        <f t="array" ref="AG408">CalculerNouvelleDate(Q408,AF408)</f>
        <v/>
      </c>
      <c r="AH408" s="68" t="str" cm="1">
        <f t="array" ref="AH408">CalculerNouvelleDate(R408,AG408)</f>
        <v/>
      </c>
      <c r="AI408" s="68" t="str" cm="1">
        <f t="array" ref="AI408">CalculerNouvelleDate(S408,AH408)</f>
        <v/>
      </c>
      <c r="AJ408" s="68" t="str" cm="1">
        <f t="array" ref="AJ408">CalculerNouvelleDate(T408,AI408)</f>
        <v/>
      </c>
      <c r="AK408" s="68" t="str" cm="1">
        <f t="array" ref="AK408">CalculerNouvelleDate(U408,AJ408)</f>
        <v/>
      </c>
      <c r="AL408" s="68" t="str" cm="1">
        <f t="array" ref="AL408">CalculerNouvelleDate(V408,AK408)</f>
        <v/>
      </c>
      <c r="AM408" s="83" t="str" cm="1">
        <f t="array" ref="AM408">CorrespondanceDAte(X408:AL408,D409)</f>
        <v>0</v>
      </c>
      <c r="AN408" s="1"/>
      <c r="AO408" s="1"/>
      <c r="AP408" s="1"/>
      <c r="AQ408" s="1"/>
      <c r="AR408" s="1"/>
      <c r="AS408" s="1"/>
      <c r="AT408" s="1"/>
      <c r="AU408" s="1"/>
      <c r="AV408" s="1"/>
      <c r="AW408" s="1"/>
      <c r="AX408" s="1"/>
      <c r="AY408" s="1"/>
      <c r="AZ408" s="1"/>
      <c r="BA408" s="1"/>
    </row>
    <row r="409" spans="1:53" x14ac:dyDescent="0.3">
      <c r="A409" s="1"/>
      <c r="B409" s="11"/>
      <c r="C409" s="69" t="s">
        <v>557</v>
      </c>
      <c r="D409" s="1"/>
      <c r="E409" s="1"/>
      <c r="F409" s="1"/>
      <c r="G409" s="1"/>
      <c r="H409" s="43"/>
      <c r="I409" s="46"/>
      <c r="J409" s="46"/>
      <c r="K409" s="46"/>
      <c r="L409" s="46"/>
      <c r="M409" s="46"/>
      <c r="N409" s="46"/>
      <c r="O409" s="46"/>
      <c r="P409" s="46"/>
      <c r="Q409" s="46"/>
      <c r="R409" s="46"/>
      <c r="S409" s="46"/>
      <c r="T409" s="46"/>
      <c r="U409" s="46"/>
      <c r="V409" s="46"/>
      <c r="W409" s="62"/>
      <c r="X409" s="67"/>
      <c r="Y409" s="68" t="str" cm="1">
        <f t="array" ref="Y409">CalculerNouvelleDate(I409,X409)</f>
        <v/>
      </c>
      <c r="Z409" s="68" t="str" cm="1">
        <f t="array" ref="Z409">CalculerNouvelleDate(J409,Y409)</f>
        <v/>
      </c>
      <c r="AA409" s="68" t="str" cm="1">
        <f t="array" ref="AA409">CalculerNouvelleDate(K409,Z409)</f>
        <v/>
      </c>
      <c r="AB409" s="68" t="str" cm="1">
        <f t="array" ref="AB409">CalculerNouvelleDate(L409,AA409)</f>
        <v/>
      </c>
      <c r="AC409" s="68" t="str" cm="1">
        <f t="array" ref="AC409">CalculerNouvelleDate(M409,AB409)</f>
        <v/>
      </c>
      <c r="AD409" s="68" t="str" cm="1">
        <f t="array" ref="AD409">CalculerNouvelleDate(N409,AC409)</f>
        <v/>
      </c>
      <c r="AE409" s="68" t="str" cm="1">
        <f t="array" ref="AE409">CalculerNouvelleDate(O409,AD409)</f>
        <v/>
      </c>
      <c r="AF409" s="68" t="str" cm="1">
        <f t="array" ref="AF409">CalculerNouvelleDate(P409,AE409)</f>
        <v/>
      </c>
      <c r="AG409" s="68" t="str" cm="1">
        <f t="array" ref="AG409">CalculerNouvelleDate(Q409,AF409)</f>
        <v/>
      </c>
      <c r="AH409" s="68" t="str" cm="1">
        <f t="array" ref="AH409">CalculerNouvelleDate(R409,AG409)</f>
        <v/>
      </c>
      <c r="AI409" s="68" t="str" cm="1">
        <f t="array" ref="AI409">CalculerNouvelleDate(S409,AH409)</f>
        <v/>
      </c>
      <c r="AJ409" s="68" t="str" cm="1">
        <f t="array" ref="AJ409">CalculerNouvelleDate(T409,AI409)</f>
        <v/>
      </c>
      <c r="AK409" s="68" t="str" cm="1">
        <f t="array" ref="AK409">CalculerNouvelleDate(U409,AJ409)</f>
        <v/>
      </c>
      <c r="AL409" s="68" t="str" cm="1">
        <f t="array" ref="AL409">CalculerNouvelleDate(V409,AK409)</f>
        <v/>
      </c>
      <c r="AM409" s="83" t="str" cm="1">
        <f t="array" ref="AM409">CorrespondanceDAte(X409:AL409,D410)</f>
        <v>0</v>
      </c>
      <c r="AN409" s="1"/>
      <c r="AO409" s="1"/>
      <c r="AP409" s="1"/>
      <c r="AQ409" s="1"/>
      <c r="AR409" s="1"/>
      <c r="AS409" s="1"/>
      <c r="AT409" s="1"/>
      <c r="AU409" s="1"/>
      <c r="AV409" s="1"/>
      <c r="AW409" s="1"/>
      <c r="AX409" s="1"/>
      <c r="AY409" s="1"/>
      <c r="AZ409" s="1"/>
      <c r="BA409" s="1"/>
    </row>
    <row r="410" spans="1:53" x14ac:dyDescent="0.3">
      <c r="A410" s="1"/>
      <c r="B410" s="11">
        <v>5</v>
      </c>
      <c r="C410" s="1" t="s">
        <v>94</v>
      </c>
      <c r="D410" s="1"/>
      <c r="E410" s="1"/>
      <c r="F410" s="1"/>
      <c r="G410" s="1"/>
      <c r="H410" s="43"/>
      <c r="I410" s="1"/>
      <c r="J410" s="1"/>
      <c r="K410" s="1"/>
      <c r="L410" s="1"/>
      <c r="M410" s="1"/>
      <c r="N410" s="1"/>
      <c r="O410" s="1"/>
      <c r="P410" s="1"/>
      <c r="Q410" s="1"/>
      <c r="R410" s="1"/>
      <c r="S410" s="1"/>
      <c r="T410" s="1"/>
      <c r="U410" s="1"/>
      <c r="V410" s="1"/>
      <c r="W410" s="11"/>
      <c r="X410" s="67"/>
      <c r="Y410" s="68" t="str" cm="1">
        <f t="array" ref="Y410">CalculerNouvelleDate(I410,X410)</f>
        <v/>
      </c>
      <c r="Z410" s="68" t="str" cm="1">
        <f t="array" ref="Z410">CalculerNouvelleDate(J410,Y410)</f>
        <v/>
      </c>
      <c r="AA410" s="68" t="str" cm="1">
        <f t="array" ref="AA410">CalculerNouvelleDate(K410,Z410)</f>
        <v/>
      </c>
      <c r="AB410" s="68" t="str" cm="1">
        <f t="array" ref="AB410">CalculerNouvelleDate(L410,AA410)</f>
        <v/>
      </c>
      <c r="AC410" s="68" t="str" cm="1">
        <f t="array" ref="AC410">CalculerNouvelleDate(M410,AB410)</f>
        <v/>
      </c>
      <c r="AD410" s="68" t="str" cm="1">
        <f t="array" ref="AD410">CalculerNouvelleDate(N410,AC410)</f>
        <v/>
      </c>
      <c r="AE410" s="68" t="str" cm="1">
        <f t="array" ref="AE410">CalculerNouvelleDate(O410,AD410)</f>
        <v/>
      </c>
      <c r="AF410" s="68" t="str" cm="1">
        <f t="array" ref="AF410">CalculerNouvelleDate(P410,AE410)</f>
        <v/>
      </c>
      <c r="AG410" s="68" t="str" cm="1">
        <f t="array" ref="AG410">CalculerNouvelleDate(Q410,AF410)</f>
        <v/>
      </c>
      <c r="AH410" s="68" t="str" cm="1">
        <f t="array" ref="AH410">CalculerNouvelleDate(R410,AG410)</f>
        <v/>
      </c>
      <c r="AI410" s="68" t="str" cm="1">
        <f t="array" ref="AI410">CalculerNouvelleDate(S410,AH410)</f>
        <v/>
      </c>
      <c r="AJ410" s="68" t="str" cm="1">
        <f t="array" ref="AJ410">CalculerNouvelleDate(T410,AI410)</f>
        <v/>
      </c>
      <c r="AK410" s="68" t="str" cm="1">
        <f t="array" ref="AK410">CalculerNouvelleDate(U410,AJ410)</f>
        <v/>
      </c>
      <c r="AL410" s="68" t="str" cm="1">
        <f t="array" ref="AL410">CalculerNouvelleDate(V410,AK410)</f>
        <v/>
      </c>
      <c r="AM410" s="83" t="str" cm="1">
        <f t="array" ref="AM410">CorrespondanceDAte(X410:AL410,D411)</f>
        <v>0</v>
      </c>
      <c r="AN410" s="1"/>
      <c r="AO410" s="1"/>
      <c r="AP410" s="1"/>
      <c r="AQ410" s="1"/>
      <c r="AR410" s="1"/>
      <c r="AS410" s="1"/>
      <c r="AT410" s="1"/>
      <c r="AU410" s="1"/>
      <c r="AV410" s="1"/>
      <c r="AW410" s="1"/>
      <c r="AX410" s="1"/>
      <c r="AY410" s="1"/>
      <c r="AZ410" s="1"/>
      <c r="BA410" s="1"/>
    </row>
    <row r="411" spans="1:53" x14ac:dyDescent="0.3">
      <c r="A411" s="1"/>
      <c r="B411" s="11"/>
      <c r="C411" s="1" t="s">
        <v>560</v>
      </c>
      <c r="D411" s="1"/>
      <c r="E411" s="1"/>
      <c r="F411" s="1"/>
      <c r="G411" s="1"/>
      <c r="H411" s="43"/>
      <c r="I411" s="46"/>
      <c r="J411" s="46"/>
      <c r="K411" s="46"/>
      <c r="L411" s="46"/>
      <c r="M411" s="46"/>
      <c r="N411" s="46"/>
      <c r="O411" s="46"/>
      <c r="P411" s="46"/>
      <c r="Q411" s="46"/>
      <c r="R411" s="46"/>
      <c r="S411" s="46"/>
      <c r="T411" s="46"/>
      <c r="U411" s="46"/>
      <c r="V411" s="46"/>
      <c r="W411" s="62"/>
      <c r="X411" s="67"/>
      <c r="Y411" s="68" t="str" cm="1">
        <f t="array" ref="Y411">CalculerNouvelleDate(I411,X411)</f>
        <v/>
      </c>
      <c r="Z411" s="68" t="str" cm="1">
        <f t="array" ref="Z411">CalculerNouvelleDate(J411,Y411)</f>
        <v/>
      </c>
      <c r="AA411" s="68" t="str" cm="1">
        <f t="array" ref="AA411">CalculerNouvelleDate(K411,Z411)</f>
        <v/>
      </c>
      <c r="AB411" s="68" t="str" cm="1">
        <f t="array" ref="AB411">CalculerNouvelleDate(L411,AA411)</f>
        <v/>
      </c>
      <c r="AC411" s="68" t="str" cm="1">
        <f t="array" ref="AC411">CalculerNouvelleDate(M411,AB411)</f>
        <v/>
      </c>
      <c r="AD411" s="68" t="str" cm="1">
        <f t="array" ref="AD411">CalculerNouvelleDate(N411,AC411)</f>
        <v/>
      </c>
      <c r="AE411" s="68" t="str" cm="1">
        <f t="array" ref="AE411">CalculerNouvelleDate(O411,AD411)</f>
        <v/>
      </c>
      <c r="AF411" s="68" t="str" cm="1">
        <f t="array" ref="AF411">CalculerNouvelleDate(P411,AE411)</f>
        <v/>
      </c>
      <c r="AG411" s="68" t="str" cm="1">
        <f t="array" ref="AG411">CalculerNouvelleDate(Q411,AF411)</f>
        <v/>
      </c>
      <c r="AH411" s="68" t="str" cm="1">
        <f t="array" ref="AH411">CalculerNouvelleDate(R411,AG411)</f>
        <v/>
      </c>
      <c r="AI411" s="68" t="str" cm="1">
        <f t="array" ref="AI411">CalculerNouvelleDate(S411,AH411)</f>
        <v/>
      </c>
      <c r="AJ411" s="68" t="str" cm="1">
        <f t="array" ref="AJ411">CalculerNouvelleDate(T411,AI411)</f>
        <v/>
      </c>
      <c r="AK411" s="68" t="str" cm="1">
        <f t="array" ref="AK411">CalculerNouvelleDate(U411,AJ411)</f>
        <v/>
      </c>
      <c r="AL411" s="68" t="str" cm="1">
        <f t="array" ref="AL411">CalculerNouvelleDate(V411,AK411)</f>
        <v/>
      </c>
      <c r="AM411" s="83" t="str" cm="1">
        <f t="array" ref="AM411">CorrespondanceDAte(X411:AL411,D412)</f>
        <v>0</v>
      </c>
      <c r="AN411" s="1"/>
      <c r="AO411" s="1"/>
      <c r="AP411" s="1"/>
      <c r="AQ411" s="1"/>
      <c r="AR411" s="1"/>
      <c r="AS411" s="1"/>
      <c r="AT411" s="1"/>
      <c r="AU411" s="1"/>
      <c r="AV411" s="1"/>
      <c r="AW411" s="1"/>
      <c r="AX411" s="1"/>
      <c r="AY411" s="1"/>
      <c r="AZ411" s="1"/>
      <c r="BA411" s="1"/>
    </row>
    <row r="412" spans="1:53" x14ac:dyDescent="0.3">
      <c r="A412" s="1"/>
      <c r="B412" s="11"/>
      <c r="C412" s="1" t="s">
        <v>561</v>
      </c>
      <c r="D412" s="1"/>
      <c r="E412" s="1"/>
      <c r="F412" s="1"/>
      <c r="G412" s="1"/>
      <c r="H412" s="43"/>
      <c r="I412" s="46"/>
      <c r="J412" s="46"/>
      <c r="K412" s="46"/>
      <c r="L412" s="46"/>
      <c r="M412" s="46"/>
      <c r="N412" s="46"/>
      <c r="O412" s="46"/>
      <c r="P412" s="46"/>
      <c r="Q412" s="46"/>
      <c r="R412" s="46"/>
      <c r="S412" s="46"/>
      <c r="T412" s="46"/>
      <c r="U412" s="46"/>
      <c r="V412" s="46"/>
      <c r="W412" s="62"/>
      <c r="X412" s="67"/>
      <c r="Y412" s="68" t="str" cm="1">
        <f t="array" ref="Y412">CalculerNouvelleDate(I412,X412)</f>
        <v/>
      </c>
      <c r="Z412" s="68" t="str" cm="1">
        <f t="array" ref="Z412">CalculerNouvelleDate(J412,Y412)</f>
        <v/>
      </c>
      <c r="AA412" s="68" t="str" cm="1">
        <f t="array" ref="AA412">CalculerNouvelleDate(K412,Z412)</f>
        <v/>
      </c>
      <c r="AB412" s="68" t="str" cm="1">
        <f t="array" ref="AB412">CalculerNouvelleDate(L412,AA412)</f>
        <v/>
      </c>
      <c r="AC412" s="68" t="str" cm="1">
        <f t="array" ref="AC412">CalculerNouvelleDate(M412,AB412)</f>
        <v/>
      </c>
      <c r="AD412" s="68" t="str" cm="1">
        <f t="array" ref="AD412">CalculerNouvelleDate(N412,AC412)</f>
        <v/>
      </c>
      <c r="AE412" s="68" t="str" cm="1">
        <f t="array" ref="AE412">CalculerNouvelleDate(O412,AD412)</f>
        <v/>
      </c>
      <c r="AF412" s="68" t="str" cm="1">
        <f t="array" ref="AF412">CalculerNouvelleDate(P412,AE412)</f>
        <v/>
      </c>
      <c r="AG412" s="68" t="str" cm="1">
        <f t="array" ref="AG412">CalculerNouvelleDate(Q412,AF412)</f>
        <v/>
      </c>
      <c r="AH412" s="68" t="str" cm="1">
        <f t="array" ref="AH412">CalculerNouvelleDate(R412,AG412)</f>
        <v/>
      </c>
      <c r="AI412" s="68" t="str" cm="1">
        <f t="array" ref="AI412">CalculerNouvelleDate(S412,AH412)</f>
        <v/>
      </c>
      <c r="AJ412" s="68" t="str" cm="1">
        <f t="array" ref="AJ412">CalculerNouvelleDate(T412,AI412)</f>
        <v/>
      </c>
      <c r="AK412" s="68" t="str" cm="1">
        <f t="array" ref="AK412">CalculerNouvelleDate(U412,AJ412)</f>
        <v/>
      </c>
      <c r="AL412" s="68" t="str" cm="1">
        <f t="array" ref="AL412">CalculerNouvelleDate(V412,AK412)</f>
        <v/>
      </c>
      <c r="AM412" s="83" t="str" cm="1">
        <f t="array" ref="AM412">CorrespondanceDAte(X412:AL412,D413)</f>
        <v>0</v>
      </c>
      <c r="AN412" s="1"/>
      <c r="AO412" s="1"/>
      <c r="AP412" s="1"/>
      <c r="AQ412" s="1"/>
      <c r="AR412" s="1"/>
      <c r="AS412" s="1"/>
      <c r="AT412" s="1"/>
      <c r="AU412" s="1"/>
      <c r="AV412" s="1"/>
      <c r="AW412" s="1"/>
      <c r="AX412" s="1"/>
      <c r="AY412" s="1"/>
      <c r="AZ412" s="1"/>
      <c r="BA412" s="1"/>
    </row>
    <row r="413" spans="1:53" x14ac:dyDescent="0.3">
      <c r="A413" s="1"/>
      <c r="B413" s="11">
        <v>6</v>
      </c>
      <c r="C413" s="1" t="s">
        <v>93</v>
      </c>
      <c r="D413" s="1"/>
      <c r="E413" s="1"/>
      <c r="F413" s="1"/>
      <c r="G413" s="1"/>
      <c r="H413" s="43"/>
      <c r="I413" s="1"/>
      <c r="J413" s="1"/>
      <c r="K413" s="1"/>
      <c r="L413" s="1"/>
      <c r="M413" s="1"/>
      <c r="N413" s="1"/>
      <c r="O413" s="1"/>
      <c r="P413" s="1"/>
      <c r="Q413" s="1"/>
      <c r="R413" s="1"/>
      <c r="S413" s="1"/>
      <c r="T413" s="1"/>
      <c r="U413" s="1"/>
      <c r="V413" s="1"/>
      <c r="W413" s="11"/>
      <c r="X413" s="67"/>
      <c r="Y413" s="68" t="str" cm="1">
        <f t="array" ref="Y413">CalculerNouvelleDate(I413,X413)</f>
        <v/>
      </c>
      <c r="Z413" s="68" t="str" cm="1">
        <f t="array" ref="Z413">CalculerNouvelleDate(J413,Y413)</f>
        <v/>
      </c>
      <c r="AA413" s="68" t="str" cm="1">
        <f t="array" ref="AA413">CalculerNouvelleDate(K413,Z413)</f>
        <v/>
      </c>
      <c r="AB413" s="68" t="str" cm="1">
        <f t="array" ref="AB413">CalculerNouvelleDate(L413,AA413)</f>
        <v/>
      </c>
      <c r="AC413" s="68" t="str" cm="1">
        <f t="array" ref="AC413">CalculerNouvelleDate(M413,AB413)</f>
        <v/>
      </c>
      <c r="AD413" s="68" t="str" cm="1">
        <f t="array" ref="AD413">CalculerNouvelleDate(N413,AC413)</f>
        <v/>
      </c>
      <c r="AE413" s="68" t="str" cm="1">
        <f t="array" ref="AE413">CalculerNouvelleDate(O413,AD413)</f>
        <v/>
      </c>
      <c r="AF413" s="68" t="str" cm="1">
        <f t="array" ref="AF413">CalculerNouvelleDate(P413,AE413)</f>
        <v/>
      </c>
      <c r="AG413" s="68" t="str" cm="1">
        <f t="array" ref="AG413">CalculerNouvelleDate(Q413,AF413)</f>
        <v/>
      </c>
      <c r="AH413" s="68" t="str" cm="1">
        <f t="array" ref="AH413">CalculerNouvelleDate(R413,AG413)</f>
        <v/>
      </c>
      <c r="AI413" s="68" t="str" cm="1">
        <f t="array" ref="AI413">CalculerNouvelleDate(S413,AH413)</f>
        <v/>
      </c>
      <c r="AJ413" s="68" t="str" cm="1">
        <f t="array" ref="AJ413">CalculerNouvelleDate(T413,AI413)</f>
        <v/>
      </c>
      <c r="AK413" s="68" t="str" cm="1">
        <f t="array" ref="AK413">CalculerNouvelleDate(U413,AJ413)</f>
        <v/>
      </c>
      <c r="AL413" s="68" t="str" cm="1">
        <f t="array" ref="AL413">CalculerNouvelleDate(V413,AK413)</f>
        <v/>
      </c>
      <c r="AM413" s="83" t="str" cm="1">
        <f t="array" ref="AM413">CorrespondanceDAte(X413:AL413,D414)</f>
        <v>0</v>
      </c>
      <c r="AN413" s="1"/>
      <c r="AO413" s="1"/>
      <c r="AP413" s="1"/>
      <c r="AQ413" s="1"/>
      <c r="AR413" s="1"/>
      <c r="AS413" s="1"/>
      <c r="AT413" s="1"/>
      <c r="AU413" s="1"/>
      <c r="AV413" s="1"/>
      <c r="AW413" s="1"/>
      <c r="AX413" s="1"/>
      <c r="AY413" s="1"/>
      <c r="AZ413" s="1"/>
      <c r="BA413" s="1"/>
    </row>
    <row r="414" spans="1:53" x14ac:dyDescent="0.3">
      <c r="A414" s="1"/>
      <c r="B414" s="11"/>
      <c r="C414" s="1" t="s">
        <v>566</v>
      </c>
      <c r="D414" s="1"/>
      <c r="E414" s="1"/>
      <c r="F414" s="1"/>
      <c r="G414" s="1"/>
      <c r="H414" s="43"/>
      <c r="I414" s="46"/>
      <c r="J414" s="46"/>
      <c r="K414" s="46"/>
      <c r="L414" s="46"/>
      <c r="M414" s="46"/>
      <c r="N414" s="46"/>
      <c r="O414" s="46"/>
      <c r="P414" s="46"/>
      <c r="Q414" s="46"/>
      <c r="R414" s="46"/>
      <c r="S414" s="46"/>
      <c r="T414" s="46"/>
      <c r="U414" s="46"/>
      <c r="V414" s="46"/>
      <c r="W414" s="62"/>
      <c r="X414" s="67"/>
      <c r="Y414" s="68" t="str" cm="1">
        <f t="array" ref="Y414">CalculerNouvelleDate(I414,X414)</f>
        <v/>
      </c>
      <c r="Z414" s="68" t="str" cm="1">
        <f t="array" ref="Z414">CalculerNouvelleDate(J414,Y414)</f>
        <v/>
      </c>
      <c r="AA414" s="68" t="str" cm="1">
        <f t="array" ref="AA414">CalculerNouvelleDate(K414,Z414)</f>
        <v/>
      </c>
      <c r="AB414" s="68" t="str" cm="1">
        <f t="array" ref="AB414">CalculerNouvelleDate(L414,AA414)</f>
        <v/>
      </c>
      <c r="AC414" s="68" t="str" cm="1">
        <f t="array" ref="AC414">CalculerNouvelleDate(M414,AB414)</f>
        <v/>
      </c>
      <c r="AD414" s="68" t="str" cm="1">
        <f t="array" ref="AD414">CalculerNouvelleDate(N414,AC414)</f>
        <v/>
      </c>
      <c r="AE414" s="68" t="str" cm="1">
        <f t="array" ref="AE414">CalculerNouvelleDate(O414,AD414)</f>
        <v/>
      </c>
      <c r="AF414" s="68" t="str" cm="1">
        <f t="array" ref="AF414">CalculerNouvelleDate(P414,AE414)</f>
        <v/>
      </c>
      <c r="AG414" s="68" t="str" cm="1">
        <f t="array" ref="AG414">CalculerNouvelleDate(Q414,AF414)</f>
        <v/>
      </c>
      <c r="AH414" s="68" t="str" cm="1">
        <f t="array" ref="AH414">CalculerNouvelleDate(R414,AG414)</f>
        <v/>
      </c>
      <c r="AI414" s="68" t="str" cm="1">
        <f t="array" ref="AI414">CalculerNouvelleDate(S414,AH414)</f>
        <v/>
      </c>
      <c r="AJ414" s="68" t="str" cm="1">
        <f t="array" ref="AJ414">CalculerNouvelleDate(T414,AI414)</f>
        <v/>
      </c>
      <c r="AK414" s="68" t="str" cm="1">
        <f t="array" ref="AK414">CalculerNouvelleDate(U414,AJ414)</f>
        <v/>
      </c>
      <c r="AL414" s="68" t="str" cm="1">
        <f t="array" ref="AL414">CalculerNouvelleDate(V414,AK414)</f>
        <v/>
      </c>
      <c r="AM414" s="83" t="str" cm="1">
        <f t="array" ref="AM414">CorrespondanceDAte(X414:AL414,D415)</f>
        <v>0</v>
      </c>
      <c r="AN414" s="1"/>
      <c r="AO414" s="1"/>
      <c r="AP414" s="1"/>
      <c r="AQ414" s="1"/>
      <c r="AR414" s="1"/>
      <c r="AS414" s="1"/>
      <c r="AT414" s="1"/>
      <c r="AU414" s="1"/>
      <c r="AV414" s="1"/>
      <c r="AW414" s="1"/>
      <c r="AX414" s="1"/>
      <c r="AY414" s="1"/>
      <c r="AZ414" s="1"/>
      <c r="BA414" s="1"/>
    </row>
    <row r="415" spans="1:53" x14ac:dyDescent="0.3">
      <c r="A415" s="1"/>
      <c r="B415" s="11"/>
      <c r="C415" s="1" t="s">
        <v>626</v>
      </c>
      <c r="D415" s="1"/>
      <c r="E415" s="1"/>
      <c r="F415" s="1"/>
      <c r="G415" s="1"/>
      <c r="H415" s="43"/>
      <c r="I415" s="46"/>
      <c r="J415" s="46"/>
      <c r="K415" s="46"/>
      <c r="L415" s="46"/>
      <c r="M415" s="46"/>
      <c r="N415" s="46"/>
      <c r="O415" s="46"/>
      <c r="P415" s="46"/>
      <c r="Q415" s="46"/>
      <c r="R415" s="46"/>
      <c r="S415" s="46"/>
      <c r="T415" s="46"/>
      <c r="U415" s="46"/>
      <c r="V415" s="46"/>
      <c r="W415" s="62"/>
      <c r="X415" s="67"/>
      <c r="Y415" s="68" t="str" cm="1">
        <f t="array" ref="Y415">CalculerNouvelleDate(I415,X415)</f>
        <v/>
      </c>
      <c r="Z415" s="68" t="str" cm="1">
        <f t="array" ref="Z415">CalculerNouvelleDate(J415,Y415)</f>
        <v/>
      </c>
      <c r="AA415" s="68" t="str" cm="1">
        <f t="array" ref="AA415">CalculerNouvelleDate(K415,Z415)</f>
        <v/>
      </c>
      <c r="AB415" s="68" t="str" cm="1">
        <f t="array" ref="AB415">CalculerNouvelleDate(L415,AA415)</f>
        <v/>
      </c>
      <c r="AC415" s="68" t="str" cm="1">
        <f t="array" ref="AC415">CalculerNouvelleDate(M415,AB415)</f>
        <v/>
      </c>
      <c r="AD415" s="68" t="str" cm="1">
        <f t="array" ref="AD415">CalculerNouvelleDate(N415,AC415)</f>
        <v/>
      </c>
      <c r="AE415" s="68" t="str" cm="1">
        <f t="array" ref="AE415">CalculerNouvelleDate(O415,AD415)</f>
        <v/>
      </c>
      <c r="AF415" s="68" t="str" cm="1">
        <f t="array" ref="AF415">CalculerNouvelleDate(P415,AE415)</f>
        <v/>
      </c>
      <c r="AG415" s="68" t="str" cm="1">
        <f t="array" ref="AG415">CalculerNouvelleDate(Q415,AF415)</f>
        <v/>
      </c>
      <c r="AH415" s="68" t="str" cm="1">
        <f t="array" ref="AH415">CalculerNouvelleDate(R415,AG415)</f>
        <v/>
      </c>
      <c r="AI415" s="68" t="str" cm="1">
        <f t="array" ref="AI415">CalculerNouvelleDate(S415,AH415)</f>
        <v/>
      </c>
      <c r="AJ415" s="68" t="str" cm="1">
        <f t="array" ref="AJ415">CalculerNouvelleDate(T415,AI415)</f>
        <v/>
      </c>
      <c r="AK415" s="68" t="str" cm="1">
        <f t="array" ref="AK415">CalculerNouvelleDate(U415,AJ415)</f>
        <v/>
      </c>
      <c r="AL415" s="68" t="str" cm="1">
        <f t="array" ref="AL415">CalculerNouvelleDate(V415,AK415)</f>
        <v/>
      </c>
      <c r="AM415" s="83" t="str" cm="1">
        <f t="array" ref="AM415">CorrespondanceDAte(X415:AL415,D416)</f>
        <v>0</v>
      </c>
      <c r="AN415" s="1"/>
      <c r="AO415" s="1"/>
      <c r="AP415" s="1"/>
      <c r="AQ415" s="1"/>
      <c r="AR415" s="1"/>
      <c r="AS415" s="1"/>
      <c r="AT415" s="1"/>
      <c r="AU415" s="1"/>
      <c r="AV415" s="1"/>
      <c r="AW415" s="1"/>
      <c r="AX415" s="1"/>
      <c r="AY415" s="1"/>
      <c r="AZ415" s="1"/>
      <c r="BA415" s="1"/>
    </row>
    <row r="416" spans="1:53" x14ac:dyDescent="0.3">
      <c r="A416" s="1"/>
      <c r="B416" s="11"/>
      <c r="C416" s="1" t="s">
        <v>627</v>
      </c>
      <c r="D416" s="1"/>
      <c r="E416" s="1"/>
      <c r="F416" s="1"/>
      <c r="G416" s="1"/>
      <c r="H416" s="43"/>
      <c r="I416" s="46"/>
      <c r="J416" s="46"/>
      <c r="K416" s="46"/>
      <c r="L416" s="46"/>
      <c r="M416" s="46"/>
      <c r="N416" s="46"/>
      <c r="O416" s="46"/>
      <c r="P416" s="46"/>
      <c r="Q416" s="46"/>
      <c r="R416" s="46"/>
      <c r="S416" s="46"/>
      <c r="T416" s="46"/>
      <c r="U416" s="46"/>
      <c r="V416" s="46"/>
      <c r="W416" s="62"/>
      <c r="X416" s="67"/>
      <c r="Y416" s="68" t="str" cm="1">
        <f t="array" ref="Y416">CalculerNouvelleDate(I416,X416)</f>
        <v/>
      </c>
      <c r="Z416" s="68" t="str" cm="1">
        <f t="array" ref="Z416">CalculerNouvelleDate(J416,Y416)</f>
        <v/>
      </c>
      <c r="AA416" s="68" t="str" cm="1">
        <f t="array" ref="AA416">CalculerNouvelleDate(K416,Z416)</f>
        <v/>
      </c>
      <c r="AB416" s="68" t="str" cm="1">
        <f t="array" ref="AB416">CalculerNouvelleDate(L416,AA416)</f>
        <v/>
      </c>
      <c r="AC416" s="68" t="str" cm="1">
        <f t="array" ref="AC416">CalculerNouvelleDate(M416,AB416)</f>
        <v/>
      </c>
      <c r="AD416" s="68" t="str" cm="1">
        <f t="array" ref="AD416">CalculerNouvelleDate(N416,AC416)</f>
        <v/>
      </c>
      <c r="AE416" s="68" t="str" cm="1">
        <f t="array" ref="AE416">CalculerNouvelleDate(O416,AD416)</f>
        <v/>
      </c>
      <c r="AF416" s="68" t="str" cm="1">
        <f t="array" ref="AF416">CalculerNouvelleDate(P416,AE416)</f>
        <v/>
      </c>
      <c r="AG416" s="68" t="str" cm="1">
        <f t="array" ref="AG416">CalculerNouvelleDate(Q416,AF416)</f>
        <v/>
      </c>
      <c r="AH416" s="68" t="str" cm="1">
        <f t="array" ref="AH416">CalculerNouvelleDate(R416,AG416)</f>
        <v/>
      </c>
      <c r="AI416" s="68" t="str" cm="1">
        <f t="array" ref="AI416">CalculerNouvelleDate(S416,AH416)</f>
        <v/>
      </c>
      <c r="AJ416" s="68" t="str" cm="1">
        <f t="array" ref="AJ416">CalculerNouvelleDate(T416,AI416)</f>
        <v/>
      </c>
      <c r="AK416" s="68" t="str" cm="1">
        <f t="array" ref="AK416">CalculerNouvelleDate(U416,AJ416)</f>
        <v/>
      </c>
      <c r="AL416" s="68" t="str" cm="1">
        <f t="array" ref="AL416">CalculerNouvelleDate(V416,AK416)</f>
        <v/>
      </c>
      <c r="AM416" s="83" t="str" cm="1">
        <f t="array" ref="AM416">CorrespondanceDAte(X416:AL416,D417)</f>
        <v>0</v>
      </c>
      <c r="AN416" s="1"/>
      <c r="AO416" s="1"/>
      <c r="AP416" s="1"/>
      <c r="AQ416" s="1"/>
      <c r="AR416" s="1"/>
      <c r="AS416" s="1"/>
      <c r="AT416" s="1"/>
      <c r="AU416" s="1"/>
      <c r="AV416" s="1"/>
      <c r="AW416" s="1"/>
      <c r="AX416" s="1"/>
      <c r="AY416" s="1"/>
      <c r="AZ416" s="1"/>
      <c r="BA416" s="1"/>
    </row>
    <row r="417" spans="1:53" x14ac:dyDescent="0.3">
      <c r="A417" s="1"/>
      <c r="B417" s="11"/>
      <c r="C417" s="1" t="s">
        <v>688</v>
      </c>
      <c r="D417" s="1"/>
      <c r="E417" s="1"/>
      <c r="F417" s="1"/>
      <c r="G417" s="1"/>
      <c r="H417" s="43"/>
      <c r="I417" s="46"/>
      <c r="J417" s="46"/>
      <c r="K417" s="46"/>
      <c r="L417" s="46"/>
      <c r="M417" s="46"/>
      <c r="N417" s="46"/>
      <c r="O417" s="46"/>
      <c r="P417" s="46"/>
      <c r="Q417" s="46"/>
      <c r="R417" s="46"/>
      <c r="S417" s="46"/>
      <c r="T417" s="46"/>
      <c r="U417" s="46"/>
      <c r="V417" s="46"/>
      <c r="W417" s="62"/>
      <c r="X417" s="67"/>
      <c r="Y417" s="68" t="str" cm="1">
        <f t="array" ref="Y417">CalculerNouvelleDate(I417,X417)</f>
        <v/>
      </c>
      <c r="Z417" s="68" t="str" cm="1">
        <f t="array" ref="Z417">CalculerNouvelleDate(J417,Y417)</f>
        <v/>
      </c>
      <c r="AA417" s="68" t="str" cm="1">
        <f t="array" ref="AA417">CalculerNouvelleDate(K417,Z417)</f>
        <v/>
      </c>
      <c r="AB417" s="68" t="str" cm="1">
        <f t="array" ref="AB417">CalculerNouvelleDate(L417,AA417)</f>
        <v/>
      </c>
      <c r="AC417" s="68" t="str" cm="1">
        <f t="array" ref="AC417">CalculerNouvelleDate(M417,AB417)</f>
        <v/>
      </c>
      <c r="AD417" s="68" t="str" cm="1">
        <f t="array" ref="AD417">CalculerNouvelleDate(N417,AC417)</f>
        <v/>
      </c>
      <c r="AE417" s="68" t="str" cm="1">
        <f t="array" ref="AE417">CalculerNouvelleDate(O417,AD417)</f>
        <v/>
      </c>
      <c r="AF417" s="68" t="str" cm="1">
        <f t="array" ref="AF417">CalculerNouvelleDate(P417,AE417)</f>
        <v/>
      </c>
      <c r="AG417" s="68" t="str" cm="1">
        <f t="array" ref="AG417">CalculerNouvelleDate(Q417,AF417)</f>
        <v/>
      </c>
      <c r="AH417" s="68" t="str" cm="1">
        <f t="array" ref="AH417">CalculerNouvelleDate(R417,AG417)</f>
        <v/>
      </c>
      <c r="AI417" s="68" t="str" cm="1">
        <f t="array" ref="AI417">CalculerNouvelleDate(S417,AH417)</f>
        <v/>
      </c>
      <c r="AJ417" s="68" t="str" cm="1">
        <f t="array" ref="AJ417">CalculerNouvelleDate(T417,AI417)</f>
        <v/>
      </c>
      <c r="AK417" s="68" t="str" cm="1">
        <f t="array" ref="AK417">CalculerNouvelleDate(U417,AJ417)</f>
        <v/>
      </c>
      <c r="AL417" s="68" t="str" cm="1">
        <f t="array" ref="AL417">CalculerNouvelleDate(V417,AK417)</f>
        <v/>
      </c>
      <c r="AM417" s="83" t="str" cm="1">
        <f t="array" ref="AM417">CorrespondanceDAte(X417:AL417,D418)</f>
        <v>0</v>
      </c>
      <c r="AN417" s="1"/>
      <c r="AO417" s="1"/>
      <c r="AP417" s="1"/>
      <c r="AQ417" s="1"/>
      <c r="AR417" s="1"/>
      <c r="AS417" s="1"/>
      <c r="AT417" s="1"/>
      <c r="AU417" s="1"/>
      <c r="AV417" s="1"/>
      <c r="AW417" s="1"/>
      <c r="AX417" s="1"/>
      <c r="AY417" s="1"/>
      <c r="AZ417" s="1"/>
      <c r="BA417" s="1"/>
    </row>
    <row r="418" spans="1:53" x14ac:dyDescent="0.3">
      <c r="A418" s="1"/>
      <c r="B418" s="11"/>
      <c r="C418" s="1" t="s">
        <v>726</v>
      </c>
      <c r="D418" s="1"/>
      <c r="E418" s="1"/>
      <c r="F418" s="1"/>
      <c r="G418" s="1"/>
      <c r="H418" s="43"/>
      <c r="I418" s="46"/>
      <c r="J418" s="46"/>
      <c r="K418" s="46"/>
      <c r="L418" s="46"/>
      <c r="M418" s="46"/>
      <c r="N418" s="46"/>
      <c r="O418" s="46"/>
      <c r="P418" s="46"/>
      <c r="Q418" s="46"/>
      <c r="R418" s="46"/>
      <c r="S418" s="46"/>
      <c r="T418" s="46"/>
      <c r="U418" s="46"/>
      <c r="V418" s="46"/>
      <c r="W418" s="62"/>
      <c r="X418" s="67"/>
      <c r="Y418" s="68" t="str" cm="1">
        <f t="array" ref="Y418">CalculerNouvelleDate(I418,X418)</f>
        <v/>
      </c>
      <c r="Z418" s="68" t="str" cm="1">
        <f t="array" ref="Z418">CalculerNouvelleDate(J418,Y418)</f>
        <v/>
      </c>
      <c r="AA418" s="68" t="str" cm="1">
        <f t="array" ref="AA418">CalculerNouvelleDate(K418,Z418)</f>
        <v/>
      </c>
      <c r="AB418" s="68" t="str" cm="1">
        <f t="array" ref="AB418">CalculerNouvelleDate(L418,AA418)</f>
        <v/>
      </c>
      <c r="AC418" s="68" t="str" cm="1">
        <f t="array" ref="AC418">CalculerNouvelleDate(M418,AB418)</f>
        <v/>
      </c>
      <c r="AD418" s="68" t="str" cm="1">
        <f t="array" ref="AD418">CalculerNouvelleDate(N418,AC418)</f>
        <v/>
      </c>
      <c r="AE418" s="68" t="str" cm="1">
        <f t="array" ref="AE418">CalculerNouvelleDate(O418,AD418)</f>
        <v/>
      </c>
      <c r="AF418" s="68" t="str" cm="1">
        <f t="array" ref="AF418">CalculerNouvelleDate(P418,AE418)</f>
        <v/>
      </c>
      <c r="AG418" s="68" t="str" cm="1">
        <f t="array" ref="AG418">CalculerNouvelleDate(Q418,AF418)</f>
        <v/>
      </c>
      <c r="AH418" s="68" t="str" cm="1">
        <f t="array" ref="AH418">CalculerNouvelleDate(R418,AG418)</f>
        <v/>
      </c>
      <c r="AI418" s="68" t="str" cm="1">
        <f t="array" ref="AI418">CalculerNouvelleDate(S418,AH418)</f>
        <v/>
      </c>
      <c r="AJ418" s="68" t="str" cm="1">
        <f t="array" ref="AJ418">CalculerNouvelleDate(T418,AI418)</f>
        <v/>
      </c>
      <c r="AK418" s="68" t="str" cm="1">
        <f t="array" ref="AK418">CalculerNouvelleDate(U418,AJ418)</f>
        <v/>
      </c>
      <c r="AL418" s="68" t="str" cm="1">
        <f t="array" ref="AL418">CalculerNouvelleDate(V418,AK418)</f>
        <v/>
      </c>
      <c r="AM418" s="83" t="str" cm="1">
        <f t="array" ref="AM418">CorrespondanceDAte(X418:AL418,D419)</f>
        <v>0</v>
      </c>
      <c r="AN418" s="1"/>
      <c r="AO418" s="1"/>
      <c r="AP418" s="1"/>
      <c r="AQ418" s="1"/>
      <c r="AR418" s="1"/>
      <c r="AS418" s="1"/>
      <c r="AT418" s="1"/>
      <c r="AU418" s="1"/>
      <c r="AV418" s="1"/>
      <c r="AW418" s="1"/>
      <c r="AX418" s="1"/>
      <c r="AY418" s="1"/>
      <c r="AZ418" s="1"/>
      <c r="BA418" s="1"/>
    </row>
    <row r="419" spans="1:53" x14ac:dyDescent="0.3">
      <c r="A419" s="1"/>
      <c r="B419" s="11"/>
      <c r="C419" s="1" t="s">
        <v>763</v>
      </c>
      <c r="D419" s="1"/>
      <c r="E419" s="1"/>
      <c r="F419" s="1"/>
      <c r="G419" s="1"/>
      <c r="H419" s="43"/>
      <c r="I419" s="46"/>
      <c r="J419" s="46"/>
      <c r="K419" s="46"/>
      <c r="L419" s="46"/>
      <c r="M419" s="46"/>
      <c r="N419" s="46"/>
      <c r="O419" s="46"/>
      <c r="P419" s="46"/>
      <c r="Q419" s="46"/>
      <c r="R419" s="46"/>
      <c r="S419" s="46"/>
      <c r="T419" s="46"/>
      <c r="U419" s="46"/>
      <c r="V419" s="46"/>
      <c r="W419" s="62"/>
      <c r="X419" s="67"/>
      <c r="Y419" s="68" t="str" cm="1">
        <f t="array" ref="Y419">CalculerNouvelleDate(I419,X419)</f>
        <v/>
      </c>
      <c r="Z419" s="68" t="str" cm="1">
        <f t="array" ref="Z419">CalculerNouvelleDate(J419,Y419)</f>
        <v/>
      </c>
      <c r="AA419" s="68" t="str" cm="1">
        <f t="array" ref="AA419">CalculerNouvelleDate(K419,Z419)</f>
        <v/>
      </c>
      <c r="AB419" s="68" t="str" cm="1">
        <f t="array" ref="AB419">CalculerNouvelleDate(L419,AA419)</f>
        <v/>
      </c>
      <c r="AC419" s="68" t="str" cm="1">
        <f t="array" ref="AC419">CalculerNouvelleDate(M419,AB419)</f>
        <v/>
      </c>
      <c r="AD419" s="68" t="str" cm="1">
        <f t="array" ref="AD419">CalculerNouvelleDate(N419,AC419)</f>
        <v/>
      </c>
      <c r="AE419" s="68" t="str" cm="1">
        <f t="array" ref="AE419">CalculerNouvelleDate(O419,AD419)</f>
        <v/>
      </c>
      <c r="AF419" s="68" t="str" cm="1">
        <f t="array" ref="AF419">CalculerNouvelleDate(P419,AE419)</f>
        <v/>
      </c>
      <c r="AG419" s="68" t="str" cm="1">
        <f t="array" ref="AG419">CalculerNouvelleDate(Q419,AF419)</f>
        <v/>
      </c>
      <c r="AH419" s="68" t="str" cm="1">
        <f t="array" ref="AH419">CalculerNouvelleDate(R419,AG419)</f>
        <v/>
      </c>
      <c r="AI419" s="68" t="str" cm="1">
        <f t="array" ref="AI419">CalculerNouvelleDate(S419,AH419)</f>
        <v/>
      </c>
      <c r="AJ419" s="68" t="str" cm="1">
        <f t="array" ref="AJ419">CalculerNouvelleDate(T419,AI419)</f>
        <v/>
      </c>
      <c r="AK419" s="68" t="str" cm="1">
        <f t="array" ref="AK419">CalculerNouvelleDate(U419,AJ419)</f>
        <v/>
      </c>
      <c r="AL419" s="68" t="str" cm="1">
        <f t="array" ref="AL419">CalculerNouvelleDate(V419,AK419)</f>
        <v/>
      </c>
      <c r="AM419" s="83" t="str" cm="1">
        <f t="array" ref="AM419">CorrespondanceDAte(X419:AL419,D420)</f>
        <v>0</v>
      </c>
      <c r="AN419" s="1"/>
      <c r="AO419" s="1"/>
      <c r="AP419" s="1"/>
      <c r="AQ419" s="1"/>
      <c r="AR419" s="1"/>
      <c r="AS419" s="1"/>
      <c r="AT419" s="1"/>
      <c r="AU419" s="1"/>
      <c r="AV419" s="1"/>
      <c r="AW419" s="1"/>
      <c r="AX419" s="1"/>
      <c r="AY419" s="1"/>
      <c r="AZ419" s="1"/>
      <c r="BA419" s="1"/>
    </row>
    <row r="420" spans="1:53" x14ac:dyDescent="0.3">
      <c r="A420" s="1"/>
      <c r="B420" s="11">
        <v>7</v>
      </c>
      <c r="C420" s="1" t="s">
        <v>92</v>
      </c>
      <c r="D420" s="1"/>
      <c r="E420" s="1"/>
      <c r="F420" s="1"/>
      <c r="G420" s="1"/>
      <c r="H420" s="43"/>
      <c r="I420" s="1"/>
      <c r="J420" s="1"/>
      <c r="K420" s="1"/>
      <c r="L420" s="1"/>
      <c r="M420" s="1"/>
      <c r="N420" s="1"/>
      <c r="O420" s="1"/>
      <c r="P420" s="1"/>
      <c r="Q420" s="1"/>
      <c r="R420" s="1"/>
      <c r="S420" s="1"/>
      <c r="T420" s="1"/>
      <c r="U420" s="1"/>
      <c r="V420" s="1"/>
      <c r="W420" s="11"/>
      <c r="X420" s="67"/>
      <c r="Y420" s="68" t="str" cm="1">
        <f t="array" ref="Y420">CalculerNouvelleDate(I420,X420)</f>
        <v/>
      </c>
      <c r="Z420" s="68" t="str" cm="1">
        <f t="array" ref="Z420">CalculerNouvelleDate(J420,Y420)</f>
        <v/>
      </c>
      <c r="AA420" s="68" t="str" cm="1">
        <f t="array" ref="AA420">CalculerNouvelleDate(K420,Z420)</f>
        <v/>
      </c>
      <c r="AB420" s="68" t="str" cm="1">
        <f t="array" ref="AB420">CalculerNouvelleDate(L420,AA420)</f>
        <v/>
      </c>
      <c r="AC420" s="68" t="str" cm="1">
        <f t="array" ref="AC420">CalculerNouvelleDate(M420,AB420)</f>
        <v/>
      </c>
      <c r="AD420" s="68" t="str" cm="1">
        <f t="array" ref="AD420">CalculerNouvelleDate(N420,AC420)</f>
        <v/>
      </c>
      <c r="AE420" s="68" t="str" cm="1">
        <f t="array" ref="AE420">CalculerNouvelleDate(O420,AD420)</f>
        <v/>
      </c>
      <c r="AF420" s="68" t="str" cm="1">
        <f t="array" ref="AF420">CalculerNouvelleDate(P420,AE420)</f>
        <v/>
      </c>
      <c r="AG420" s="68" t="str" cm="1">
        <f t="array" ref="AG420">CalculerNouvelleDate(Q420,AF420)</f>
        <v/>
      </c>
      <c r="AH420" s="68" t="str" cm="1">
        <f t="array" ref="AH420">CalculerNouvelleDate(R420,AG420)</f>
        <v/>
      </c>
      <c r="AI420" s="68" t="str" cm="1">
        <f t="array" ref="AI420">CalculerNouvelleDate(S420,AH420)</f>
        <v/>
      </c>
      <c r="AJ420" s="68" t="str" cm="1">
        <f t="array" ref="AJ420">CalculerNouvelleDate(T420,AI420)</f>
        <v/>
      </c>
      <c r="AK420" s="68" t="str" cm="1">
        <f t="array" ref="AK420">CalculerNouvelleDate(U420,AJ420)</f>
        <v/>
      </c>
      <c r="AL420" s="68" t="str" cm="1">
        <f t="array" ref="AL420">CalculerNouvelleDate(V420,AK420)</f>
        <v/>
      </c>
      <c r="AM420" s="83" t="str" cm="1">
        <f t="array" ref="AM420">CorrespondanceDAte(X420:AL420,D421)</f>
        <v>0</v>
      </c>
      <c r="AN420" s="1"/>
      <c r="AO420" s="1"/>
      <c r="AP420" s="1"/>
      <c r="AQ420" s="1"/>
      <c r="AR420" s="1"/>
      <c r="AS420" s="1"/>
      <c r="AT420" s="1"/>
      <c r="AU420" s="1"/>
      <c r="AV420" s="1"/>
      <c r="AW420" s="1"/>
      <c r="AX420" s="1"/>
      <c r="AY420" s="1"/>
      <c r="AZ420" s="1"/>
      <c r="BA420" s="1"/>
    </row>
    <row r="421" spans="1:53" x14ac:dyDescent="0.3">
      <c r="A421" s="1"/>
      <c r="B421" s="11"/>
      <c r="C421" s="1" t="s">
        <v>568</v>
      </c>
      <c r="D421" s="1"/>
      <c r="E421" s="1"/>
      <c r="F421" s="1"/>
      <c r="G421" s="1"/>
      <c r="H421" s="43"/>
      <c r="I421" s="46"/>
      <c r="J421" s="46"/>
      <c r="K421" s="46"/>
      <c r="L421" s="46"/>
      <c r="M421" s="46"/>
      <c r="N421" s="46"/>
      <c r="O421" s="46"/>
      <c r="P421" s="46"/>
      <c r="Q421" s="46"/>
      <c r="R421" s="46"/>
      <c r="S421" s="46"/>
      <c r="T421" s="46"/>
      <c r="U421" s="46"/>
      <c r="V421" s="46"/>
      <c r="W421" s="62"/>
      <c r="X421" s="67"/>
      <c r="Y421" s="68" t="str" cm="1">
        <f t="array" ref="Y421">CalculerNouvelleDate(I421,X421)</f>
        <v/>
      </c>
      <c r="Z421" s="68" t="str" cm="1">
        <f t="array" ref="Z421">CalculerNouvelleDate(J421,Y421)</f>
        <v/>
      </c>
      <c r="AA421" s="68" t="str" cm="1">
        <f t="array" ref="AA421">CalculerNouvelleDate(K421,Z421)</f>
        <v/>
      </c>
      <c r="AB421" s="68" t="str" cm="1">
        <f t="array" ref="AB421">CalculerNouvelleDate(L421,AA421)</f>
        <v/>
      </c>
      <c r="AC421" s="68" t="str" cm="1">
        <f t="array" ref="AC421">CalculerNouvelleDate(M421,AB421)</f>
        <v/>
      </c>
      <c r="AD421" s="68" t="str" cm="1">
        <f t="array" ref="AD421">CalculerNouvelleDate(N421,AC421)</f>
        <v/>
      </c>
      <c r="AE421" s="68" t="str" cm="1">
        <f t="array" ref="AE421">CalculerNouvelleDate(O421,AD421)</f>
        <v/>
      </c>
      <c r="AF421" s="68" t="str" cm="1">
        <f t="array" ref="AF421">CalculerNouvelleDate(P421,AE421)</f>
        <v/>
      </c>
      <c r="AG421" s="68" t="str" cm="1">
        <f t="array" ref="AG421">CalculerNouvelleDate(Q421,AF421)</f>
        <v/>
      </c>
      <c r="AH421" s="68" t="str" cm="1">
        <f t="array" ref="AH421">CalculerNouvelleDate(R421,AG421)</f>
        <v/>
      </c>
      <c r="AI421" s="68" t="str" cm="1">
        <f t="array" ref="AI421">CalculerNouvelleDate(S421,AH421)</f>
        <v/>
      </c>
      <c r="AJ421" s="68" t="str" cm="1">
        <f t="array" ref="AJ421">CalculerNouvelleDate(T421,AI421)</f>
        <v/>
      </c>
      <c r="AK421" s="68" t="str" cm="1">
        <f t="array" ref="AK421">CalculerNouvelleDate(U421,AJ421)</f>
        <v/>
      </c>
      <c r="AL421" s="68" t="str" cm="1">
        <f t="array" ref="AL421">CalculerNouvelleDate(V421,AK421)</f>
        <v/>
      </c>
      <c r="AM421" s="83" t="str" cm="1">
        <f t="array" ref="AM421">CorrespondanceDAte(X421:AL421,D422)</f>
        <v>0</v>
      </c>
      <c r="AN421" s="1"/>
      <c r="AO421" s="1"/>
      <c r="AP421" s="1"/>
      <c r="AQ421" s="1"/>
      <c r="AR421" s="1"/>
      <c r="AS421" s="1"/>
      <c r="AT421" s="1"/>
      <c r="AU421" s="1"/>
      <c r="AV421" s="1"/>
      <c r="AW421" s="1"/>
      <c r="AX421" s="1"/>
      <c r="AY421" s="1"/>
      <c r="AZ421" s="1"/>
      <c r="BA421" s="1"/>
    </row>
    <row r="422" spans="1:53" x14ac:dyDescent="0.3">
      <c r="A422" s="1"/>
      <c r="B422" s="11"/>
      <c r="C422" s="1" t="s">
        <v>569</v>
      </c>
      <c r="D422" s="1"/>
      <c r="E422" s="1"/>
      <c r="F422" s="1"/>
      <c r="G422" s="1"/>
      <c r="H422" s="43"/>
      <c r="I422" s="46"/>
      <c r="J422" s="46"/>
      <c r="K422" s="46"/>
      <c r="L422" s="46"/>
      <c r="M422" s="46"/>
      <c r="N422" s="46"/>
      <c r="O422" s="46"/>
      <c r="P422" s="46"/>
      <c r="Q422" s="46"/>
      <c r="R422" s="46"/>
      <c r="S422" s="46"/>
      <c r="T422" s="46"/>
      <c r="U422" s="46"/>
      <c r="V422" s="46"/>
      <c r="W422" s="62"/>
      <c r="X422" s="67"/>
      <c r="Y422" s="68" t="str" cm="1">
        <f t="array" ref="Y422">CalculerNouvelleDate(I422,X422)</f>
        <v/>
      </c>
      <c r="Z422" s="68" t="str" cm="1">
        <f t="array" ref="Z422">CalculerNouvelleDate(J422,Y422)</f>
        <v/>
      </c>
      <c r="AA422" s="68" t="str" cm="1">
        <f t="array" ref="AA422">CalculerNouvelleDate(K422,Z422)</f>
        <v/>
      </c>
      <c r="AB422" s="68" t="str" cm="1">
        <f t="array" ref="AB422">CalculerNouvelleDate(L422,AA422)</f>
        <v/>
      </c>
      <c r="AC422" s="68" t="str" cm="1">
        <f t="array" ref="AC422">CalculerNouvelleDate(M422,AB422)</f>
        <v/>
      </c>
      <c r="AD422" s="68" t="str" cm="1">
        <f t="array" ref="AD422">CalculerNouvelleDate(N422,AC422)</f>
        <v/>
      </c>
      <c r="AE422" s="68" t="str" cm="1">
        <f t="array" ref="AE422">CalculerNouvelleDate(O422,AD422)</f>
        <v/>
      </c>
      <c r="AF422" s="68" t="str" cm="1">
        <f t="array" ref="AF422">CalculerNouvelleDate(P422,AE422)</f>
        <v/>
      </c>
      <c r="AG422" s="68" t="str" cm="1">
        <f t="array" ref="AG422">CalculerNouvelleDate(Q422,AF422)</f>
        <v/>
      </c>
      <c r="AH422" s="68" t="str" cm="1">
        <f t="array" ref="AH422">CalculerNouvelleDate(R422,AG422)</f>
        <v/>
      </c>
      <c r="AI422" s="68" t="str" cm="1">
        <f t="array" ref="AI422">CalculerNouvelleDate(S422,AH422)</f>
        <v/>
      </c>
      <c r="AJ422" s="68" t="str" cm="1">
        <f t="array" ref="AJ422">CalculerNouvelleDate(T422,AI422)</f>
        <v/>
      </c>
      <c r="AK422" s="68" t="str" cm="1">
        <f t="array" ref="AK422">CalculerNouvelleDate(U422,AJ422)</f>
        <v/>
      </c>
      <c r="AL422" s="68" t="str" cm="1">
        <f t="array" ref="AL422">CalculerNouvelleDate(V422,AK422)</f>
        <v/>
      </c>
      <c r="AM422" s="83" t="str" cm="1">
        <f t="array" ref="AM422">CorrespondanceDAte(X422:AL422,D423)</f>
        <v>0</v>
      </c>
      <c r="AN422" s="1"/>
      <c r="AO422" s="1"/>
      <c r="AP422" s="1"/>
      <c r="AQ422" s="1"/>
      <c r="AR422" s="1"/>
      <c r="AS422" s="1"/>
      <c r="AT422" s="1"/>
      <c r="AU422" s="1"/>
      <c r="AV422" s="1"/>
      <c r="AW422" s="1"/>
      <c r="AX422" s="1"/>
      <c r="AY422" s="1"/>
      <c r="AZ422" s="1"/>
      <c r="BA422" s="1"/>
    </row>
    <row r="423" spans="1:53" x14ac:dyDescent="0.3">
      <c r="A423" s="1"/>
      <c r="B423" s="11">
        <v>8</v>
      </c>
      <c r="C423" s="1" t="s">
        <v>91</v>
      </c>
      <c r="D423" s="1"/>
      <c r="E423" s="1"/>
      <c r="F423" s="1"/>
      <c r="G423" s="1"/>
      <c r="H423" s="43"/>
      <c r="I423" s="1"/>
      <c r="J423" s="1"/>
      <c r="K423" s="1"/>
      <c r="L423" s="1"/>
      <c r="M423" s="1"/>
      <c r="N423" s="1"/>
      <c r="O423" s="1"/>
      <c r="P423" s="1"/>
      <c r="Q423" s="1"/>
      <c r="R423" s="1"/>
      <c r="S423" s="1"/>
      <c r="T423" s="1"/>
      <c r="U423" s="1"/>
      <c r="V423" s="1"/>
      <c r="W423" s="11"/>
      <c r="X423" s="67"/>
      <c r="Y423" s="68" t="str" cm="1">
        <f t="array" ref="Y423">CalculerNouvelleDate(I423,X423)</f>
        <v/>
      </c>
      <c r="Z423" s="68" t="str" cm="1">
        <f t="array" ref="Z423">CalculerNouvelleDate(J423,Y423)</f>
        <v/>
      </c>
      <c r="AA423" s="68" t="str" cm="1">
        <f t="array" ref="AA423">CalculerNouvelleDate(K423,Z423)</f>
        <v/>
      </c>
      <c r="AB423" s="68" t="str" cm="1">
        <f t="array" ref="AB423">CalculerNouvelleDate(L423,AA423)</f>
        <v/>
      </c>
      <c r="AC423" s="68" t="str" cm="1">
        <f t="array" ref="AC423">CalculerNouvelleDate(M423,AB423)</f>
        <v/>
      </c>
      <c r="AD423" s="68" t="str" cm="1">
        <f t="array" ref="AD423">CalculerNouvelleDate(N423,AC423)</f>
        <v/>
      </c>
      <c r="AE423" s="68" t="str" cm="1">
        <f t="array" ref="AE423">CalculerNouvelleDate(O423,AD423)</f>
        <v/>
      </c>
      <c r="AF423" s="68" t="str" cm="1">
        <f t="array" ref="AF423">CalculerNouvelleDate(P423,AE423)</f>
        <v/>
      </c>
      <c r="AG423" s="68" t="str" cm="1">
        <f t="array" ref="AG423">CalculerNouvelleDate(Q423,AF423)</f>
        <v/>
      </c>
      <c r="AH423" s="68" t="str" cm="1">
        <f t="array" ref="AH423">CalculerNouvelleDate(R423,AG423)</f>
        <v/>
      </c>
      <c r="AI423" s="68" t="str" cm="1">
        <f t="array" ref="AI423">CalculerNouvelleDate(S423,AH423)</f>
        <v/>
      </c>
      <c r="AJ423" s="68" t="str" cm="1">
        <f t="array" ref="AJ423">CalculerNouvelleDate(T423,AI423)</f>
        <v/>
      </c>
      <c r="AK423" s="68" t="str" cm="1">
        <f t="array" ref="AK423">CalculerNouvelleDate(U423,AJ423)</f>
        <v/>
      </c>
      <c r="AL423" s="68" t="str" cm="1">
        <f t="array" ref="AL423">CalculerNouvelleDate(V423,AK423)</f>
        <v/>
      </c>
      <c r="AM423" s="83" t="str" cm="1">
        <f t="array" ref="AM423">CorrespondanceDAte(X423:AL423,D424)</f>
        <v>0</v>
      </c>
      <c r="AN423" s="1"/>
      <c r="AO423" s="1"/>
      <c r="AP423" s="1"/>
      <c r="AQ423" s="1"/>
      <c r="AR423" s="1"/>
      <c r="AS423" s="1"/>
      <c r="AT423" s="1"/>
      <c r="AU423" s="1"/>
      <c r="AV423" s="1"/>
      <c r="AW423" s="1"/>
      <c r="AX423" s="1"/>
      <c r="AY423" s="1"/>
      <c r="AZ423" s="1"/>
      <c r="BA423" s="1"/>
    </row>
    <row r="424" spans="1:53" x14ac:dyDescent="0.3">
      <c r="A424" s="1"/>
      <c r="B424" s="11"/>
      <c r="C424" s="1" t="s">
        <v>574</v>
      </c>
      <c r="D424" s="1"/>
      <c r="E424" s="1"/>
      <c r="F424" s="1"/>
      <c r="G424" s="1"/>
      <c r="H424" s="43"/>
      <c r="I424" s="46"/>
      <c r="J424" s="46"/>
      <c r="K424" s="46"/>
      <c r="L424" s="46"/>
      <c r="M424" s="46"/>
      <c r="N424" s="46"/>
      <c r="O424" s="46"/>
      <c r="P424" s="46"/>
      <c r="Q424" s="46"/>
      <c r="R424" s="46"/>
      <c r="S424" s="46"/>
      <c r="T424" s="46"/>
      <c r="U424" s="46"/>
      <c r="V424" s="46"/>
      <c r="W424" s="62"/>
      <c r="X424" s="67"/>
      <c r="Y424" s="68" t="str" cm="1">
        <f t="array" ref="Y424">CalculerNouvelleDate(I424,X424)</f>
        <v/>
      </c>
      <c r="Z424" s="68" t="str" cm="1">
        <f t="array" ref="Z424">CalculerNouvelleDate(J424,Y424)</f>
        <v/>
      </c>
      <c r="AA424" s="68" t="str" cm="1">
        <f t="array" ref="AA424">CalculerNouvelleDate(K424,Z424)</f>
        <v/>
      </c>
      <c r="AB424" s="68" t="str" cm="1">
        <f t="array" ref="AB424">CalculerNouvelleDate(L424,AA424)</f>
        <v/>
      </c>
      <c r="AC424" s="68" t="str" cm="1">
        <f t="array" ref="AC424">CalculerNouvelleDate(M424,AB424)</f>
        <v/>
      </c>
      <c r="AD424" s="68" t="str" cm="1">
        <f t="array" ref="AD424">CalculerNouvelleDate(N424,AC424)</f>
        <v/>
      </c>
      <c r="AE424" s="68" t="str" cm="1">
        <f t="array" ref="AE424">CalculerNouvelleDate(O424,AD424)</f>
        <v/>
      </c>
      <c r="AF424" s="68" t="str" cm="1">
        <f t="array" ref="AF424">CalculerNouvelleDate(P424,AE424)</f>
        <v/>
      </c>
      <c r="AG424" s="68" t="str" cm="1">
        <f t="array" ref="AG424">CalculerNouvelleDate(Q424,AF424)</f>
        <v/>
      </c>
      <c r="AH424" s="68" t="str" cm="1">
        <f t="array" ref="AH424">CalculerNouvelleDate(R424,AG424)</f>
        <v/>
      </c>
      <c r="AI424" s="68" t="str" cm="1">
        <f t="array" ref="AI424">CalculerNouvelleDate(S424,AH424)</f>
        <v/>
      </c>
      <c r="AJ424" s="68" t="str" cm="1">
        <f t="array" ref="AJ424">CalculerNouvelleDate(T424,AI424)</f>
        <v/>
      </c>
      <c r="AK424" s="68" t="str" cm="1">
        <f t="array" ref="AK424">CalculerNouvelleDate(U424,AJ424)</f>
        <v/>
      </c>
      <c r="AL424" s="68" t="str" cm="1">
        <f t="array" ref="AL424">CalculerNouvelleDate(V424,AK424)</f>
        <v/>
      </c>
      <c r="AM424" s="83" t="str" cm="1">
        <f t="array" ref="AM424">CorrespondanceDAte(X424:AL424,D425)</f>
        <v>0</v>
      </c>
      <c r="AN424" s="1"/>
      <c r="AO424" s="1"/>
      <c r="AP424" s="1"/>
      <c r="AQ424" s="1"/>
      <c r="AR424" s="1"/>
      <c r="AS424" s="1"/>
      <c r="AT424" s="1"/>
      <c r="AU424" s="1"/>
      <c r="AV424" s="1"/>
      <c r="AW424" s="1"/>
      <c r="AX424" s="1"/>
      <c r="AY424" s="1"/>
      <c r="AZ424" s="1"/>
      <c r="BA424" s="1"/>
    </row>
    <row r="425" spans="1:53" x14ac:dyDescent="0.3">
      <c r="A425" s="1"/>
      <c r="B425" s="11"/>
      <c r="C425" s="1" t="s">
        <v>575</v>
      </c>
      <c r="D425" s="1"/>
      <c r="E425" s="1"/>
      <c r="F425" s="1"/>
      <c r="G425" s="1"/>
      <c r="H425" s="43"/>
      <c r="I425" s="46"/>
      <c r="J425" s="46"/>
      <c r="K425" s="46"/>
      <c r="L425" s="46"/>
      <c r="M425" s="46"/>
      <c r="N425" s="46"/>
      <c r="O425" s="46"/>
      <c r="P425" s="46"/>
      <c r="Q425" s="46"/>
      <c r="R425" s="46"/>
      <c r="S425" s="46"/>
      <c r="T425" s="46"/>
      <c r="U425" s="46"/>
      <c r="V425" s="46"/>
      <c r="W425" s="62"/>
      <c r="X425" s="67"/>
      <c r="Y425" s="68" t="str" cm="1">
        <f t="array" ref="Y425">CalculerNouvelleDate(I425,X425)</f>
        <v/>
      </c>
      <c r="Z425" s="68" t="str" cm="1">
        <f t="array" ref="Z425">CalculerNouvelleDate(J425,Y425)</f>
        <v/>
      </c>
      <c r="AA425" s="68" t="str" cm="1">
        <f t="array" ref="AA425">CalculerNouvelleDate(K425,Z425)</f>
        <v/>
      </c>
      <c r="AB425" s="68" t="str" cm="1">
        <f t="array" ref="AB425">CalculerNouvelleDate(L425,AA425)</f>
        <v/>
      </c>
      <c r="AC425" s="68" t="str" cm="1">
        <f t="array" ref="AC425">CalculerNouvelleDate(M425,AB425)</f>
        <v/>
      </c>
      <c r="AD425" s="68" t="str" cm="1">
        <f t="array" ref="AD425">CalculerNouvelleDate(N425,AC425)</f>
        <v/>
      </c>
      <c r="AE425" s="68" t="str" cm="1">
        <f t="array" ref="AE425">CalculerNouvelleDate(O425,AD425)</f>
        <v/>
      </c>
      <c r="AF425" s="68" t="str" cm="1">
        <f t="array" ref="AF425">CalculerNouvelleDate(P425,AE425)</f>
        <v/>
      </c>
      <c r="AG425" s="68" t="str" cm="1">
        <f t="array" ref="AG425">CalculerNouvelleDate(Q425,AF425)</f>
        <v/>
      </c>
      <c r="AH425" s="68" t="str" cm="1">
        <f t="array" ref="AH425">CalculerNouvelleDate(R425,AG425)</f>
        <v/>
      </c>
      <c r="AI425" s="68" t="str" cm="1">
        <f t="array" ref="AI425">CalculerNouvelleDate(S425,AH425)</f>
        <v/>
      </c>
      <c r="AJ425" s="68" t="str" cm="1">
        <f t="array" ref="AJ425">CalculerNouvelleDate(T425,AI425)</f>
        <v/>
      </c>
      <c r="AK425" s="68" t="str" cm="1">
        <f t="array" ref="AK425">CalculerNouvelleDate(U425,AJ425)</f>
        <v/>
      </c>
      <c r="AL425" s="68" t="str" cm="1">
        <f t="array" ref="AL425">CalculerNouvelleDate(V425,AK425)</f>
        <v/>
      </c>
      <c r="AM425" s="83" t="str" cm="1">
        <f t="array" ref="AM425">CorrespondanceDAte(X425:AL425,D426)</f>
        <v>0</v>
      </c>
      <c r="AN425" s="1"/>
      <c r="AO425" s="1"/>
      <c r="AP425" s="1"/>
      <c r="AQ425" s="1"/>
      <c r="AR425" s="1"/>
      <c r="AS425" s="1"/>
      <c r="AT425" s="1"/>
      <c r="AU425" s="1"/>
      <c r="AV425" s="1"/>
      <c r="AW425" s="1"/>
      <c r="AX425" s="1"/>
      <c r="AY425" s="1"/>
      <c r="AZ425" s="1"/>
      <c r="BA425" s="1"/>
    </row>
    <row r="426" spans="1:53" x14ac:dyDescent="0.3">
      <c r="A426" s="1"/>
      <c r="B426" s="11"/>
      <c r="C426" s="1" t="s">
        <v>576</v>
      </c>
      <c r="D426" s="1"/>
      <c r="E426" s="1"/>
      <c r="F426" s="1"/>
      <c r="G426" s="1"/>
      <c r="H426" s="43"/>
      <c r="I426" s="46"/>
      <c r="J426" s="46"/>
      <c r="K426" s="46"/>
      <c r="L426" s="46"/>
      <c r="M426" s="46"/>
      <c r="N426" s="46"/>
      <c r="O426" s="46"/>
      <c r="P426" s="46"/>
      <c r="Q426" s="46"/>
      <c r="R426" s="46"/>
      <c r="S426" s="46"/>
      <c r="T426" s="46"/>
      <c r="U426" s="46"/>
      <c r="V426" s="46"/>
      <c r="W426" s="62"/>
      <c r="X426" s="67"/>
      <c r="Y426" s="68" t="str" cm="1">
        <f t="array" ref="Y426">CalculerNouvelleDate(I426,X426)</f>
        <v/>
      </c>
      <c r="Z426" s="68" t="str" cm="1">
        <f t="array" ref="Z426">CalculerNouvelleDate(J426,Y426)</f>
        <v/>
      </c>
      <c r="AA426" s="68" t="str" cm="1">
        <f t="array" ref="AA426">CalculerNouvelleDate(K426,Z426)</f>
        <v/>
      </c>
      <c r="AB426" s="68" t="str" cm="1">
        <f t="array" ref="AB426">CalculerNouvelleDate(L426,AA426)</f>
        <v/>
      </c>
      <c r="AC426" s="68" t="str" cm="1">
        <f t="array" ref="AC426">CalculerNouvelleDate(M426,AB426)</f>
        <v/>
      </c>
      <c r="AD426" s="68" t="str" cm="1">
        <f t="array" ref="AD426">CalculerNouvelleDate(N426,AC426)</f>
        <v/>
      </c>
      <c r="AE426" s="68" t="str" cm="1">
        <f t="array" ref="AE426">CalculerNouvelleDate(O426,AD426)</f>
        <v/>
      </c>
      <c r="AF426" s="68" t="str" cm="1">
        <f t="array" ref="AF426">CalculerNouvelleDate(P426,AE426)</f>
        <v/>
      </c>
      <c r="AG426" s="68" t="str" cm="1">
        <f t="array" ref="AG426">CalculerNouvelleDate(Q426,AF426)</f>
        <v/>
      </c>
      <c r="AH426" s="68" t="str" cm="1">
        <f t="array" ref="AH426">CalculerNouvelleDate(R426,AG426)</f>
        <v/>
      </c>
      <c r="AI426" s="68" t="str" cm="1">
        <f t="array" ref="AI426">CalculerNouvelleDate(S426,AH426)</f>
        <v/>
      </c>
      <c r="AJ426" s="68" t="str" cm="1">
        <f t="array" ref="AJ426">CalculerNouvelleDate(T426,AI426)</f>
        <v/>
      </c>
      <c r="AK426" s="68" t="str" cm="1">
        <f t="array" ref="AK426">CalculerNouvelleDate(U426,AJ426)</f>
        <v/>
      </c>
      <c r="AL426" s="68" t="str" cm="1">
        <f t="array" ref="AL426">CalculerNouvelleDate(V426,AK426)</f>
        <v/>
      </c>
      <c r="AM426" s="83" t="str" cm="1">
        <f t="array" ref="AM426">CorrespondanceDAte(X426:AL426,D427)</f>
        <v>0</v>
      </c>
      <c r="AN426" s="1"/>
      <c r="AO426" s="1"/>
      <c r="AP426" s="1"/>
      <c r="AQ426" s="1"/>
      <c r="AR426" s="1"/>
      <c r="AS426" s="1"/>
      <c r="AT426" s="1"/>
      <c r="AU426" s="1"/>
      <c r="AV426" s="1"/>
      <c r="AW426" s="1"/>
      <c r="AX426" s="1"/>
      <c r="AY426" s="1"/>
      <c r="AZ426" s="1"/>
      <c r="BA426" s="1"/>
    </row>
    <row r="427" spans="1:53" x14ac:dyDescent="0.3">
      <c r="A427" s="1"/>
      <c r="B427" s="11"/>
      <c r="C427" s="1" t="s">
        <v>729</v>
      </c>
      <c r="D427" s="1"/>
      <c r="E427" s="1"/>
      <c r="F427" s="1"/>
      <c r="G427" s="1"/>
      <c r="H427" s="43"/>
      <c r="I427" s="46"/>
      <c r="J427" s="46"/>
      <c r="K427" s="46"/>
      <c r="L427" s="46"/>
      <c r="M427" s="46"/>
      <c r="N427" s="46"/>
      <c r="O427" s="46"/>
      <c r="P427" s="46"/>
      <c r="Q427" s="46"/>
      <c r="R427" s="46"/>
      <c r="S427" s="46"/>
      <c r="T427" s="46"/>
      <c r="U427" s="46"/>
      <c r="V427" s="46"/>
      <c r="W427" s="62"/>
      <c r="X427" s="67"/>
      <c r="Y427" s="68" t="str" cm="1">
        <f t="array" ref="Y427">CalculerNouvelleDate(I427,X427)</f>
        <v/>
      </c>
      <c r="Z427" s="68" t="str" cm="1">
        <f t="array" ref="Z427">CalculerNouvelleDate(J427,Y427)</f>
        <v/>
      </c>
      <c r="AA427" s="68" t="str" cm="1">
        <f t="array" ref="AA427">CalculerNouvelleDate(K427,Z427)</f>
        <v/>
      </c>
      <c r="AB427" s="68" t="str" cm="1">
        <f t="array" ref="AB427">CalculerNouvelleDate(L427,AA427)</f>
        <v/>
      </c>
      <c r="AC427" s="68" t="str" cm="1">
        <f t="array" ref="AC427">CalculerNouvelleDate(M427,AB427)</f>
        <v/>
      </c>
      <c r="AD427" s="68" t="str" cm="1">
        <f t="array" ref="AD427">CalculerNouvelleDate(N427,AC427)</f>
        <v/>
      </c>
      <c r="AE427" s="68" t="str" cm="1">
        <f t="array" ref="AE427">CalculerNouvelleDate(O427,AD427)</f>
        <v/>
      </c>
      <c r="AF427" s="68" t="str" cm="1">
        <f t="array" ref="AF427">CalculerNouvelleDate(P427,AE427)</f>
        <v/>
      </c>
      <c r="AG427" s="68" t="str" cm="1">
        <f t="array" ref="AG427">CalculerNouvelleDate(Q427,AF427)</f>
        <v/>
      </c>
      <c r="AH427" s="68" t="str" cm="1">
        <f t="array" ref="AH427">CalculerNouvelleDate(R427,AG427)</f>
        <v/>
      </c>
      <c r="AI427" s="68" t="str" cm="1">
        <f t="array" ref="AI427">CalculerNouvelleDate(S427,AH427)</f>
        <v/>
      </c>
      <c r="AJ427" s="68" t="str" cm="1">
        <f t="array" ref="AJ427">CalculerNouvelleDate(T427,AI427)</f>
        <v/>
      </c>
      <c r="AK427" s="68" t="str" cm="1">
        <f t="array" ref="AK427">CalculerNouvelleDate(U427,AJ427)</f>
        <v/>
      </c>
      <c r="AL427" s="68" t="str" cm="1">
        <f t="array" ref="AL427">CalculerNouvelleDate(V427,AK427)</f>
        <v/>
      </c>
      <c r="AM427" s="83" t="str" cm="1">
        <f t="array" ref="AM427">CorrespondanceDAte(X427:AL427,D428)</f>
        <v>0</v>
      </c>
      <c r="AN427" s="1"/>
      <c r="AO427" s="1"/>
      <c r="AP427" s="1"/>
      <c r="AQ427" s="1"/>
      <c r="AR427" s="1"/>
      <c r="AS427" s="1"/>
      <c r="AT427" s="1"/>
      <c r="AU427" s="1"/>
      <c r="AV427" s="1"/>
      <c r="AW427" s="1"/>
      <c r="AX427" s="1"/>
      <c r="AY427" s="1"/>
      <c r="AZ427" s="1"/>
      <c r="BA427" s="1"/>
    </row>
    <row r="428" spans="1:53" x14ac:dyDescent="0.3">
      <c r="A428" s="1"/>
      <c r="B428" s="11"/>
      <c r="C428" s="1" t="s">
        <v>730</v>
      </c>
      <c r="D428" s="1"/>
      <c r="E428" s="1"/>
      <c r="F428" s="1"/>
      <c r="G428" s="1"/>
      <c r="H428" s="43"/>
      <c r="I428" s="46"/>
      <c r="J428" s="46"/>
      <c r="K428" s="46"/>
      <c r="L428" s="46"/>
      <c r="M428" s="46"/>
      <c r="N428" s="46"/>
      <c r="O428" s="46"/>
      <c r="P428" s="46"/>
      <c r="Q428" s="46"/>
      <c r="R428" s="46"/>
      <c r="S428" s="46"/>
      <c r="T428" s="46"/>
      <c r="U428" s="46"/>
      <c r="V428" s="46"/>
      <c r="W428" s="62"/>
      <c r="X428" s="67"/>
      <c r="Y428" s="68" t="str" cm="1">
        <f t="array" ref="Y428">CalculerNouvelleDate(I428,X428)</f>
        <v/>
      </c>
      <c r="Z428" s="68" t="str" cm="1">
        <f t="array" ref="Z428">CalculerNouvelleDate(J428,Y428)</f>
        <v/>
      </c>
      <c r="AA428" s="68" t="str" cm="1">
        <f t="array" ref="AA428">CalculerNouvelleDate(K428,Z428)</f>
        <v/>
      </c>
      <c r="AB428" s="68" t="str" cm="1">
        <f t="array" ref="AB428">CalculerNouvelleDate(L428,AA428)</f>
        <v/>
      </c>
      <c r="AC428" s="68" t="str" cm="1">
        <f t="array" ref="AC428">CalculerNouvelleDate(M428,AB428)</f>
        <v/>
      </c>
      <c r="AD428" s="68" t="str" cm="1">
        <f t="array" ref="AD428">CalculerNouvelleDate(N428,AC428)</f>
        <v/>
      </c>
      <c r="AE428" s="68" t="str" cm="1">
        <f t="array" ref="AE428">CalculerNouvelleDate(O428,AD428)</f>
        <v/>
      </c>
      <c r="AF428" s="68" t="str" cm="1">
        <f t="array" ref="AF428">CalculerNouvelleDate(P428,AE428)</f>
        <v/>
      </c>
      <c r="AG428" s="68" t="str" cm="1">
        <f t="array" ref="AG428">CalculerNouvelleDate(Q428,AF428)</f>
        <v/>
      </c>
      <c r="AH428" s="68" t="str" cm="1">
        <f t="array" ref="AH428">CalculerNouvelleDate(R428,AG428)</f>
        <v/>
      </c>
      <c r="AI428" s="68" t="str" cm="1">
        <f t="array" ref="AI428">CalculerNouvelleDate(S428,AH428)</f>
        <v/>
      </c>
      <c r="AJ428" s="68" t="str" cm="1">
        <f t="array" ref="AJ428">CalculerNouvelleDate(T428,AI428)</f>
        <v/>
      </c>
      <c r="AK428" s="68" t="str" cm="1">
        <f t="array" ref="AK428">CalculerNouvelleDate(U428,AJ428)</f>
        <v/>
      </c>
      <c r="AL428" s="68" t="str" cm="1">
        <f t="array" ref="AL428">CalculerNouvelleDate(V428,AK428)</f>
        <v/>
      </c>
      <c r="AM428" s="83" t="str" cm="1">
        <f t="array" ref="AM428">CorrespondanceDAte(X428:AL428,D429)</f>
        <v>0</v>
      </c>
      <c r="AN428" s="1"/>
      <c r="AO428" s="1"/>
      <c r="AP428" s="1"/>
      <c r="AQ428" s="1"/>
      <c r="AR428" s="1"/>
      <c r="AS428" s="1"/>
      <c r="AT428" s="1"/>
      <c r="AU428" s="1"/>
      <c r="AV428" s="1"/>
      <c r="AW428" s="1"/>
      <c r="AX428" s="1"/>
      <c r="AY428" s="1"/>
      <c r="AZ428" s="1"/>
      <c r="BA428" s="1"/>
    </row>
    <row r="429" spans="1:53" x14ac:dyDescent="0.3">
      <c r="A429" s="1"/>
      <c r="B429" s="11"/>
      <c r="C429" s="1" t="s">
        <v>731</v>
      </c>
      <c r="D429" s="1"/>
      <c r="E429" s="1"/>
      <c r="F429" s="1"/>
      <c r="G429" s="1"/>
      <c r="H429" s="43"/>
      <c r="I429" s="46"/>
      <c r="J429" s="46"/>
      <c r="K429" s="46"/>
      <c r="L429" s="46"/>
      <c r="M429" s="46"/>
      <c r="N429" s="46"/>
      <c r="O429" s="46"/>
      <c r="P429" s="46"/>
      <c r="Q429" s="46"/>
      <c r="R429" s="46"/>
      <c r="S429" s="46"/>
      <c r="T429" s="46"/>
      <c r="U429" s="46"/>
      <c r="V429" s="46"/>
      <c r="W429" s="62"/>
      <c r="X429" s="67"/>
      <c r="Y429" s="68" t="str" cm="1">
        <f t="array" ref="Y429">CalculerNouvelleDate(I429,X429)</f>
        <v/>
      </c>
      <c r="Z429" s="68" t="str" cm="1">
        <f t="array" ref="Z429">CalculerNouvelleDate(J429,Y429)</f>
        <v/>
      </c>
      <c r="AA429" s="68" t="str" cm="1">
        <f t="array" ref="AA429">CalculerNouvelleDate(K429,Z429)</f>
        <v/>
      </c>
      <c r="AB429" s="68" t="str" cm="1">
        <f t="array" ref="AB429">CalculerNouvelleDate(L429,AA429)</f>
        <v/>
      </c>
      <c r="AC429" s="68" t="str" cm="1">
        <f t="array" ref="AC429">CalculerNouvelleDate(M429,AB429)</f>
        <v/>
      </c>
      <c r="AD429" s="68" t="str" cm="1">
        <f t="array" ref="AD429">CalculerNouvelleDate(N429,AC429)</f>
        <v/>
      </c>
      <c r="AE429" s="68" t="str" cm="1">
        <f t="array" ref="AE429">CalculerNouvelleDate(O429,AD429)</f>
        <v/>
      </c>
      <c r="AF429" s="68" t="str" cm="1">
        <f t="array" ref="AF429">CalculerNouvelleDate(P429,AE429)</f>
        <v/>
      </c>
      <c r="AG429" s="68" t="str" cm="1">
        <f t="array" ref="AG429">CalculerNouvelleDate(Q429,AF429)</f>
        <v/>
      </c>
      <c r="AH429" s="68" t="str" cm="1">
        <f t="array" ref="AH429">CalculerNouvelleDate(R429,AG429)</f>
        <v/>
      </c>
      <c r="AI429" s="68" t="str" cm="1">
        <f t="array" ref="AI429">CalculerNouvelleDate(S429,AH429)</f>
        <v/>
      </c>
      <c r="AJ429" s="68" t="str" cm="1">
        <f t="array" ref="AJ429">CalculerNouvelleDate(T429,AI429)</f>
        <v/>
      </c>
      <c r="AK429" s="68" t="str" cm="1">
        <f t="array" ref="AK429">CalculerNouvelleDate(U429,AJ429)</f>
        <v/>
      </c>
      <c r="AL429" s="68" t="str" cm="1">
        <f t="array" ref="AL429">CalculerNouvelleDate(V429,AK429)</f>
        <v/>
      </c>
      <c r="AM429" s="83" t="str" cm="1">
        <f t="array" ref="AM429">CorrespondanceDAte(X429:AL429,D430)</f>
        <v>0</v>
      </c>
      <c r="AN429" s="1"/>
      <c r="AO429" s="1"/>
      <c r="AP429" s="1"/>
      <c r="AQ429" s="1"/>
      <c r="AR429" s="1"/>
      <c r="AS429" s="1"/>
      <c r="AT429" s="1"/>
      <c r="AU429" s="1"/>
      <c r="AV429" s="1"/>
      <c r="AW429" s="1"/>
      <c r="AX429" s="1"/>
      <c r="AY429" s="1"/>
      <c r="AZ429" s="1"/>
      <c r="BA429" s="1"/>
    </row>
    <row r="430" spans="1:53" x14ac:dyDescent="0.3">
      <c r="A430" s="1"/>
      <c r="B430" s="11"/>
      <c r="C430" s="1" t="s">
        <v>732</v>
      </c>
      <c r="D430" s="1"/>
      <c r="E430" s="1"/>
      <c r="F430" s="1"/>
      <c r="G430" s="1"/>
      <c r="H430" s="43"/>
      <c r="I430" s="46"/>
      <c r="J430" s="46"/>
      <c r="K430" s="46"/>
      <c r="L430" s="46"/>
      <c r="M430" s="46"/>
      <c r="N430" s="46"/>
      <c r="O430" s="46"/>
      <c r="P430" s="46"/>
      <c r="Q430" s="46"/>
      <c r="R430" s="46"/>
      <c r="S430" s="46"/>
      <c r="T430" s="46"/>
      <c r="U430" s="46"/>
      <c r="V430" s="46"/>
      <c r="W430" s="62"/>
      <c r="X430" s="67"/>
      <c r="Y430" s="68" t="str" cm="1">
        <f t="array" ref="Y430">CalculerNouvelleDate(I430,X430)</f>
        <v/>
      </c>
      <c r="Z430" s="68" t="str" cm="1">
        <f t="array" ref="Z430">CalculerNouvelleDate(J430,Y430)</f>
        <v/>
      </c>
      <c r="AA430" s="68" t="str" cm="1">
        <f t="array" ref="AA430">CalculerNouvelleDate(K430,Z430)</f>
        <v/>
      </c>
      <c r="AB430" s="68" t="str" cm="1">
        <f t="array" ref="AB430">CalculerNouvelleDate(L430,AA430)</f>
        <v/>
      </c>
      <c r="AC430" s="68" t="str" cm="1">
        <f t="array" ref="AC430">CalculerNouvelleDate(M430,AB430)</f>
        <v/>
      </c>
      <c r="AD430" s="68" t="str" cm="1">
        <f t="array" ref="AD430">CalculerNouvelleDate(N430,AC430)</f>
        <v/>
      </c>
      <c r="AE430" s="68" t="str" cm="1">
        <f t="array" ref="AE430">CalculerNouvelleDate(O430,AD430)</f>
        <v/>
      </c>
      <c r="AF430" s="68" t="str" cm="1">
        <f t="array" ref="AF430">CalculerNouvelleDate(P430,AE430)</f>
        <v/>
      </c>
      <c r="AG430" s="68" t="str" cm="1">
        <f t="array" ref="AG430">CalculerNouvelleDate(Q430,AF430)</f>
        <v/>
      </c>
      <c r="AH430" s="68" t="str" cm="1">
        <f t="array" ref="AH430">CalculerNouvelleDate(R430,AG430)</f>
        <v/>
      </c>
      <c r="AI430" s="68" t="str" cm="1">
        <f t="array" ref="AI430">CalculerNouvelleDate(S430,AH430)</f>
        <v/>
      </c>
      <c r="AJ430" s="68" t="str" cm="1">
        <f t="array" ref="AJ430">CalculerNouvelleDate(T430,AI430)</f>
        <v/>
      </c>
      <c r="AK430" s="68" t="str" cm="1">
        <f t="array" ref="AK430">CalculerNouvelleDate(U430,AJ430)</f>
        <v/>
      </c>
      <c r="AL430" s="68" t="str" cm="1">
        <f t="array" ref="AL430">CalculerNouvelleDate(V430,AK430)</f>
        <v/>
      </c>
      <c r="AM430" s="83" t="str" cm="1">
        <f t="array" ref="AM430">CorrespondanceDAte(X430:AL430,D431)</f>
        <v>0</v>
      </c>
      <c r="AN430" s="1"/>
      <c r="AO430" s="1"/>
      <c r="AP430" s="1"/>
      <c r="AQ430" s="1"/>
      <c r="AR430" s="1"/>
      <c r="AS430" s="1"/>
      <c r="AT430" s="1"/>
      <c r="AU430" s="1"/>
      <c r="AV430" s="1"/>
      <c r="AW430" s="1"/>
      <c r="AX430" s="1"/>
      <c r="AY430" s="1"/>
      <c r="AZ430" s="1"/>
      <c r="BA430" s="1"/>
    </row>
    <row r="431" spans="1:53" x14ac:dyDescent="0.3">
      <c r="A431" s="1"/>
      <c r="B431" s="11">
        <f>B423+1</f>
        <v>9</v>
      </c>
      <c r="C431" s="1" t="s">
        <v>90</v>
      </c>
      <c r="D431" s="1"/>
      <c r="E431" s="1"/>
      <c r="F431" s="1"/>
      <c r="G431" s="1"/>
      <c r="H431" s="43"/>
      <c r="I431" s="1"/>
      <c r="J431" s="1"/>
      <c r="K431" s="1"/>
      <c r="L431" s="1"/>
      <c r="M431" s="1"/>
      <c r="N431" s="1"/>
      <c r="O431" s="1"/>
      <c r="P431" s="1"/>
      <c r="Q431" s="1"/>
      <c r="R431" s="1"/>
      <c r="S431" s="1"/>
      <c r="T431" s="1"/>
      <c r="U431" s="1"/>
      <c r="V431" s="1"/>
      <c r="W431" s="11"/>
      <c r="X431" s="67"/>
      <c r="Y431" s="68" t="str" cm="1">
        <f t="array" ref="Y431">CalculerNouvelleDate(I431,X431)</f>
        <v/>
      </c>
      <c r="Z431" s="68" t="str" cm="1">
        <f t="array" ref="Z431">CalculerNouvelleDate(J431,Y431)</f>
        <v/>
      </c>
      <c r="AA431" s="68" t="str" cm="1">
        <f t="array" ref="AA431">CalculerNouvelleDate(K431,Z431)</f>
        <v/>
      </c>
      <c r="AB431" s="68" t="str" cm="1">
        <f t="array" ref="AB431">CalculerNouvelleDate(L431,AA431)</f>
        <v/>
      </c>
      <c r="AC431" s="68" t="str" cm="1">
        <f t="array" ref="AC431">CalculerNouvelleDate(M431,AB431)</f>
        <v/>
      </c>
      <c r="AD431" s="68" t="str" cm="1">
        <f t="array" ref="AD431">CalculerNouvelleDate(N431,AC431)</f>
        <v/>
      </c>
      <c r="AE431" s="68" t="str" cm="1">
        <f t="array" ref="AE431">CalculerNouvelleDate(O431,AD431)</f>
        <v/>
      </c>
      <c r="AF431" s="68" t="str" cm="1">
        <f t="array" ref="AF431">CalculerNouvelleDate(P431,AE431)</f>
        <v/>
      </c>
      <c r="AG431" s="68" t="str" cm="1">
        <f t="array" ref="AG431">CalculerNouvelleDate(Q431,AF431)</f>
        <v/>
      </c>
      <c r="AH431" s="68" t="str" cm="1">
        <f t="array" ref="AH431">CalculerNouvelleDate(R431,AG431)</f>
        <v/>
      </c>
      <c r="AI431" s="68" t="str" cm="1">
        <f t="array" ref="AI431">CalculerNouvelleDate(S431,AH431)</f>
        <v/>
      </c>
      <c r="AJ431" s="68" t="str" cm="1">
        <f t="array" ref="AJ431">CalculerNouvelleDate(T431,AI431)</f>
        <v/>
      </c>
      <c r="AK431" s="68" t="str" cm="1">
        <f t="array" ref="AK431">CalculerNouvelleDate(U431,AJ431)</f>
        <v/>
      </c>
      <c r="AL431" s="68" t="str" cm="1">
        <f t="array" ref="AL431">CalculerNouvelleDate(V431,AK431)</f>
        <v/>
      </c>
      <c r="AM431" s="83" t="str" cm="1">
        <f t="array" ref="AM431">CorrespondanceDAte(X431:AL431,D432)</f>
        <v>0</v>
      </c>
      <c r="AN431" s="1"/>
      <c r="AO431" s="1"/>
      <c r="AP431" s="1"/>
      <c r="AQ431" s="1"/>
      <c r="AR431" s="1"/>
      <c r="AS431" s="1"/>
      <c r="AT431" s="1"/>
      <c r="AU431" s="1"/>
      <c r="AV431" s="1"/>
      <c r="AW431" s="1"/>
      <c r="AX431" s="1"/>
      <c r="AY431" s="1"/>
      <c r="AZ431" s="1"/>
      <c r="BA431" s="1"/>
    </row>
    <row r="432" spans="1:53" x14ac:dyDescent="0.3">
      <c r="A432" s="1"/>
      <c r="B432" s="11"/>
      <c r="C432" s="1" t="s">
        <v>736</v>
      </c>
      <c r="D432" s="1"/>
      <c r="E432" s="1"/>
      <c r="F432" s="1"/>
      <c r="G432" s="1"/>
      <c r="H432" s="43"/>
      <c r="I432" s="46"/>
      <c r="J432" s="46"/>
      <c r="K432" s="46"/>
      <c r="L432" s="46"/>
      <c r="M432" s="46"/>
      <c r="N432" s="46"/>
      <c r="O432" s="46"/>
      <c r="P432" s="46"/>
      <c r="Q432" s="46"/>
      <c r="R432" s="46"/>
      <c r="S432" s="46"/>
      <c r="T432" s="46"/>
      <c r="U432" s="46"/>
      <c r="V432" s="46"/>
      <c r="W432" s="62"/>
      <c r="X432" s="67"/>
      <c r="Y432" s="68" t="str" cm="1">
        <f t="array" ref="Y432">CalculerNouvelleDate(I432,X432)</f>
        <v/>
      </c>
      <c r="Z432" s="68" t="str" cm="1">
        <f t="array" ref="Z432">CalculerNouvelleDate(J432,Y432)</f>
        <v/>
      </c>
      <c r="AA432" s="68" t="str" cm="1">
        <f t="array" ref="AA432">CalculerNouvelleDate(K432,Z432)</f>
        <v/>
      </c>
      <c r="AB432" s="68" t="str" cm="1">
        <f t="array" ref="AB432">CalculerNouvelleDate(L432,AA432)</f>
        <v/>
      </c>
      <c r="AC432" s="68" t="str" cm="1">
        <f t="array" ref="AC432">CalculerNouvelleDate(M432,AB432)</f>
        <v/>
      </c>
      <c r="AD432" s="68" t="str" cm="1">
        <f t="array" ref="AD432">CalculerNouvelleDate(N432,AC432)</f>
        <v/>
      </c>
      <c r="AE432" s="68" t="str" cm="1">
        <f t="array" ref="AE432">CalculerNouvelleDate(O432,AD432)</f>
        <v/>
      </c>
      <c r="AF432" s="68" t="str" cm="1">
        <f t="array" ref="AF432">CalculerNouvelleDate(P432,AE432)</f>
        <v/>
      </c>
      <c r="AG432" s="68" t="str" cm="1">
        <f t="array" ref="AG432">CalculerNouvelleDate(Q432,AF432)</f>
        <v/>
      </c>
      <c r="AH432" s="68" t="str" cm="1">
        <f t="array" ref="AH432">CalculerNouvelleDate(R432,AG432)</f>
        <v/>
      </c>
      <c r="AI432" s="68" t="str" cm="1">
        <f t="array" ref="AI432">CalculerNouvelleDate(S432,AH432)</f>
        <v/>
      </c>
      <c r="AJ432" s="68" t="str" cm="1">
        <f t="array" ref="AJ432">CalculerNouvelleDate(T432,AI432)</f>
        <v/>
      </c>
      <c r="AK432" s="68" t="str" cm="1">
        <f t="array" ref="AK432">CalculerNouvelleDate(U432,AJ432)</f>
        <v/>
      </c>
      <c r="AL432" s="68" t="str" cm="1">
        <f t="array" ref="AL432">CalculerNouvelleDate(V432,AK432)</f>
        <v/>
      </c>
      <c r="AM432" s="83" t="str" cm="1">
        <f t="array" ref="AM432">CorrespondanceDAte(X432:AL432,D433)</f>
        <v>0</v>
      </c>
      <c r="AN432" s="1"/>
      <c r="AO432" s="1"/>
      <c r="AP432" s="1"/>
      <c r="AQ432" s="1"/>
      <c r="AR432" s="1"/>
      <c r="AS432" s="1"/>
      <c r="AT432" s="1"/>
      <c r="AU432" s="1"/>
      <c r="AV432" s="1"/>
      <c r="AW432" s="1"/>
      <c r="AX432" s="1"/>
      <c r="AY432" s="1"/>
      <c r="AZ432" s="1"/>
      <c r="BA432" s="1"/>
    </row>
    <row r="433" spans="1:53" x14ac:dyDescent="0.3">
      <c r="A433" s="1"/>
      <c r="B433" s="11"/>
      <c r="C433" s="1" t="s">
        <v>581</v>
      </c>
      <c r="D433" s="1"/>
      <c r="E433" s="1"/>
      <c r="F433" s="1"/>
      <c r="G433" s="1"/>
      <c r="H433" s="43"/>
      <c r="I433" s="46"/>
      <c r="J433" s="46"/>
      <c r="K433" s="46"/>
      <c r="L433" s="46"/>
      <c r="M433" s="46"/>
      <c r="N433" s="46"/>
      <c r="O433" s="46"/>
      <c r="P433" s="46"/>
      <c r="Q433" s="46"/>
      <c r="R433" s="46"/>
      <c r="S433" s="46"/>
      <c r="T433" s="46"/>
      <c r="U433" s="46"/>
      <c r="V433" s="46"/>
      <c r="W433" s="62"/>
      <c r="X433" s="67"/>
      <c r="Y433" s="68" t="str" cm="1">
        <f t="array" ref="Y433">CalculerNouvelleDate(I433,X433)</f>
        <v/>
      </c>
      <c r="Z433" s="68" t="str" cm="1">
        <f t="array" ref="Z433">CalculerNouvelleDate(J433,Y433)</f>
        <v/>
      </c>
      <c r="AA433" s="68" t="str" cm="1">
        <f t="array" ref="AA433">CalculerNouvelleDate(K433,Z433)</f>
        <v/>
      </c>
      <c r="AB433" s="68" t="str" cm="1">
        <f t="array" ref="AB433">CalculerNouvelleDate(L433,AA433)</f>
        <v/>
      </c>
      <c r="AC433" s="68" t="str" cm="1">
        <f t="array" ref="AC433">CalculerNouvelleDate(M433,AB433)</f>
        <v/>
      </c>
      <c r="AD433" s="68" t="str" cm="1">
        <f t="array" ref="AD433">CalculerNouvelleDate(N433,AC433)</f>
        <v/>
      </c>
      <c r="AE433" s="68" t="str" cm="1">
        <f t="array" ref="AE433">CalculerNouvelleDate(O433,AD433)</f>
        <v/>
      </c>
      <c r="AF433" s="68" t="str" cm="1">
        <f t="array" ref="AF433">CalculerNouvelleDate(P433,AE433)</f>
        <v/>
      </c>
      <c r="AG433" s="68" t="str" cm="1">
        <f t="array" ref="AG433">CalculerNouvelleDate(Q433,AF433)</f>
        <v/>
      </c>
      <c r="AH433" s="68" t="str" cm="1">
        <f t="array" ref="AH433">CalculerNouvelleDate(R433,AG433)</f>
        <v/>
      </c>
      <c r="AI433" s="68" t="str" cm="1">
        <f t="array" ref="AI433">CalculerNouvelleDate(S433,AH433)</f>
        <v/>
      </c>
      <c r="AJ433" s="68" t="str" cm="1">
        <f t="array" ref="AJ433">CalculerNouvelleDate(T433,AI433)</f>
        <v/>
      </c>
      <c r="AK433" s="68" t="str" cm="1">
        <f t="array" ref="AK433">CalculerNouvelleDate(U433,AJ433)</f>
        <v/>
      </c>
      <c r="AL433" s="68" t="str" cm="1">
        <f t="array" ref="AL433">CalculerNouvelleDate(V433,AK433)</f>
        <v/>
      </c>
      <c r="AM433" s="83" t="str" cm="1">
        <f t="array" ref="AM433">CorrespondanceDAte(X433:AL433,D434)</f>
        <v>0</v>
      </c>
      <c r="AN433" s="1"/>
      <c r="AO433" s="1"/>
      <c r="AP433" s="1"/>
      <c r="AQ433" s="1"/>
      <c r="AR433" s="1"/>
      <c r="AS433" s="1"/>
      <c r="AT433" s="1"/>
      <c r="AU433" s="1"/>
      <c r="AV433" s="1"/>
      <c r="AW433" s="1"/>
      <c r="AX433" s="1"/>
      <c r="AY433" s="1"/>
      <c r="AZ433" s="1"/>
      <c r="BA433" s="1"/>
    </row>
    <row r="434" spans="1:53" x14ac:dyDescent="0.3">
      <c r="A434" s="1"/>
      <c r="B434" s="11"/>
      <c r="C434" s="1" t="s">
        <v>737</v>
      </c>
      <c r="D434" s="1"/>
      <c r="E434" s="1"/>
      <c r="F434" s="1"/>
      <c r="G434" s="1"/>
      <c r="H434" s="43"/>
      <c r="I434" s="46"/>
      <c r="J434" s="46"/>
      <c r="K434" s="46"/>
      <c r="L434" s="46"/>
      <c r="M434" s="46"/>
      <c r="N434" s="46"/>
      <c r="O434" s="46"/>
      <c r="P434" s="46"/>
      <c r="Q434" s="46"/>
      <c r="R434" s="46"/>
      <c r="S434" s="46"/>
      <c r="T434" s="46"/>
      <c r="U434" s="46"/>
      <c r="V434" s="46"/>
      <c r="W434" s="62"/>
      <c r="X434" s="67"/>
      <c r="Y434" s="68" t="str" cm="1">
        <f t="array" ref="Y434">CalculerNouvelleDate(I434,X434)</f>
        <v/>
      </c>
      <c r="Z434" s="68" t="str" cm="1">
        <f t="array" ref="Z434">CalculerNouvelleDate(J434,Y434)</f>
        <v/>
      </c>
      <c r="AA434" s="68" t="str" cm="1">
        <f t="array" ref="AA434">CalculerNouvelleDate(K434,Z434)</f>
        <v/>
      </c>
      <c r="AB434" s="68" t="str" cm="1">
        <f t="array" ref="AB434">CalculerNouvelleDate(L434,AA434)</f>
        <v/>
      </c>
      <c r="AC434" s="68" t="str" cm="1">
        <f t="array" ref="AC434">CalculerNouvelleDate(M434,AB434)</f>
        <v/>
      </c>
      <c r="AD434" s="68" t="str" cm="1">
        <f t="array" ref="AD434">CalculerNouvelleDate(N434,AC434)</f>
        <v/>
      </c>
      <c r="AE434" s="68" t="str" cm="1">
        <f t="array" ref="AE434">CalculerNouvelleDate(O434,AD434)</f>
        <v/>
      </c>
      <c r="AF434" s="68" t="str" cm="1">
        <f t="array" ref="AF434">CalculerNouvelleDate(P434,AE434)</f>
        <v/>
      </c>
      <c r="AG434" s="68" t="str" cm="1">
        <f t="array" ref="AG434">CalculerNouvelleDate(Q434,AF434)</f>
        <v/>
      </c>
      <c r="AH434" s="68" t="str" cm="1">
        <f t="array" ref="AH434">CalculerNouvelleDate(R434,AG434)</f>
        <v/>
      </c>
      <c r="AI434" s="68" t="str" cm="1">
        <f t="array" ref="AI434">CalculerNouvelleDate(S434,AH434)</f>
        <v/>
      </c>
      <c r="AJ434" s="68" t="str" cm="1">
        <f t="array" ref="AJ434">CalculerNouvelleDate(T434,AI434)</f>
        <v/>
      </c>
      <c r="AK434" s="68" t="str" cm="1">
        <f t="array" ref="AK434">CalculerNouvelleDate(U434,AJ434)</f>
        <v/>
      </c>
      <c r="AL434" s="68" t="str" cm="1">
        <f t="array" ref="AL434">CalculerNouvelleDate(V434,AK434)</f>
        <v/>
      </c>
      <c r="AM434" s="83" t="str" cm="1">
        <f t="array" ref="AM434">CorrespondanceDAte(X434:AL434,D435)</f>
        <v>0</v>
      </c>
      <c r="AN434" s="1"/>
      <c r="AO434" s="1"/>
      <c r="AP434" s="1"/>
      <c r="AQ434" s="1"/>
      <c r="AR434" s="1"/>
      <c r="AS434" s="1"/>
      <c r="AT434" s="1"/>
      <c r="AU434" s="1"/>
      <c r="AV434" s="1"/>
      <c r="AW434" s="1"/>
      <c r="AX434" s="1"/>
      <c r="AY434" s="1"/>
      <c r="AZ434" s="1"/>
      <c r="BA434" s="1"/>
    </row>
    <row r="435" spans="1:53" x14ac:dyDescent="0.3">
      <c r="A435" s="1"/>
      <c r="B435" s="11"/>
      <c r="C435" s="1" t="s">
        <v>764</v>
      </c>
      <c r="D435" s="1"/>
      <c r="E435" s="1"/>
      <c r="F435" s="1"/>
      <c r="G435" s="1"/>
      <c r="H435" s="43"/>
      <c r="I435" s="46"/>
      <c r="J435" s="46"/>
      <c r="K435" s="46"/>
      <c r="L435" s="46"/>
      <c r="M435" s="46"/>
      <c r="N435" s="46"/>
      <c r="O435" s="46"/>
      <c r="P435" s="46"/>
      <c r="Q435" s="46"/>
      <c r="R435" s="46"/>
      <c r="S435" s="46"/>
      <c r="T435" s="46"/>
      <c r="U435" s="46"/>
      <c r="V435" s="46"/>
      <c r="W435" s="62"/>
      <c r="X435" s="67"/>
      <c r="Y435" s="68" t="str" cm="1">
        <f t="array" ref="Y435">CalculerNouvelleDate(I435,X435)</f>
        <v/>
      </c>
      <c r="Z435" s="68" t="str" cm="1">
        <f t="array" ref="Z435">CalculerNouvelleDate(J435,Y435)</f>
        <v/>
      </c>
      <c r="AA435" s="68" t="str" cm="1">
        <f t="array" ref="AA435">CalculerNouvelleDate(K435,Z435)</f>
        <v/>
      </c>
      <c r="AB435" s="68" t="str" cm="1">
        <f t="array" ref="AB435">CalculerNouvelleDate(L435,AA435)</f>
        <v/>
      </c>
      <c r="AC435" s="68" t="str" cm="1">
        <f t="array" ref="AC435">CalculerNouvelleDate(M435,AB435)</f>
        <v/>
      </c>
      <c r="AD435" s="68" t="str" cm="1">
        <f t="array" ref="AD435">CalculerNouvelleDate(N435,AC435)</f>
        <v/>
      </c>
      <c r="AE435" s="68" t="str" cm="1">
        <f t="array" ref="AE435">CalculerNouvelleDate(O435,AD435)</f>
        <v/>
      </c>
      <c r="AF435" s="68" t="str" cm="1">
        <f t="array" ref="AF435">CalculerNouvelleDate(P435,AE435)</f>
        <v/>
      </c>
      <c r="AG435" s="68" t="str" cm="1">
        <f t="array" ref="AG435">CalculerNouvelleDate(Q435,AF435)</f>
        <v/>
      </c>
      <c r="AH435" s="68" t="str" cm="1">
        <f t="array" ref="AH435">CalculerNouvelleDate(R435,AG435)</f>
        <v/>
      </c>
      <c r="AI435" s="68" t="str" cm="1">
        <f t="array" ref="AI435">CalculerNouvelleDate(S435,AH435)</f>
        <v/>
      </c>
      <c r="AJ435" s="68" t="str" cm="1">
        <f t="array" ref="AJ435">CalculerNouvelleDate(T435,AI435)</f>
        <v/>
      </c>
      <c r="AK435" s="68" t="str" cm="1">
        <f t="array" ref="AK435">CalculerNouvelleDate(U435,AJ435)</f>
        <v/>
      </c>
      <c r="AL435" s="68" t="str" cm="1">
        <f t="array" ref="AL435">CalculerNouvelleDate(V435,AK435)</f>
        <v/>
      </c>
      <c r="AM435" s="83" t="str" cm="1">
        <f t="array" ref="AM435">CorrespondanceDAte(X435:AL435,D436)</f>
        <v>0</v>
      </c>
      <c r="AN435" s="1"/>
      <c r="AO435" s="1"/>
      <c r="AP435" s="1"/>
      <c r="AQ435" s="1"/>
      <c r="AR435" s="1"/>
      <c r="AS435" s="1"/>
      <c r="AT435" s="1"/>
      <c r="AU435" s="1"/>
      <c r="AV435" s="1"/>
      <c r="AW435" s="1"/>
      <c r="AX435" s="1"/>
      <c r="AY435" s="1"/>
      <c r="AZ435" s="1"/>
      <c r="BA435" s="1"/>
    </row>
    <row r="436" spans="1:53" x14ac:dyDescent="0.3">
      <c r="A436" s="1"/>
      <c r="B436" s="11"/>
      <c r="C436" s="1" t="s">
        <v>765</v>
      </c>
      <c r="D436" s="1"/>
      <c r="E436" s="1"/>
      <c r="F436" s="1"/>
      <c r="G436" s="1"/>
      <c r="H436" s="43"/>
      <c r="I436" s="46"/>
      <c r="J436" s="46"/>
      <c r="K436" s="46"/>
      <c r="L436" s="46"/>
      <c r="M436" s="46"/>
      <c r="N436" s="46"/>
      <c r="O436" s="46"/>
      <c r="P436" s="46"/>
      <c r="Q436" s="46"/>
      <c r="R436" s="46"/>
      <c r="S436" s="46"/>
      <c r="T436" s="46"/>
      <c r="U436" s="46"/>
      <c r="V436" s="46"/>
      <c r="W436" s="62"/>
      <c r="X436" s="67"/>
      <c r="Y436" s="68" t="str" cm="1">
        <f t="array" ref="Y436">CalculerNouvelleDate(I436,X436)</f>
        <v/>
      </c>
      <c r="Z436" s="68" t="str" cm="1">
        <f t="array" ref="Z436">CalculerNouvelleDate(J436,Y436)</f>
        <v/>
      </c>
      <c r="AA436" s="68" t="str" cm="1">
        <f t="array" ref="AA436">CalculerNouvelleDate(K436,Z436)</f>
        <v/>
      </c>
      <c r="AB436" s="68" t="str" cm="1">
        <f t="array" ref="AB436">CalculerNouvelleDate(L436,AA436)</f>
        <v/>
      </c>
      <c r="AC436" s="68" t="str" cm="1">
        <f t="array" ref="AC436">CalculerNouvelleDate(M436,AB436)</f>
        <v/>
      </c>
      <c r="AD436" s="68" t="str" cm="1">
        <f t="array" ref="AD436">CalculerNouvelleDate(N436,AC436)</f>
        <v/>
      </c>
      <c r="AE436" s="68" t="str" cm="1">
        <f t="array" ref="AE436">CalculerNouvelleDate(O436,AD436)</f>
        <v/>
      </c>
      <c r="AF436" s="68" t="str" cm="1">
        <f t="array" ref="AF436">CalculerNouvelleDate(P436,AE436)</f>
        <v/>
      </c>
      <c r="AG436" s="68" t="str" cm="1">
        <f t="array" ref="AG436">CalculerNouvelleDate(Q436,AF436)</f>
        <v/>
      </c>
      <c r="AH436" s="68" t="str" cm="1">
        <f t="array" ref="AH436">CalculerNouvelleDate(R436,AG436)</f>
        <v/>
      </c>
      <c r="AI436" s="68" t="str" cm="1">
        <f t="array" ref="AI436">CalculerNouvelleDate(S436,AH436)</f>
        <v/>
      </c>
      <c r="AJ436" s="68" t="str" cm="1">
        <f t="array" ref="AJ436">CalculerNouvelleDate(T436,AI436)</f>
        <v/>
      </c>
      <c r="AK436" s="68" t="str" cm="1">
        <f t="array" ref="AK436">CalculerNouvelleDate(U436,AJ436)</f>
        <v/>
      </c>
      <c r="AL436" s="68" t="str" cm="1">
        <f t="array" ref="AL436">CalculerNouvelleDate(V436,AK436)</f>
        <v/>
      </c>
      <c r="AM436" s="83" t="str" cm="1">
        <f t="array" ref="AM436">CorrespondanceDAte(X436:AL436,D437)</f>
        <v>0</v>
      </c>
      <c r="AN436" s="1"/>
      <c r="AO436" s="1"/>
      <c r="AP436" s="1"/>
      <c r="AQ436" s="1"/>
      <c r="AR436" s="1"/>
      <c r="AS436" s="1"/>
      <c r="AT436" s="1"/>
      <c r="AU436" s="1"/>
      <c r="AV436" s="1"/>
      <c r="AW436" s="1"/>
      <c r="AX436" s="1"/>
      <c r="AY436" s="1"/>
      <c r="AZ436" s="1"/>
      <c r="BA436" s="1"/>
    </row>
    <row r="437" spans="1:53" x14ac:dyDescent="0.3">
      <c r="A437" s="1"/>
      <c r="B437" s="11">
        <f t="shared" ref="B437" si="6">B431+1</f>
        <v>10</v>
      </c>
      <c r="C437" s="1" t="s">
        <v>89</v>
      </c>
      <c r="D437" s="1"/>
      <c r="E437" s="1"/>
      <c r="F437" s="1"/>
      <c r="G437" s="1"/>
      <c r="H437" s="43"/>
      <c r="I437" s="1"/>
      <c r="J437" s="1"/>
      <c r="K437" s="1"/>
      <c r="L437" s="1"/>
      <c r="M437" s="1"/>
      <c r="N437" s="1"/>
      <c r="O437" s="1"/>
      <c r="P437" s="1"/>
      <c r="Q437" s="1"/>
      <c r="R437" s="1"/>
      <c r="S437" s="1"/>
      <c r="T437" s="1"/>
      <c r="U437" s="1"/>
      <c r="V437" s="1"/>
      <c r="W437" s="11"/>
      <c r="X437" s="67"/>
      <c r="Y437" s="68" t="str" cm="1">
        <f t="array" ref="Y437">CalculerNouvelleDate(I437,X437)</f>
        <v/>
      </c>
      <c r="Z437" s="68" t="str" cm="1">
        <f t="array" ref="Z437">CalculerNouvelleDate(J437,Y437)</f>
        <v/>
      </c>
      <c r="AA437" s="68" t="str" cm="1">
        <f t="array" ref="AA437">CalculerNouvelleDate(K437,Z437)</f>
        <v/>
      </c>
      <c r="AB437" s="68" t="str" cm="1">
        <f t="array" ref="AB437">CalculerNouvelleDate(L437,AA437)</f>
        <v/>
      </c>
      <c r="AC437" s="68" t="str" cm="1">
        <f t="array" ref="AC437">CalculerNouvelleDate(M437,AB437)</f>
        <v/>
      </c>
      <c r="AD437" s="68" t="str" cm="1">
        <f t="array" ref="AD437">CalculerNouvelleDate(N437,AC437)</f>
        <v/>
      </c>
      <c r="AE437" s="68" t="str" cm="1">
        <f t="array" ref="AE437">CalculerNouvelleDate(O437,AD437)</f>
        <v/>
      </c>
      <c r="AF437" s="68" t="str" cm="1">
        <f t="array" ref="AF437">CalculerNouvelleDate(P437,AE437)</f>
        <v/>
      </c>
      <c r="AG437" s="68" t="str" cm="1">
        <f t="array" ref="AG437">CalculerNouvelleDate(Q437,AF437)</f>
        <v/>
      </c>
      <c r="AH437" s="68" t="str" cm="1">
        <f t="array" ref="AH437">CalculerNouvelleDate(R437,AG437)</f>
        <v/>
      </c>
      <c r="AI437" s="68" t="str" cm="1">
        <f t="array" ref="AI437">CalculerNouvelleDate(S437,AH437)</f>
        <v/>
      </c>
      <c r="AJ437" s="68" t="str" cm="1">
        <f t="array" ref="AJ437">CalculerNouvelleDate(T437,AI437)</f>
        <v/>
      </c>
      <c r="AK437" s="68" t="str" cm="1">
        <f t="array" ref="AK437">CalculerNouvelleDate(U437,AJ437)</f>
        <v/>
      </c>
      <c r="AL437" s="68" t="str" cm="1">
        <f t="array" ref="AL437">CalculerNouvelleDate(V437,AK437)</f>
        <v/>
      </c>
      <c r="AM437" s="83" t="str" cm="1">
        <f t="array" ref="AM437">CorrespondanceDAte(X437:AL437,D438)</f>
        <v>0</v>
      </c>
      <c r="AN437" s="1"/>
      <c r="AO437" s="1"/>
      <c r="AP437" s="1"/>
      <c r="AQ437" s="1"/>
      <c r="AR437" s="1"/>
      <c r="AS437" s="1"/>
      <c r="AT437" s="1"/>
      <c r="AU437" s="1"/>
      <c r="AV437" s="1"/>
      <c r="AW437" s="1"/>
      <c r="AX437" s="1"/>
      <c r="AY437" s="1"/>
      <c r="AZ437" s="1"/>
      <c r="BA437" s="1"/>
    </row>
    <row r="438" spans="1:53" x14ac:dyDescent="0.3">
      <c r="A438" s="1"/>
      <c r="B438" s="11"/>
      <c r="C438" s="1" t="s">
        <v>584</v>
      </c>
      <c r="D438" s="1"/>
      <c r="E438" s="1"/>
      <c r="F438" s="1"/>
      <c r="G438" s="1"/>
      <c r="H438" s="43"/>
      <c r="I438" s="46"/>
      <c r="J438" s="46"/>
      <c r="K438" s="46"/>
      <c r="L438" s="46"/>
      <c r="M438" s="46"/>
      <c r="N438" s="46"/>
      <c r="O438" s="46"/>
      <c r="P438" s="46"/>
      <c r="Q438" s="46"/>
      <c r="R438" s="46"/>
      <c r="S438" s="46"/>
      <c r="T438" s="46"/>
      <c r="U438" s="46"/>
      <c r="V438" s="46"/>
      <c r="W438" s="62"/>
      <c r="X438" s="67"/>
      <c r="Y438" s="68" t="str" cm="1">
        <f t="array" ref="Y438">CalculerNouvelleDate(I438,X438)</f>
        <v/>
      </c>
      <c r="Z438" s="68" t="str" cm="1">
        <f t="array" ref="Z438">CalculerNouvelleDate(J438,Y438)</f>
        <v/>
      </c>
      <c r="AA438" s="68" t="str" cm="1">
        <f t="array" ref="AA438">CalculerNouvelleDate(K438,Z438)</f>
        <v/>
      </c>
      <c r="AB438" s="68" t="str" cm="1">
        <f t="array" ref="AB438">CalculerNouvelleDate(L438,AA438)</f>
        <v/>
      </c>
      <c r="AC438" s="68" t="str" cm="1">
        <f t="array" ref="AC438">CalculerNouvelleDate(M438,AB438)</f>
        <v/>
      </c>
      <c r="AD438" s="68" t="str" cm="1">
        <f t="array" ref="AD438">CalculerNouvelleDate(N438,AC438)</f>
        <v/>
      </c>
      <c r="AE438" s="68" t="str" cm="1">
        <f t="array" ref="AE438">CalculerNouvelleDate(O438,AD438)</f>
        <v/>
      </c>
      <c r="AF438" s="68" t="str" cm="1">
        <f t="array" ref="AF438">CalculerNouvelleDate(P438,AE438)</f>
        <v/>
      </c>
      <c r="AG438" s="68" t="str" cm="1">
        <f t="array" ref="AG438">CalculerNouvelleDate(Q438,AF438)</f>
        <v/>
      </c>
      <c r="AH438" s="68" t="str" cm="1">
        <f t="array" ref="AH438">CalculerNouvelleDate(R438,AG438)</f>
        <v/>
      </c>
      <c r="AI438" s="68" t="str" cm="1">
        <f t="array" ref="AI438">CalculerNouvelleDate(S438,AH438)</f>
        <v/>
      </c>
      <c r="AJ438" s="68" t="str" cm="1">
        <f t="array" ref="AJ438">CalculerNouvelleDate(T438,AI438)</f>
        <v/>
      </c>
      <c r="AK438" s="68" t="str" cm="1">
        <f t="array" ref="AK438">CalculerNouvelleDate(U438,AJ438)</f>
        <v/>
      </c>
      <c r="AL438" s="68" t="str" cm="1">
        <f t="array" ref="AL438">CalculerNouvelleDate(V438,AK438)</f>
        <v/>
      </c>
      <c r="AM438" s="83" t="str" cm="1">
        <f t="array" ref="AM438">CorrespondanceDAte(X438:AL438,D439)</f>
        <v>0</v>
      </c>
      <c r="AN438" s="1"/>
      <c r="AO438" s="1"/>
      <c r="AP438" s="1"/>
      <c r="AQ438" s="1"/>
      <c r="AR438" s="1"/>
      <c r="AS438" s="1"/>
      <c r="AT438" s="1"/>
      <c r="AU438" s="1"/>
      <c r="AV438" s="1"/>
      <c r="AW438" s="1"/>
      <c r="AX438" s="1"/>
      <c r="AY438" s="1"/>
      <c r="AZ438" s="1"/>
      <c r="BA438" s="1"/>
    </row>
    <row r="439" spans="1:53" x14ac:dyDescent="0.3">
      <c r="A439" s="1"/>
      <c r="B439" s="11"/>
      <c r="C439" s="1" t="s">
        <v>585</v>
      </c>
      <c r="D439" s="1"/>
      <c r="E439" s="1"/>
      <c r="F439" s="1"/>
      <c r="G439" s="1"/>
      <c r="H439" s="43"/>
      <c r="I439" s="46"/>
      <c r="J439" s="46"/>
      <c r="K439" s="46"/>
      <c r="L439" s="46"/>
      <c r="M439" s="46"/>
      <c r="N439" s="46"/>
      <c r="O439" s="46"/>
      <c r="P439" s="46"/>
      <c r="Q439" s="46"/>
      <c r="R439" s="46"/>
      <c r="S439" s="46"/>
      <c r="T439" s="46"/>
      <c r="U439" s="46"/>
      <c r="V439" s="46"/>
      <c r="W439" s="62"/>
      <c r="X439" s="67"/>
      <c r="Y439" s="68" t="str" cm="1">
        <f t="array" ref="Y439">CalculerNouvelleDate(I439,X439)</f>
        <v/>
      </c>
      <c r="Z439" s="68" t="str" cm="1">
        <f t="array" ref="Z439">CalculerNouvelleDate(J439,Y439)</f>
        <v/>
      </c>
      <c r="AA439" s="68" t="str" cm="1">
        <f t="array" ref="AA439">CalculerNouvelleDate(K439,Z439)</f>
        <v/>
      </c>
      <c r="AB439" s="68" t="str" cm="1">
        <f t="array" ref="AB439">CalculerNouvelleDate(L439,AA439)</f>
        <v/>
      </c>
      <c r="AC439" s="68" t="str" cm="1">
        <f t="array" ref="AC439">CalculerNouvelleDate(M439,AB439)</f>
        <v/>
      </c>
      <c r="AD439" s="68" t="str" cm="1">
        <f t="array" ref="AD439">CalculerNouvelleDate(N439,AC439)</f>
        <v/>
      </c>
      <c r="AE439" s="68" t="str" cm="1">
        <f t="array" ref="AE439">CalculerNouvelleDate(O439,AD439)</f>
        <v/>
      </c>
      <c r="AF439" s="68" t="str" cm="1">
        <f t="array" ref="AF439">CalculerNouvelleDate(P439,AE439)</f>
        <v/>
      </c>
      <c r="AG439" s="68" t="str" cm="1">
        <f t="array" ref="AG439">CalculerNouvelleDate(Q439,AF439)</f>
        <v/>
      </c>
      <c r="AH439" s="68" t="str" cm="1">
        <f t="array" ref="AH439">CalculerNouvelleDate(R439,AG439)</f>
        <v/>
      </c>
      <c r="AI439" s="68" t="str" cm="1">
        <f t="array" ref="AI439">CalculerNouvelleDate(S439,AH439)</f>
        <v/>
      </c>
      <c r="AJ439" s="68" t="str" cm="1">
        <f t="array" ref="AJ439">CalculerNouvelleDate(T439,AI439)</f>
        <v/>
      </c>
      <c r="AK439" s="68" t="str" cm="1">
        <f t="array" ref="AK439">CalculerNouvelleDate(U439,AJ439)</f>
        <v/>
      </c>
      <c r="AL439" s="68" t="str" cm="1">
        <f t="array" ref="AL439">CalculerNouvelleDate(V439,AK439)</f>
        <v/>
      </c>
      <c r="AM439" s="83" t="str" cm="1">
        <f t="array" ref="AM439">CorrespondanceDAte(X439:AL439,D440)</f>
        <v>0</v>
      </c>
      <c r="AN439" s="1"/>
      <c r="AO439" s="1"/>
      <c r="AP439" s="1"/>
      <c r="AQ439" s="1"/>
      <c r="AR439" s="1"/>
      <c r="AS439" s="1"/>
      <c r="AT439" s="1"/>
      <c r="AU439" s="1"/>
      <c r="AV439" s="1"/>
      <c r="AW439" s="1"/>
      <c r="AX439" s="1"/>
      <c r="AY439" s="1"/>
      <c r="AZ439" s="1"/>
      <c r="BA439" s="1"/>
    </row>
    <row r="440" spans="1:53" x14ac:dyDescent="0.3">
      <c r="A440" s="1"/>
      <c r="B440" s="11"/>
      <c r="C440" s="1" t="s">
        <v>586</v>
      </c>
      <c r="D440" s="1"/>
      <c r="E440" s="1"/>
      <c r="F440" s="1"/>
      <c r="G440" s="1"/>
      <c r="H440" s="43"/>
      <c r="I440" s="46"/>
      <c r="J440" s="46"/>
      <c r="K440" s="46"/>
      <c r="L440" s="46"/>
      <c r="M440" s="46"/>
      <c r="N440" s="46"/>
      <c r="O440" s="46"/>
      <c r="P440" s="46"/>
      <c r="Q440" s="46"/>
      <c r="R440" s="46"/>
      <c r="S440" s="46"/>
      <c r="T440" s="46"/>
      <c r="U440" s="46"/>
      <c r="V440" s="46"/>
      <c r="W440" s="62"/>
      <c r="X440" s="67"/>
      <c r="Y440" s="68" t="str" cm="1">
        <f t="array" ref="Y440">CalculerNouvelleDate(I440,X440)</f>
        <v/>
      </c>
      <c r="Z440" s="68" t="str" cm="1">
        <f t="array" ref="Z440">CalculerNouvelleDate(J440,Y440)</f>
        <v/>
      </c>
      <c r="AA440" s="68" t="str" cm="1">
        <f t="array" ref="AA440">CalculerNouvelleDate(K440,Z440)</f>
        <v/>
      </c>
      <c r="AB440" s="68" t="str" cm="1">
        <f t="array" ref="AB440">CalculerNouvelleDate(L440,AA440)</f>
        <v/>
      </c>
      <c r="AC440" s="68" t="str" cm="1">
        <f t="array" ref="AC440">CalculerNouvelleDate(M440,AB440)</f>
        <v/>
      </c>
      <c r="AD440" s="68" t="str" cm="1">
        <f t="array" ref="AD440">CalculerNouvelleDate(N440,AC440)</f>
        <v/>
      </c>
      <c r="AE440" s="68" t="str" cm="1">
        <f t="array" ref="AE440">CalculerNouvelleDate(O440,AD440)</f>
        <v/>
      </c>
      <c r="AF440" s="68" t="str" cm="1">
        <f t="array" ref="AF440">CalculerNouvelleDate(P440,AE440)</f>
        <v/>
      </c>
      <c r="AG440" s="68" t="str" cm="1">
        <f t="array" ref="AG440">CalculerNouvelleDate(Q440,AF440)</f>
        <v/>
      </c>
      <c r="AH440" s="68" t="str" cm="1">
        <f t="array" ref="AH440">CalculerNouvelleDate(R440,AG440)</f>
        <v/>
      </c>
      <c r="AI440" s="68" t="str" cm="1">
        <f t="array" ref="AI440">CalculerNouvelleDate(S440,AH440)</f>
        <v/>
      </c>
      <c r="AJ440" s="68" t="str" cm="1">
        <f t="array" ref="AJ440">CalculerNouvelleDate(T440,AI440)</f>
        <v/>
      </c>
      <c r="AK440" s="68" t="str" cm="1">
        <f t="array" ref="AK440">CalculerNouvelleDate(U440,AJ440)</f>
        <v/>
      </c>
      <c r="AL440" s="68" t="str" cm="1">
        <f t="array" ref="AL440">CalculerNouvelleDate(V440,AK440)</f>
        <v/>
      </c>
      <c r="AM440" s="83" t="str" cm="1">
        <f t="array" ref="AM440">CorrespondanceDAte(X440:AL440,D441)</f>
        <v>0</v>
      </c>
      <c r="AN440" s="1"/>
      <c r="AO440" s="1"/>
      <c r="AP440" s="1"/>
      <c r="AQ440" s="1"/>
      <c r="AR440" s="1"/>
      <c r="AS440" s="1"/>
      <c r="AT440" s="1"/>
      <c r="AU440" s="1"/>
      <c r="AV440" s="1"/>
      <c r="AW440" s="1"/>
      <c r="AX440" s="1"/>
      <c r="AY440" s="1"/>
      <c r="AZ440" s="1"/>
      <c r="BA440" s="1"/>
    </row>
    <row r="441" spans="1:53" x14ac:dyDescent="0.3">
      <c r="A441" s="1"/>
      <c r="B441" s="11"/>
      <c r="C441" s="1" t="s">
        <v>587</v>
      </c>
      <c r="D441" s="1"/>
      <c r="E441" s="1"/>
      <c r="F441" s="1"/>
      <c r="G441" s="1"/>
      <c r="H441" s="43"/>
      <c r="I441" s="46"/>
      <c r="J441" s="46"/>
      <c r="K441" s="46"/>
      <c r="L441" s="46"/>
      <c r="M441" s="46"/>
      <c r="N441" s="46"/>
      <c r="O441" s="46"/>
      <c r="P441" s="46"/>
      <c r="Q441" s="46"/>
      <c r="R441" s="46"/>
      <c r="S441" s="46"/>
      <c r="T441" s="46"/>
      <c r="U441" s="46"/>
      <c r="V441" s="46"/>
      <c r="W441" s="62"/>
      <c r="X441" s="67"/>
      <c r="Y441" s="68" t="str" cm="1">
        <f t="array" ref="Y441">CalculerNouvelleDate(I441,X441)</f>
        <v/>
      </c>
      <c r="Z441" s="68" t="str" cm="1">
        <f t="array" ref="Z441">CalculerNouvelleDate(J441,Y441)</f>
        <v/>
      </c>
      <c r="AA441" s="68" t="str" cm="1">
        <f t="array" ref="AA441">CalculerNouvelleDate(K441,Z441)</f>
        <v/>
      </c>
      <c r="AB441" s="68" t="str" cm="1">
        <f t="array" ref="AB441">CalculerNouvelleDate(L441,AA441)</f>
        <v/>
      </c>
      <c r="AC441" s="68" t="str" cm="1">
        <f t="array" ref="AC441">CalculerNouvelleDate(M441,AB441)</f>
        <v/>
      </c>
      <c r="AD441" s="68" t="str" cm="1">
        <f t="array" ref="AD441">CalculerNouvelleDate(N441,AC441)</f>
        <v/>
      </c>
      <c r="AE441" s="68" t="str" cm="1">
        <f t="array" ref="AE441">CalculerNouvelleDate(O441,AD441)</f>
        <v/>
      </c>
      <c r="AF441" s="68" t="str" cm="1">
        <f t="array" ref="AF441">CalculerNouvelleDate(P441,AE441)</f>
        <v/>
      </c>
      <c r="AG441" s="68" t="str" cm="1">
        <f t="array" ref="AG441">CalculerNouvelleDate(Q441,AF441)</f>
        <v/>
      </c>
      <c r="AH441" s="68" t="str" cm="1">
        <f t="array" ref="AH441">CalculerNouvelleDate(R441,AG441)</f>
        <v/>
      </c>
      <c r="AI441" s="68" t="str" cm="1">
        <f t="array" ref="AI441">CalculerNouvelleDate(S441,AH441)</f>
        <v/>
      </c>
      <c r="AJ441" s="68" t="str" cm="1">
        <f t="array" ref="AJ441">CalculerNouvelleDate(T441,AI441)</f>
        <v/>
      </c>
      <c r="AK441" s="68" t="str" cm="1">
        <f t="array" ref="AK441">CalculerNouvelleDate(U441,AJ441)</f>
        <v/>
      </c>
      <c r="AL441" s="68" t="str" cm="1">
        <f t="array" ref="AL441">CalculerNouvelleDate(V441,AK441)</f>
        <v/>
      </c>
      <c r="AM441" s="83" t="str" cm="1">
        <f t="array" ref="AM441">CorrespondanceDAte(X441:AL441,D442)</f>
        <v>0</v>
      </c>
      <c r="AN441" s="1"/>
      <c r="AO441" s="1"/>
      <c r="AP441" s="1"/>
      <c r="AQ441" s="1"/>
      <c r="AR441" s="1"/>
      <c r="AS441" s="1"/>
      <c r="AT441" s="1"/>
      <c r="AU441" s="1"/>
      <c r="AV441" s="1"/>
      <c r="AW441" s="1"/>
      <c r="AX441" s="1"/>
      <c r="AY441" s="1"/>
      <c r="AZ441" s="1"/>
      <c r="BA441" s="1"/>
    </row>
    <row r="442" spans="1:53" x14ac:dyDescent="0.3">
      <c r="A442" s="1"/>
      <c r="B442" s="11"/>
      <c r="C442" s="1"/>
      <c r="D442" s="1"/>
      <c r="E442" s="1"/>
      <c r="F442" s="1"/>
      <c r="G442" s="1"/>
      <c r="H442" s="43"/>
      <c r="I442" s="46"/>
      <c r="J442" s="46"/>
      <c r="K442" s="46"/>
      <c r="L442" s="46"/>
      <c r="M442" s="46"/>
      <c r="N442" s="46"/>
      <c r="O442" s="46"/>
      <c r="P442" s="46"/>
      <c r="Q442" s="46"/>
      <c r="R442" s="46"/>
      <c r="S442" s="46"/>
      <c r="T442" s="46"/>
      <c r="U442" s="46"/>
      <c r="V442" s="46"/>
      <c r="W442" s="62"/>
      <c r="X442" s="67"/>
      <c r="Y442" s="68" t="str" cm="1">
        <f t="array" ref="Y442">CalculerNouvelleDate(I442,X442)</f>
        <v/>
      </c>
      <c r="Z442" s="68" t="str" cm="1">
        <f t="array" ref="Z442">CalculerNouvelleDate(J442,Y442)</f>
        <v/>
      </c>
      <c r="AA442" s="68" t="str" cm="1">
        <f t="array" ref="AA442">CalculerNouvelleDate(K442,Z442)</f>
        <v/>
      </c>
      <c r="AB442" s="68" t="str" cm="1">
        <f t="array" ref="AB442">CalculerNouvelleDate(L442,AA442)</f>
        <v/>
      </c>
      <c r="AC442" s="68" t="str" cm="1">
        <f t="array" ref="AC442">CalculerNouvelleDate(M442,AB442)</f>
        <v/>
      </c>
      <c r="AD442" s="68" t="str" cm="1">
        <f t="array" ref="AD442">CalculerNouvelleDate(N442,AC442)</f>
        <v/>
      </c>
      <c r="AE442" s="68" t="str" cm="1">
        <f t="array" ref="AE442">CalculerNouvelleDate(O442,AD442)</f>
        <v/>
      </c>
      <c r="AF442" s="68" t="str" cm="1">
        <f t="array" ref="AF442">CalculerNouvelleDate(P442,AE442)</f>
        <v/>
      </c>
      <c r="AG442" s="68" t="str" cm="1">
        <f t="array" ref="AG442">CalculerNouvelleDate(Q442,AF442)</f>
        <v/>
      </c>
      <c r="AH442" s="68" t="str" cm="1">
        <f t="array" ref="AH442">CalculerNouvelleDate(R442,AG442)</f>
        <v/>
      </c>
      <c r="AI442" s="68" t="str" cm="1">
        <f t="array" ref="AI442">CalculerNouvelleDate(S442,AH442)</f>
        <v/>
      </c>
      <c r="AJ442" s="68" t="str" cm="1">
        <f t="array" ref="AJ442">CalculerNouvelleDate(T442,AI442)</f>
        <v/>
      </c>
      <c r="AK442" s="68" t="str" cm="1">
        <f t="array" ref="AK442">CalculerNouvelleDate(U442,AJ442)</f>
        <v/>
      </c>
      <c r="AL442" s="68" t="str" cm="1">
        <f t="array" ref="AL442">CalculerNouvelleDate(V442,AK442)</f>
        <v/>
      </c>
      <c r="AM442" s="83" t="str" cm="1">
        <f t="array" ref="AM442">CorrespondanceDAte(X442:AL442,D443)</f>
        <v>0</v>
      </c>
      <c r="AN442" s="1"/>
      <c r="AO442" s="1"/>
      <c r="AP442" s="1"/>
      <c r="AQ442" s="1"/>
      <c r="AR442" s="1"/>
      <c r="AS442" s="1"/>
      <c r="AT442" s="1"/>
      <c r="AU442" s="1"/>
      <c r="AV442" s="1"/>
      <c r="AW442" s="1"/>
      <c r="AX442" s="1"/>
      <c r="AY442" s="1"/>
      <c r="AZ442" s="1"/>
      <c r="BA442" s="1"/>
    </row>
    <row r="443" spans="1:53" x14ac:dyDescent="0.3">
      <c r="A443" s="20" t="s">
        <v>99</v>
      </c>
      <c r="B443" s="19"/>
      <c r="C443" s="19"/>
      <c r="D443" s="19"/>
      <c r="E443" s="19"/>
      <c r="F443" s="22"/>
      <c r="G443" s="22"/>
      <c r="H443" s="43"/>
      <c r="I443" s="1"/>
      <c r="J443" s="1"/>
      <c r="K443" s="1"/>
      <c r="L443" s="1"/>
      <c r="M443" s="1"/>
      <c r="N443" s="1"/>
      <c r="O443" s="1"/>
      <c r="P443" s="1"/>
      <c r="Q443" s="1"/>
      <c r="R443" s="1"/>
      <c r="S443" s="1"/>
      <c r="T443" s="1"/>
      <c r="U443" s="1"/>
      <c r="V443" s="1"/>
      <c r="W443" s="11"/>
      <c r="X443" s="67"/>
      <c r="Y443" s="68" t="str" cm="1">
        <f t="array" ref="Y443">CalculerNouvelleDate(I443,X443)</f>
        <v/>
      </c>
      <c r="Z443" s="68" t="str" cm="1">
        <f t="array" ref="Z443">CalculerNouvelleDate(J443,Y443)</f>
        <v/>
      </c>
      <c r="AA443" s="68" t="str" cm="1">
        <f t="array" ref="AA443">CalculerNouvelleDate(K443,Z443)</f>
        <v/>
      </c>
      <c r="AB443" s="68" t="str" cm="1">
        <f t="array" ref="AB443">CalculerNouvelleDate(L443,AA443)</f>
        <v/>
      </c>
      <c r="AC443" s="68" t="str" cm="1">
        <f t="array" ref="AC443">CalculerNouvelleDate(M443,AB443)</f>
        <v/>
      </c>
      <c r="AD443" s="68" t="str" cm="1">
        <f t="array" ref="AD443">CalculerNouvelleDate(N443,AC443)</f>
        <v/>
      </c>
      <c r="AE443" s="68" t="str" cm="1">
        <f t="array" ref="AE443">CalculerNouvelleDate(O443,AD443)</f>
        <v/>
      </c>
      <c r="AF443" s="68" t="str" cm="1">
        <f t="array" ref="AF443">CalculerNouvelleDate(P443,AE443)</f>
        <v/>
      </c>
      <c r="AG443" s="68" t="str" cm="1">
        <f t="array" ref="AG443">CalculerNouvelleDate(Q443,AF443)</f>
        <v/>
      </c>
      <c r="AH443" s="68" t="str" cm="1">
        <f t="array" ref="AH443">CalculerNouvelleDate(R443,AG443)</f>
        <v/>
      </c>
      <c r="AI443" s="68" t="str" cm="1">
        <f t="array" ref="AI443">CalculerNouvelleDate(S443,AH443)</f>
        <v/>
      </c>
      <c r="AJ443" s="68" t="str" cm="1">
        <f t="array" ref="AJ443">CalculerNouvelleDate(T443,AI443)</f>
        <v/>
      </c>
      <c r="AK443" s="68" t="str" cm="1">
        <f t="array" ref="AK443">CalculerNouvelleDate(U443,AJ443)</f>
        <v/>
      </c>
      <c r="AL443" s="68" t="str" cm="1">
        <f t="array" ref="AL443">CalculerNouvelleDate(V443,AK443)</f>
        <v/>
      </c>
      <c r="AM443" s="83" t="str" cm="1">
        <f t="array" ref="AM443">CorrespondanceDAte(X443:AL443,D444)</f>
        <v>0</v>
      </c>
      <c r="AN443" s="1"/>
      <c r="AO443" s="1"/>
      <c r="AP443" s="1"/>
      <c r="AQ443" s="1"/>
      <c r="AR443" s="1"/>
      <c r="AS443" s="1"/>
      <c r="AT443" s="1"/>
      <c r="AU443" s="1"/>
      <c r="AV443" s="1"/>
      <c r="AW443" s="1"/>
      <c r="AX443" s="1"/>
      <c r="AY443" s="1"/>
      <c r="AZ443" s="1"/>
      <c r="BA443" s="1"/>
    </row>
    <row r="444" spans="1:53" x14ac:dyDescent="0.3">
      <c r="A444" s="1"/>
      <c r="B444" s="11">
        <v>1</v>
      </c>
      <c r="C444" s="1" t="s">
        <v>106</v>
      </c>
      <c r="D444" s="1"/>
      <c r="E444" s="1"/>
      <c r="F444" s="1"/>
      <c r="G444" s="1"/>
      <c r="H444" s="43"/>
      <c r="I444" s="1"/>
      <c r="J444" s="1"/>
      <c r="K444" s="1"/>
      <c r="L444" s="1"/>
      <c r="M444" s="1"/>
      <c r="N444" s="1"/>
      <c r="O444" s="1"/>
      <c r="P444" s="1"/>
      <c r="Q444" s="1"/>
      <c r="R444" s="1"/>
      <c r="S444" s="1"/>
      <c r="T444" s="1"/>
      <c r="U444" s="1"/>
      <c r="V444" s="1"/>
      <c r="W444" s="11"/>
      <c r="X444" s="67"/>
      <c r="Y444" s="68" t="str" cm="1">
        <f t="array" ref="Y444">CalculerNouvelleDate(I444,X444)</f>
        <v/>
      </c>
      <c r="Z444" s="68" t="str" cm="1">
        <f t="array" ref="Z444">CalculerNouvelleDate(J444,Y444)</f>
        <v/>
      </c>
      <c r="AA444" s="68" t="str" cm="1">
        <f t="array" ref="AA444">CalculerNouvelleDate(K444,Z444)</f>
        <v/>
      </c>
      <c r="AB444" s="68" t="str" cm="1">
        <f t="array" ref="AB444">CalculerNouvelleDate(L444,AA444)</f>
        <v/>
      </c>
      <c r="AC444" s="68" t="str" cm="1">
        <f t="array" ref="AC444">CalculerNouvelleDate(M444,AB444)</f>
        <v/>
      </c>
      <c r="AD444" s="68" t="str" cm="1">
        <f t="array" ref="AD444">CalculerNouvelleDate(N444,AC444)</f>
        <v/>
      </c>
      <c r="AE444" s="68" t="str" cm="1">
        <f t="array" ref="AE444">CalculerNouvelleDate(O444,AD444)</f>
        <v/>
      </c>
      <c r="AF444" s="68" t="str" cm="1">
        <f t="array" ref="AF444">CalculerNouvelleDate(P444,AE444)</f>
        <v/>
      </c>
      <c r="AG444" s="68" t="str" cm="1">
        <f t="array" ref="AG444">CalculerNouvelleDate(Q444,AF444)</f>
        <v/>
      </c>
      <c r="AH444" s="68" t="str" cm="1">
        <f t="array" ref="AH444">CalculerNouvelleDate(R444,AG444)</f>
        <v/>
      </c>
      <c r="AI444" s="68" t="str" cm="1">
        <f t="array" ref="AI444">CalculerNouvelleDate(S444,AH444)</f>
        <v/>
      </c>
      <c r="AJ444" s="68" t="str" cm="1">
        <f t="array" ref="AJ444">CalculerNouvelleDate(T444,AI444)</f>
        <v/>
      </c>
      <c r="AK444" s="68" t="str" cm="1">
        <f t="array" ref="AK444">CalculerNouvelleDate(U444,AJ444)</f>
        <v/>
      </c>
      <c r="AL444" s="68" t="str" cm="1">
        <f t="array" ref="AL444">CalculerNouvelleDate(V444,AK444)</f>
        <v/>
      </c>
      <c r="AM444" s="83" t="str" cm="1">
        <f t="array" ref="AM444">CorrespondanceDAte(X444:AL444,D445)</f>
        <v>0</v>
      </c>
      <c r="AN444" s="1"/>
      <c r="AO444" s="1"/>
      <c r="AP444" s="1"/>
      <c r="AQ444" s="1"/>
      <c r="AR444" s="1"/>
      <c r="AS444" s="1"/>
      <c r="AT444" s="1"/>
      <c r="AU444" s="1"/>
      <c r="AV444" s="1"/>
      <c r="AW444" s="1"/>
      <c r="AX444" s="1"/>
      <c r="AY444" s="1"/>
      <c r="AZ444" s="1"/>
      <c r="BA444" s="1"/>
    </row>
    <row r="445" spans="1:53" x14ac:dyDescent="0.3">
      <c r="A445" s="1"/>
      <c r="B445" s="11"/>
      <c r="C445" s="69" t="s">
        <v>531</v>
      </c>
      <c r="D445" s="1"/>
      <c r="E445" s="1"/>
      <c r="F445" s="1"/>
      <c r="G445" s="1"/>
      <c r="H445" s="43"/>
      <c r="I445" s="46"/>
      <c r="J445" s="46"/>
      <c r="K445" s="46"/>
      <c r="L445" s="46"/>
      <c r="M445" s="46"/>
      <c r="N445" s="46"/>
      <c r="O445" s="46"/>
      <c r="P445" s="46"/>
      <c r="Q445" s="46"/>
      <c r="R445" s="46"/>
      <c r="S445" s="46"/>
      <c r="T445" s="46"/>
      <c r="U445" s="46"/>
      <c r="V445" s="46"/>
      <c r="W445" s="62"/>
      <c r="X445" s="67"/>
      <c r="Y445" s="68" t="str" cm="1">
        <f t="array" ref="Y445">CalculerNouvelleDate(I445,X445)</f>
        <v/>
      </c>
      <c r="Z445" s="68" t="str" cm="1">
        <f t="array" ref="Z445">CalculerNouvelleDate(J445,Y445)</f>
        <v/>
      </c>
      <c r="AA445" s="68" t="str" cm="1">
        <f t="array" ref="AA445">CalculerNouvelleDate(K445,Z445)</f>
        <v/>
      </c>
      <c r="AB445" s="68" t="str" cm="1">
        <f t="array" ref="AB445">CalculerNouvelleDate(L445,AA445)</f>
        <v/>
      </c>
      <c r="AC445" s="68" t="str" cm="1">
        <f t="array" ref="AC445">CalculerNouvelleDate(M445,AB445)</f>
        <v/>
      </c>
      <c r="AD445" s="68" t="str" cm="1">
        <f t="array" ref="AD445">CalculerNouvelleDate(N445,AC445)</f>
        <v/>
      </c>
      <c r="AE445" s="68" t="str" cm="1">
        <f t="array" ref="AE445">CalculerNouvelleDate(O445,AD445)</f>
        <v/>
      </c>
      <c r="AF445" s="68" t="str" cm="1">
        <f t="array" ref="AF445">CalculerNouvelleDate(P445,AE445)</f>
        <v/>
      </c>
      <c r="AG445" s="68" t="str" cm="1">
        <f t="array" ref="AG445">CalculerNouvelleDate(Q445,AF445)</f>
        <v/>
      </c>
      <c r="AH445" s="68" t="str" cm="1">
        <f t="array" ref="AH445">CalculerNouvelleDate(R445,AG445)</f>
        <v/>
      </c>
      <c r="AI445" s="68" t="str" cm="1">
        <f t="array" ref="AI445">CalculerNouvelleDate(S445,AH445)</f>
        <v/>
      </c>
      <c r="AJ445" s="68" t="str" cm="1">
        <f t="array" ref="AJ445">CalculerNouvelleDate(T445,AI445)</f>
        <v/>
      </c>
      <c r="AK445" s="68" t="str" cm="1">
        <f t="array" ref="AK445">CalculerNouvelleDate(U445,AJ445)</f>
        <v/>
      </c>
      <c r="AL445" s="68" t="str" cm="1">
        <f t="array" ref="AL445">CalculerNouvelleDate(V445,AK445)</f>
        <v/>
      </c>
      <c r="AM445" s="83" t="str" cm="1">
        <f t="array" ref="AM445">CorrespondanceDAte(X445:AL445,D446)</f>
        <v>0</v>
      </c>
      <c r="AN445" s="1"/>
      <c r="AO445" s="1"/>
      <c r="AP445" s="1"/>
      <c r="AQ445" s="1"/>
      <c r="AR445" s="1"/>
      <c r="AS445" s="1"/>
      <c r="AT445" s="1"/>
      <c r="AU445" s="1"/>
      <c r="AV445" s="1"/>
      <c r="AW445" s="1"/>
      <c r="AX445" s="1"/>
      <c r="AY445" s="1"/>
      <c r="AZ445" s="1"/>
      <c r="BA445" s="1"/>
    </row>
    <row r="446" spans="1:53" x14ac:dyDescent="0.3">
      <c r="A446" s="1"/>
      <c r="B446" s="11"/>
      <c r="C446" s="69" t="s">
        <v>534</v>
      </c>
      <c r="D446" s="1"/>
      <c r="E446" s="1"/>
      <c r="F446" s="1"/>
      <c r="G446" s="1"/>
      <c r="H446" s="43"/>
      <c r="I446" s="46"/>
      <c r="J446" s="46"/>
      <c r="K446" s="46"/>
      <c r="L446" s="46"/>
      <c r="M446" s="46"/>
      <c r="N446" s="46"/>
      <c r="O446" s="46"/>
      <c r="P446" s="46"/>
      <c r="Q446" s="46"/>
      <c r="R446" s="46"/>
      <c r="S446" s="46"/>
      <c r="T446" s="46"/>
      <c r="U446" s="46"/>
      <c r="V446" s="46"/>
      <c r="W446" s="62"/>
      <c r="X446" s="67"/>
      <c r="Y446" s="68" t="str" cm="1">
        <f t="array" ref="Y446">CalculerNouvelleDate(I446,X446)</f>
        <v/>
      </c>
      <c r="Z446" s="68" t="str" cm="1">
        <f t="array" ref="Z446">CalculerNouvelleDate(J446,Y446)</f>
        <v/>
      </c>
      <c r="AA446" s="68" t="str" cm="1">
        <f t="array" ref="AA446">CalculerNouvelleDate(K446,Z446)</f>
        <v/>
      </c>
      <c r="AB446" s="68" t="str" cm="1">
        <f t="array" ref="AB446">CalculerNouvelleDate(L446,AA446)</f>
        <v/>
      </c>
      <c r="AC446" s="68" t="str" cm="1">
        <f t="array" ref="AC446">CalculerNouvelleDate(M446,AB446)</f>
        <v/>
      </c>
      <c r="AD446" s="68" t="str" cm="1">
        <f t="array" ref="AD446">CalculerNouvelleDate(N446,AC446)</f>
        <v/>
      </c>
      <c r="AE446" s="68" t="str" cm="1">
        <f t="array" ref="AE446">CalculerNouvelleDate(O446,AD446)</f>
        <v/>
      </c>
      <c r="AF446" s="68" t="str" cm="1">
        <f t="array" ref="AF446">CalculerNouvelleDate(P446,AE446)</f>
        <v/>
      </c>
      <c r="AG446" s="68" t="str" cm="1">
        <f t="array" ref="AG446">CalculerNouvelleDate(Q446,AF446)</f>
        <v/>
      </c>
      <c r="AH446" s="68" t="str" cm="1">
        <f t="array" ref="AH446">CalculerNouvelleDate(R446,AG446)</f>
        <v/>
      </c>
      <c r="AI446" s="68" t="str" cm="1">
        <f t="array" ref="AI446">CalculerNouvelleDate(S446,AH446)</f>
        <v/>
      </c>
      <c r="AJ446" s="68" t="str" cm="1">
        <f t="array" ref="AJ446">CalculerNouvelleDate(T446,AI446)</f>
        <v/>
      </c>
      <c r="AK446" s="68" t="str" cm="1">
        <f t="array" ref="AK446">CalculerNouvelleDate(U446,AJ446)</f>
        <v/>
      </c>
      <c r="AL446" s="68" t="str" cm="1">
        <f t="array" ref="AL446">CalculerNouvelleDate(V446,AK446)</f>
        <v/>
      </c>
      <c r="AM446" s="83" t="str" cm="1">
        <f t="array" ref="AM446">CorrespondanceDAte(X446:AL446,D447)</f>
        <v>0</v>
      </c>
      <c r="AN446" s="1"/>
      <c r="AO446" s="1"/>
      <c r="AP446" s="1"/>
      <c r="AQ446" s="1"/>
      <c r="AR446" s="1"/>
      <c r="AS446" s="1"/>
      <c r="AT446" s="1"/>
      <c r="AU446" s="1"/>
      <c r="AV446" s="1"/>
      <c r="AW446" s="1"/>
      <c r="AX446" s="1"/>
      <c r="AY446" s="1"/>
      <c r="AZ446" s="1"/>
      <c r="BA446" s="1"/>
    </row>
    <row r="447" spans="1:53" x14ac:dyDescent="0.3">
      <c r="A447" s="1"/>
      <c r="B447" s="11"/>
      <c r="C447" s="69" t="s">
        <v>538</v>
      </c>
      <c r="D447" s="1"/>
      <c r="E447" s="1"/>
      <c r="F447" s="1"/>
      <c r="G447" s="1"/>
      <c r="H447" s="43"/>
      <c r="I447" s="46"/>
      <c r="J447" s="46"/>
      <c r="K447" s="46"/>
      <c r="L447" s="46"/>
      <c r="M447" s="46"/>
      <c r="N447" s="46"/>
      <c r="O447" s="46"/>
      <c r="P447" s="46"/>
      <c r="Q447" s="46"/>
      <c r="R447" s="46"/>
      <c r="S447" s="46"/>
      <c r="T447" s="46"/>
      <c r="U447" s="46"/>
      <c r="V447" s="46"/>
      <c r="W447" s="62"/>
      <c r="X447" s="67"/>
      <c r="Y447" s="68" t="str" cm="1">
        <f t="array" ref="Y447">CalculerNouvelleDate(I447,X447)</f>
        <v/>
      </c>
      <c r="Z447" s="68" t="str" cm="1">
        <f t="array" ref="Z447">CalculerNouvelleDate(J447,Y447)</f>
        <v/>
      </c>
      <c r="AA447" s="68" t="str" cm="1">
        <f t="array" ref="AA447">CalculerNouvelleDate(K447,Z447)</f>
        <v/>
      </c>
      <c r="AB447" s="68" t="str" cm="1">
        <f t="array" ref="AB447">CalculerNouvelleDate(L447,AA447)</f>
        <v/>
      </c>
      <c r="AC447" s="68" t="str" cm="1">
        <f t="array" ref="AC447">CalculerNouvelleDate(M447,AB447)</f>
        <v/>
      </c>
      <c r="AD447" s="68" t="str" cm="1">
        <f t="array" ref="AD447">CalculerNouvelleDate(N447,AC447)</f>
        <v/>
      </c>
      <c r="AE447" s="68" t="str" cm="1">
        <f t="array" ref="AE447">CalculerNouvelleDate(O447,AD447)</f>
        <v/>
      </c>
      <c r="AF447" s="68" t="str" cm="1">
        <f t="array" ref="AF447">CalculerNouvelleDate(P447,AE447)</f>
        <v/>
      </c>
      <c r="AG447" s="68" t="str" cm="1">
        <f t="array" ref="AG447">CalculerNouvelleDate(Q447,AF447)</f>
        <v/>
      </c>
      <c r="AH447" s="68" t="str" cm="1">
        <f t="array" ref="AH447">CalculerNouvelleDate(R447,AG447)</f>
        <v/>
      </c>
      <c r="AI447" s="68" t="str" cm="1">
        <f t="array" ref="AI447">CalculerNouvelleDate(S447,AH447)</f>
        <v/>
      </c>
      <c r="AJ447" s="68" t="str" cm="1">
        <f t="array" ref="AJ447">CalculerNouvelleDate(T447,AI447)</f>
        <v/>
      </c>
      <c r="AK447" s="68" t="str" cm="1">
        <f t="array" ref="AK447">CalculerNouvelleDate(U447,AJ447)</f>
        <v/>
      </c>
      <c r="AL447" s="68" t="str" cm="1">
        <f t="array" ref="AL447">CalculerNouvelleDate(V447,AK447)</f>
        <v/>
      </c>
      <c r="AM447" s="83" t="str" cm="1">
        <f t="array" ref="AM447">CorrespondanceDAte(X447:AL447,D448)</f>
        <v>0</v>
      </c>
      <c r="AN447" s="1"/>
      <c r="AO447" s="1"/>
      <c r="AP447" s="1"/>
      <c r="AQ447" s="1"/>
      <c r="AR447" s="1"/>
      <c r="AS447" s="1"/>
      <c r="AT447" s="1"/>
      <c r="AU447" s="1"/>
      <c r="AV447" s="1"/>
      <c r="AW447" s="1"/>
      <c r="AX447" s="1"/>
      <c r="AY447" s="1"/>
      <c r="AZ447" s="1"/>
      <c r="BA447" s="1"/>
    </row>
    <row r="448" spans="1:53" x14ac:dyDescent="0.3">
      <c r="A448" s="1"/>
      <c r="B448" s="11">
        <v>2</v>
      </c>
      <c r="C448" s="1" t="s">
        <v>105</v>
      </c>
      <c r="D448" s="1"/>
      <c r="E448" s="1"/>
      <c r="F448" s="1"/>
      <c r="G448" s="1"/>
      <c r="H448" s="43"/>
      <c r="I448" s="1"/>
      <c r="J448" s="1"/>
      <c r="K448" s="1"/>
      <c r="L448" s="1"/>
      <c r="M448" s="1"/>
      <c r="N448" s="1"/>
      <c r="O448" s="1"/>
      <c r="P448" s="1"/>
      <c r="Q448" s="1"/>
      <c r="R448" s="1"/>
      <c r="S448" s="1"/>
      <c r="T448" s="1"/>
      <c r="U448" s="1"/>
      <c r="V448" s="1"/>
      <c r="W448" s="11"/>
      <c r="X448" s="67"/>
      <c r="Y448" s="68" t="str" cm="1">
        <f t="array" ref="Y448">CalculerNouvelleDate(I448,X448)</f>
        <v/>
      </c>
      <c r="Z448" s="68" t="str" cm="1">
        <f t="array" ref="Z448">CalculerNouvelleDate(J448,Y448)</f>
        <v/>
      </c>
      <c r="AA448" s="68" t="str" cm="1">
        <f t="array" ref="AA448">CalculerNouvelleDate(K448,Z448)</f>
        <v/>
      </c>
      <c r="AB448" s="68" t="str" cm="1">
        <f t="array" ref="AB448">CalculerNouvelleDate(L448,AA448)</f>
        <v/>
      </c>
      <c r="AC448" s="68" t="str" cm="1">
        <f t="array" ref="AC448">CalculerNouvelleDate(M448,AB448)</f>
        <v/>
      </c>
      <c r="AD448" s="68" t="str" cm="1">
        <f t="array" ref="AD448">CalculerNouvelleDate(N448,AC448)</f>
        <v/>
      </c>
      <c r="AE448" s="68" t="str" cm="1">
        <f t="array" ref="AE448">CalculerNouvelleDate(O448,AD448)</f>
        <v/>
      </c>
      <c r="AF448" s="68" t="str" cm="1">
        <f t="array" ref="AF448">CalculerNouvelleDate(P448,AE448)</f>
        <v/>
      </c>
      <c r="AG448" s="68" t="str" cm="1">
        <f t="array" ref="AG448">CalculerNouvelleDate(Q448,AF448)</f>
        <v/>
      </c>
      <c r="AH448" s="68" t="str" cm="1">
        <f t="array" ref="AH448">CalculerNouvelleDate(R448,AG448)</f>
        <v/>
      </c>
      <c r="AI448" s="68" t="str" cm="1">
        <f t="array" ref="AI448">CalculerNouvelleDate(S448,AH448)</f>
        <v/>
      </c>
      <c r="AJ448" s="68" t="str" cm="1">
        <f t="array" ref="AJ448">CalculerNouvelleDate(T448,AI448)</f>
        <v/>
      </c>
      <c r="AK448" s="68" t="str" cm="1">
        <f t="array" ref="AK448">CalculerNouvelleDate(U448,AJ448)</f>
        <v/>
      </c>
      <c r="AL448" s="68" t="str" cm="1">
        <f t="array" ref="AL448">CalculerNouvelleDate(V448,AK448)</f>
        <v/>
      </c>
      <c r="AM448" s="83" t="str" cm="1">
        <f t="array" ref="AM448">CorrespondanceDAte(X448:AL448,D449)</f>
        <v>0</v>
      </c>
      <c r="AN448" s="1"/>
      <c r="AO448" s="1"/>
      <c r="AP448" s="1"/>
      <c r="AQ448" s="1"/>
      <c r="AR448" s="1"/>
      <c r="AS448" s="1"/>
      <c r="AT448" s="1"/>
      <c r="AU448" s="1"/>
      <c r="AV448" s="1"/>
      <c r="AW448" s="1"/>
      <c r="AX448" s="1"/>
      <c r="AY448" s="1"/>
      <c r="AZ448" s="1"/>
      <c r="BA448" s="1"/>
    </row>
    <row r="449" spans="1:53" x14ac:dyDescent="0.3">
      <c r="A449" s="1"/>
      <c r="B449" s="11"/>
      <c r="C449" s="69" t="s">
        <v>533</v>
      </c>
      <c r="D449" s="1"/>
      <c r="E449" s="1"/>
      <c r="F449" s="1"/>
      <c r="G449" s="1"/>
      <c r="H449" s="43"/>
      <c r="I449" s="46"/>
      <c r="J449" s="46"/>
      <c r="K449" s="46"/>
      <c r="L449" s="46"/>
      <c r="M449" s="46"/>
      <c r="N449" s="46"/>
      <c r="O449" s="46"/>
      <c r="P449" s="46"/>
      <c r="Q449" s="46"/>
      <c r="R449" s="46"/>
      <c r="S449" s="46"/>
      <c r="T449" s="46"/>
      <c r="U449" s="46"/>
      <c r="V449" s="46"/>
      <c r="W449" s="62"/>
      <c r="X449" s="67"/>
      <c r="Y449" s="68" t="str" cm="1">
        <f t="array" ref="Y449">CalculerNouvelleDate(I449,X449)</f>
        <v/>
      </c>
      <c r="Z449" s="68" t="str" cm="1">
        <f t="array" ref="Z449">CalculerNouvelleDate(J449,Y449)</f>
        <v/>
      </c>
      <c r="AA449" s="68" t="str" cm="1">
        <f t="array" ref="AA449">CalculerNouvelleDate(K449,Z449)</f>
        <v/>
      </c>
      <c r="AB449" s="68" t="str" cm="1">
        <f t="array" ref="AB449">CalculerNouvelleDate(L449,AA449)</f>
        <v/>
      </c>
      <c r="AC449" s="68" t="str" cm="1">
        <f t="array" ref="AC449">CalculerNouvelleDate(M449,AB449)</f>
        <v/>
      </c>
      <c r="AD449" s="68" t="str" cm="1">
        <f t="array" ref="AD449">CalculerNouvelleDate(N449,AC449)</f>
        <v/>
      </c>
      <c r="AE449" s="68" t="str" cm="1">
        <f t="array" ref="AE449">CalculerNouvelleDate(O449,AD449)</f>
        <v/>
      </c>
      <c r="AF449" s="68" t="str" cm="1">
        <f t="array" ref="AF449">CalculerNouvelleDate(P449,AE449)</f>
        <v/>
      </c>
      <c r="AG449" s="68" t="str" cm="1">
        <f t="array" ref="AG449">CalculerNouvelleDate(Q449,AF449)</f>
        <v/>
      </c>
      <c r="AH449" s="68" t="str" cm="1">
        <f t="array" ref="AH449">CalculerNouvelleDate(R449,AG449)</f>
        <v/>
      </c>
      <c r="AI449" s="68" t="str" cm="1">
        <f t="array" ref="AI449">CalculerNouvelleDate(S449,AH449)</f>
        <v/>
      </c>
      <c r="AJ449" s="68" t="str" cm="1">
        <f t="array" ref="AJ449">CalculerNouvelleDate(T449,AI449)</f>
        <v/>
      </c>
      <c r="AK449" s="68" t="str" cm="1">
        <f t="array" ref="AK449">CalculerNouvelleDate(U449,AJ449)</f>
        <v/>
      </c>
      <c r="AL449" s="68" t="str" cm="1">
        <f t="array" ref="AL449">CalculerNouvelleDate(V449,AK449)</f>
        <v/>
      </c>
      <c r="AM449" s="83" t="str" cm="1">
        <f t="array" ref="AM449">CorrespondanceDAte(X449:AL449,D450)</f>
        <v>0</v>
      </c>
      <c r="AN449" s="1"/>
      <c r="AO449" s="1"/>
      <c r="AP449" s="1"/>
      <c r="AQ449" s="1"/>
      <c r="AR449" s="1"/>
      <c r="AS449" s="1"/>
      <c r="AT449" s="1"/>
      <c r="AU449" s="1"/>
      <c r="AV449" s="1"/>
      <c r="AW449" s="1"/>
      <c r="AX449" s="1"/>
      <c r="AY449" s="1"/>
      <c r="AZ449" s="1"/>
      <c r="BA449" s="1"/>
    </row>
    <row r="450" spans="1:53" x14ac:dyDescent="0.3">
      <c r="A450" s="1"/>
      <c r="B450" s="11"/>
      <c r="C450" s="69" t="s">
        <v>535</v>
      </c>
      <c r="D450" s="1"/>
      <c r="E450" s="1"/>
      <c r="F450" s="1"/>
      <c r="G450" s="1"/>
      <c r="H450" s="43"/>
      <c r="I450" s="46"/>
      <c r="J450" s="46"/>
      <c r="K450" s="46"/>
      <c r="L450" s="46"/>
      <c r="M450" s="46"/>
      <c r="N450" s="46"/>
      <c r="O450" s="46"/>
      <c r="P450" s="46"/>
      <c r="Q450" s="46"/>
      <c r="R450" s="46"/>
      <c r="S450" s="46"/>
      <c r="T450" s="46"/>
      <c r="U450" s="46"/>
      <c r="V450" s="46"/>
      <c r="W450" s="62"/>
      <c r="X450" s="67"/>
      <c r="Y450" s="68" t="str" cm="1">
        <f t="array" ref="Y450">CalculerNouvelleDate(I450,X450)</f>
        <v/>
      </c>
      <c r="Z450" s="68" t="str" cm="1">
        <f t="array" ref="Z450">CalculerNouvelleDate(J450,Y450)</f>
        <v/>
      </c>
      <c r="AA450" s="68" t="str" cm="1">
        <f t="array" ref="AA450">CalculerNouvelleDate(K450,Z450)</f>
        <v/>
      </c>
      <c r="AB450" s="68" t="str" cm="1">
        <f t="array" ref="AB450">CalculerNouvelleDate(L450,AA450)</f>
        <v/>
      </c>
      <c r="AC450" s="68" t="str" cm="1">
        <f t="array" ref="AC450">CalculerNouvelleDate(M450,AB450)</f>
        <v/>
      </c>
      <c r="AD450" s="68" t="str" cm="1">
        <f t="array" ref="AD450">CalculerNouvelleDate(N450,AC450)</f>
        <v/>
      </c>
      <c r="AE450" s="68" t="str" cm="1">
        <f t="array" ref="AE450">CalculerNouvelleDate(O450,AD450)</f>
        <v/>
      </c>
      <c r="AF450" s="68" t="str" cm="1">
        <f t="array" ref="AF450">CalculerNouvelleDate(P450,AE450)</f>
        <v/>
      </c>
      <c r="AG450" s="68" t="str" cm="1">
        <f t="array" ref="AG450">CalculerNouvelleDate(Q450,AF450)</f>
        <v/>
      </c>
      <c r="AH450" s="68" t="str" cm="1">
        <f t="array" ref="AH450">CalculerNouvelleDate(R450,AG450)</f>
        <v/>
      </c>
      <c r="AI450" s="68" t="str" cm="1">
        <f t="array" ref="AI450">CalculerNouvelleDate(S450,AH450)</f>
        <v/>
      </c>
      <c r="AJ450" s="68" t="str" cm="1">
        <f t="array" ref="AJ450">CalculerNouvelleDate(T450,AI450)</f>
        <v/>
      </c>
      <c r="AK450" s="68" t="str" cm="1">
        <f t="array" ref="AK450">CalculerNouvelleDate(U450,AJ450)</f>
        <v/>
      </c>
      <c r="AL450" s="68" t="str" cm="1">
        <f t="array" ref="AL450">CalculerNouvelleDate(V450,AK450)</f>
        <v/>
      </c>
      <c r="AM450" s="83" t="str" cm="1">
        <f t="array" ref="AM450">CorrespondanceDAte(X450:AL450,D451)</f>
        <v>0</v>
      </c>
      <c r="AN450" s="1"/>
      <c r="AO450" s="1"/>
      <c r="AP450" s="1"/>
      <c r="AQ450" s="1"/>
      <c r="AR450" s="1"/>
      <c r="AS450" s="1"/>
      <c r="AT450" s="1"/>
      <c r="AU450" s="1"/>
      <c r="AV450" s="1"/>
      <c r="AW450" s="1"/>
      <c r="AX450" s="1"/>
      <c r="AY450" s="1"/>
      <c r="AZ450" s="1"/>
      <c r="BA450" s="1"/>
    </row>
    <row r="451" spans="1:53" x14ac:dyDescent="0.3">
      <c r="A451" s="1"/>
      <c r="B451" s="11">
        <v>3</v>
      </c>
      <c r="C451" s="1" t="s">
        <v>104</v>
      </c>
      <c r="D451" s="1"/>
      <c r="E451" s="1"/>
      <c r="F451" s="1"/>
      <c r="G451" s="1"/>
      <c r="H451" s="43"/>
      <c r="I451" s="1"/>
      <c r="J451" s="1"/>
      <c r="K451" s="1"/>
      <c r="L451" s="1"/>
      <c r="M451" s="1"/>
      <c r="N451" s="1"/>
      <c r="O451" s="1"/>
      <c r="P451" s="1"/>
      <c r="Q451" s="1"/>
      <c r="R451" s="1"/>
      <c r="S451" s="1"/>
      <c r="T451" s="1"/>
      <c r="U451" s="1"/>
      <c r="V451" s="1"/>
      <c r="W451" s="11"/>
      <c r="X451" s="67"/>
      <c r="Y451" s="68" t="str" cm="1">
        <f t="array" ref="Y451">CalculerNouvelleDate(I451,X451)</f>
        <v/>
      </c>
      <c r="Z451" s="68" t="str" cm="1">
        <f t="array" ref="Z451">CalculerNouvelleDate(J451,Y451)</f>
        <v/>
      </c>
      <c r="AA451" s="68" t="str" cm="1">
        <f t="array" ref="AA451">CalculerNouvelleDate(K451,Z451)</f>
        <v/>
      </c>
      <c r="AB451" s="68" t="str" cm="1">
        <f t="array" ref="AB451">CalculerNouvelleDate(L451,AA451)</f>
        <v/>
      </c>
      <c r="AC451" s="68" t="str" cm="1">
        <f t="array" ref="AC451">CalculerNouvelleDate(M451,AB451)</f>
        <v/>
      </c>
      <c r="AD451" s="68" t="str" cm="1">
        <f t="array" ref="AD451">CalculerNouvelleDate(N451,AC451)</f>
        <v/>
      </c>
      <c r="AE451" s="68" t="str" cm="1">
        <f t="array" ref="AE451">CalculerNouvelleDate(O451,AD451)</f>
        <v/>
      </c>
      <c r="AF451" s="68" t="str" cm="1">
        <f t="array" ref="AF451">CalculerNouvelleDate(P451,AE451)</f>
        <v/>
      </c>
      <c r="AG451" s="68" t="str" cm="1">
        <f t="array" ref="AG451">CalculerNouvelleDate(Q451,AF451)</f>
        <v/>
      </c>
      <c r="AH451" s="68" t="str" cm="1">
        <f t="array" ref="AH451">CalculerNouvelleDate(R451,AG451)</f>
        <v/>
      </c>
      <c r="AI451" s="68" t="str" cm="1">
        <f t="array" ref="AI451">CalculerNouvelleDate(S451,AH451)</f>
        <v/>
      </c>
      <c r="AJ451" s="68" t="str" cm="1">
        <f t="array" ref="AJ451">CalculerNouvelleDate(T451,AI451)</f>
        <v/>
      </c>
      <c r="AK451" s="68" t="str" cm="1">
        <f t="array" ref="AK451">CalculerNouvelleDate(U451,AJ451)</f>
        <v/>
      </c>
      <c r="AL451" s="68" t="str" cm="1">
        <f t="array" ref="AL451">CalculerNouvelleDate(V451,AK451)</f>
        <v/>
      </c>
      <c r="AM451" s="83" t="str" cm="1">
        <f t="array" ref="AM451">CorrespondanceDAte(X451:AL451,D452)</f>
        <v>0</v>
      </c>
      <c r="AN451" s="1"/>
      <c r="AO451" s="1"/>
      <c r="AP451" s="1"/>
      <c r="AQ451" s="1"/>
      <c r="AR451" s="1"/>
      <c r="AS451" s="1"/>
      <c r="AT451" s="1"/>
      <c r="AU451" s="1"/>
      <c r="AV451" s="1"/>
      <c r="AW451" s="1"/>
      <c r="AX451" s="1"/>
      <c r="AY451" s="1"/>
      <c r="AZ451" s="1"/>
      <c r="BA451" s="1"/>
    </row>
    <row r="452" spans="1:53" x14ac:dyDescent="0.3">
      <c r="A452" s="1"/>
      <c r="B452" s="11"/>
      <c r="C452" s="69" t="s">
        <v>549</v>
      </c>
      <c r="D452" s="1"/>
      <c r="E452" s="1"/>
      <c r="F452" s="1"/>
      <c r="G452" s="1"/>
      <c r="H452" s="43"/>
      <c r="I452" s="46"/>
      <c r="J452" s="46"/>
      <c r="K452" s="46"/>
      <c r="L452" s="46"/>
      <c r="M452" s="46"/>
      <c r="N452" s="46"/>
      <c r="O452" s="46"/>
      <c r="P452" s="46"/>
      <c r="Q452" s="46"/>
      <c r="R452" s="46"/>
      <c r="S452" s="46"/>
      <c r="T452" s="46"/>
      <c r="U452" s="46"/>
      <c r="V452" s="46"/>
      <c r="W452" s="62"/>
      <c r="X452" s="67"/>
      <c r="Y452" s="68" t="str" cm="1">
        <f t="array" ref="Y452">CalculerNouvelleDate(I452,X452)</f>
        <v/>
      </c>
      <c r="Z452" s="68" t="str" cm="1">
        <f t="array" ref="Z452">CalculerNouvelleDate(J452,Y452)</f>
        <v/>
      </c>
      <c r="AA452" s="68" t="str" cm="1">
        <f t="array" ref="AA452">CalculerNouvelleDate(K452,Z452)</f>
        <v/>
      </c>
      <c r="AB452" s="68" t="str" cm="1">
        <f t="array" ref="AB452">CalculerNouvelleDate(L452,AA452)</f>
        <v/>
      </c>
      <c r="AC452" s="68" t="str" cm="1">
        <f t="array" ref="AC452">CalculerNouvelleDate(M452,AB452)</f>
        <v/>
      </c>
      <c r="AD452" s="68" t="str" cm="1">
        <f t="array" ref="AD452">CalculerNouvelleDate(N452,AC452)</f>
        <v/>
      </c>
      <c r="AE452" s="68" t="str" cm="1">
        <f t="array" ref="AE452">CalculerNouvelleDate(O452,AD452)</f>
        <v/>
      </c>
      <c r="AF452" s="68" t="str" cm="1">
        <f t="array" ref="AF452">CalculerNouvelleDate(P452,AE452)</f>
        <v/>
      </c>
      <c r="AG452" s="68" t="str" cm="1">
        <f t="array" ref="AG452">CalculerNouvelleDate(Q452,AF452)</f>
        <v/>
      </c>
      <c r="AH452" s="68" t="str" cm="1">
        <f t="array" ref="AH452">CalculerNouvelleDate(R452,AG452)</f>
        <v/>
      </c>
      <c r="AI452" s="68" t="str" cm="1">
        <f t="array" ref="AI452">CalculerNouvelleDate(S452,AH452)</f>
        <v/>
      </c>
      <c r="AJ452" s="68" t="str" cm="1">
        <f t="array" ref="AJ452">CalculerNouvelleDate(T452,AI452)</f>
        <v/>
      </c>
      <c r="AK452" s="68" t="str" cm="1">
        <f t="array" ref="AK452">CalculerNouvelleDate(U452,AJ452)</f>
        <v/>
      </c>
      <c r="AL452" s="68" t="str" cm="1">
        <f t="array" ref="AL452">CalculerNouvelleDate(V452,AK452)</f>
        <v/>
      </c>
      <c r="AM452" s="83" t="str" cm="1">
        <f t="array" ref="AM452">CorrespondanceDAte(X452:AL452,D453)</f>
        <v>0</v>
      </c>
      <c r="AN452" s="1"/>
      <c r="AO452" s="1"/>
      <c r="AP452" s="1"/>
      <c r="AQ452" s="1"/>
      <c r="AR452" s="1"/>
      <c r="AS452" s="1"/>
      <c r="AT452" s="1"/>
      <c r="AU452" s="1"/>
      <c r="AV452" s="1"/>
      <c r="AW452" s="1"/>
      <c r="AX452" s="1"/>
      <c r="AY452" s="1"/>
      <c r="AZ452" s="1"/>
      <c r="BA452" s="1"/>
    </row>
    <row r="453" spans="1:53" x14ac:dyDescent="0.3">
      <c r="A453" s="1"/>
      <c r="B453" s="11"/>
      <c r="C453" s="69" t="s">
        <v>536</v>
      </c>
      <c r="D453" s="1"/>
      <c r="E453" s="1"/>
      <c r="F453" s="1"/>
      <c r="G453" s="1"/>
      <c r="H453" s="43"/>
      <c r="I453" s="46"/>
      <c r="J453" s="46"/>
      <c r="K453" s="46"/>
      <c r="L453" s="46"/>
      <c r="M453" s="46"/>
      <c r="N453" s="46"/>
      <c r="O453" s="46"/>
      <c r="P453" s="46"/>
      <c r="Q453" s="46"/>
      <c r="R453" s="46"/>
      <c r="S453" s="46"/>
      <c r="T453" s="46"/>
      <c r="U453" s="46"/>
      <c r="V453" s="46"/>
      <c r="W453" s="62"/>
      <c r="X453" s="67"/>
      <c r="Y453" s="68" t="str" cm="1">
        <f t="array" ref="Y453">CalculerNouvelleDate(I453,X453)</f>
        <v/>
      </c>
      <c r="Z453" s="68" t="str" cm="1">
        <f t="array" ref="Z453">CalculerNouvelleDate(J453,Y453)</f>
        <v/>
      </c>
      <c r="AA453" s="68" t="str" cm="1">
        <f t="array" ref="AA453">CalculerNouvelleDate(K453,Z453)</f>
        <v/>
      </c>
      <c r="AB453" s="68" t="str" cm="1">
        <f t="array" ref="AB453">CalculerNouvelleDate(L453,AA453)</f>
        <v/>
      </c>
      <c r="AC453" s="68" t="str" cm="1">
        <f t="array" ref="AC453">CalculerNouvelleDate(M453,AB453)</f>
        <v/>
      </c>
      <c r="AD453" s="68" t="str" cm="1">
        <f t="array" ref="AD453">CalculerNouvelleDate(N453,AC453)</f>
        <v/>
      </c>
      <c r="AE453" s="68" t="str" cm="1">
        <f t="array" ref="AE453">CalculerNouvelleDate(O453,AD453)</f>
        <v/>
      </c>
      <c r="AF453" s="68" t="str" cm="1">
        <f t="array" ref="AF453">CalculerNouvelleDate(P453,AE453)</f>
        <v/>
      </c>
      <c r="AG453" s="68" t="str" cm="1">
        <f t="array" ref="AG453">CalculerNouvelleDate(Q453,AF453)</f>
        <v/>
      </c>
      <c r="AH453" s="68" t="str" cm="1">
        <f t="array" ref="AH453">CalculerNouvelleDate(R453,AG453)</f>
        <v/>
      </c>
      <c r="AI453" s="68" t="str" cm="1">
        <f t="array" ref="AI453">CalculerNouvelleDate(S453,AH453)</f>
        <v/>
      </c>
      <c r="AJ453" s="68" t="str" cm="1">
        <f t="array" ref="AJ453">CalculerNouvelleDate(T453,AI453)</f>
        <v/>
      </c>
      <c r="AK453" s="68" t="str" cm="1">
        <f t="array" ref="AK453">CalculerNouvelleDate(U453,AJ453)</f>
        <v/>
      </c>
      <c r="AL453" s="68" t="str" cm="1">
        <f t="array" ref="AL453">CalculerNouvelleDate(V453,AK453)</f>
        <v/>
      </c>
      <c r="AM453" s="83" t="str" cm="1">
        <f t="array" ref="AM453">CorrespondanceDAte(X453:AL453,D454)</f>
        <v>0</v>
      </c>
      <c r="AN453" s="1"/>
      <c r="AO453" s="1"/>
      <c r="AP453" s="1"/>
      <c r="AQ453" s="1"/>
      <c r="AR453" s="1"/>
      <c r="AS453" s="1"/>
      <c r="AT453" s="1"/>
      <c r="AU453" s="1"/>
      <c r="AV453" s="1"/>
      <c r="AW453" s="1"/>
      <c r="AX453" s="1"/>
      <c r="AY453" s="1"/>
      <c r="AZ453" s="1"/>
      <c r="BA453" s="1"/>
    </row>
    <row r="454" spans="1:53" x14ac:dyDescent="0.3">
      <c r="A454" s="1"/>
      <c r="B454" s="11"/>
      <c r="C454" s="69" t="s">
        <v>550</v>
      </c>
      <c r="D454" s="1"/>
      <c r="E454" s="1"/>
      <c r="F454" s="1"/>
      <c r="G454" s="1"/>
      <c r="H454" s="43"/>
      <c r="I454" s="46"/>
      <c r="J454" s="46"/>
      <c r="K454" s="46"/>
      <c r="L454" s="46"/>
      <c r="M454" s="46"/>
      <c r="N454" s="46"/>
      <c r="O454" s="46"/>
      <c r="P454" s="46"/>
      <c r="Q454" s="46"/>
      <c r="R454" s="46"/>
      <c r="S454" s="46"/>
      <c r="T454" s="46"/>
      <c r="U454" s="46"/>
      <c r="V454" s="46"/>
      <c r="W454" s="62"/>
      <c r="X454" s="67"/>
      <c r="Y454" s="68" t="str" cm="1">
        <f t="array" ref="Y454">CalculerNouvelleDate(I454,X454)</f>
        <v/>
      </c>
      <c r="Z454" s="68" t="str" cm="1">
        <f t="array" ref="Z454">CalculerNouvelleDate(J454,Y454)</f>
        <v/>
      </c>
      <c r="AA454" s="68" t="str" cm="1">
        <f t="array" ref="AA454">CalculerNouvelleDate(K454,Z454)</f>
        <v/>
      </c>
      <c r="AB454" s="68" t="str" cm="1">
        <f t="array" ref="AB454">CalculerNouvelleDate(L454,AA454)</f>
        <v/>
      </c>
      <c r="AC454" s="68" t="str" cm="1">
        <f t="array" ref="AC454">CalculerNouvelleDate(M454,AB454)</f>
        <v/>
      </c>
      <c r="AD454" s="68" t="str" cm="1">
        <f t="array" ref="AD454">CalculerNouvelleDate(N454,AC454)</f>
        <v/>
      </c>
      <c r="AE454" s="68" t="str" cm="1">
        <f t="array" ref="AE454">CalculerNouvelleDate(O454,AD454)</f>
        <v/>
      </c>
      <c r="AF454" s="68" t="str" cm="1">
        <f t="array" ref="AF454">CalculerNouvelleDate(P454,AE454)</f>
        <v/>
      </c>
      <c r="AG454" s="68" t="str" cm="1">
        <f t="array" ref="AG454">CalculerNouvelleDate(Q454,AF454)</f>
        <v/>
      </c>
      <c r="AH454" s="68" t="str" cm="1">
        <f t="array" ref="AH454">CalculerNouvelleDate(R454,AG454)</f>
        <v/>
      </c>
      <c r="AI454" s="68" t="str" cm="1">
        <f t="array" ref="AI454">CalculerNouvelleDate(S454,AH454)</f>
        <v/>
      </c>
      <c r="AJ454" s="68" t="str" cm="1">
        <f t="array" ref="AJ454">CalculerNouvelleDate(T454,AI454)</f>
        <v/>
      </c>
      <c r="AK454" s="68" t="str" cm="1">
        <f t="array" ref="AK454">CalculerNouvelleDate(U454,AJ454)</f>
        <v/>
      </c>
      <c r="AL454" s="68" t="str" cm="1">
        <f t="array" ref="AL454">CalculerNouvelleDate(V454,AK454)</f>
        <v/>
      </c>
      <c r="AM454" s="83" t="str" cm="1">
        <f t="array" ref="AM454">CorrespondanceDAte(X454:AL454,D455)</f>
        <v>0</v>
      </c>
      <c r="AN454" s="1"/>
      <c r="AO454" s="1"/>
      <c r="AP454" s="1"/>
      <c r="AQ454" s="1"/>
      <c r="AR454" s="1"/>
      <c r="AS454" s="1"/>
      <c r="AT454" s="1"/>
      <c r="AU454" s="1"/>
      <c r="AV454" s="1"/>
      <c r="AW454" s="1"/>
      <c r="AX454" s="1"/>
      <c r="AY454" s="1"/>
      <c r="AZ454" s="1"/>
      <c r="BA454" s="1"/>
    </row>
    <row r="455" spans="1:53" x14ac:dyDescent="0.3">
      <c r="A455" s="1"/>
      <c r="B455" s="11">
        <v>4</v>
      </c>
      <c r="C455" s="1" t="s">
        <v>103</v>
      </c>
      <c r="D455" s="1"/>
      <c r="E455" s="1"/>
      <c r="F455" s="1"/>
      <c r="G455" s="1"/>
      <c r="H455" s="43"/>
      <c r="I455" s="1"/>
      <c r="J455" s="1"/>
      <c r="K455" s="1"/>
      <c r="L455" s="1"/>
      <c r="M455" s="1"/>
      <c r="N455" s="1"/>
      <c r="O455" s="1"/>
      <c r="P455" s="1"/>
      <c r="Q455" s="1"/>
      <c r="R455" s="1"/>
      <c r="S455" s="1"/>
      <c r="T455" s="1"/>
      <c r="U455" s="1"/>
      <c r="V455" s="1"/>
      <c r="W455" s="11"/>
      <c r="X455" s="67"/>
      <c r="Y455" s="68" t="str" cm="1">
        <f t="array" ref="Y455">CalculerNouvelleDate(I455,X455)</f>
        <v/>
      </c>
      <c r="Z455" s="68" t="str" cm="1">
        <f t="array" ref="Z455">CalculerNouvelleDate(J455,Y455)</f>
        <v/>
      </c>
      <c r="AA455" s="68" t="str" cm="1">
        <f t="array" ref="AA455">CalculerNouvelleDate(K455,Z455)</f>
        <v/>
      </c>
      <c r="AB455" s="68" t="str" cm="1">
        <f t="array" ref="AB455">CalculerNouvelleDate(L455,AA455)</f>
        <v/>
      </c>
      <c r="AC455" s="68" t="str" cm="1">
        <f t="array" ref="AC455">CalculerNouvelleDate(M455,AB455)</f>
        <v/>
      </c>
      <c r="AD455" s="68" t="str" cm="1">
        <f t="array" ref="AD455">CalculerNouvelleDate(N455,AC455)</f>
        <v/>
      </c>
      <c r="AE455" s="68" t="str" cm="1">
        <f t="array" ref="AE455">CalculerNouvelleDate(O455,AD455)</f>
        <v/>
      </c>
      <c r="AF455" s="68" t="str" cm="1">
        <f t="array" ref="AF455">CalculerNouvelleDate(P455,AE455)</f>
        <v/>
      </c>
      <c r="AG455" s="68" t="str" cm="1">
        <f t="array" ref="AG455">CalculerNouvelleDate(Q455,AF455)</f>
        <v/>
      </c>
      <c r="AH455" s="68" t="str" cm="1">
        <f t="array" ref="AH455">CalculerNouvelleDate(R455,AG455)</f>
        <v/>
      </c>
      <c r="AI455" s="68" t="str" cm="1">
        <f t="array" ref="AI455">CalculerNouvelleDate(S455,AH455)</f>
        <v/>
      </c>
      <c r="AJ455" s="68" t="str" cm="1">
        <f t="array" ref="AJ455">CalculerNouvelleDate(T455,AI455)</f>
        <v/>
      </c>
      <c r="AK455" s="68" t="str" cm="1">
        <f t="array" ref="AK455">CalculerNouvelleDate(U455,AJ455)</f>
        <v/>
      </c>
      <c r="AL455" s="68" t="str" cm="1">
        <f t="array" ref="AL455">CalculerNouvelleDate(V455,AK455)</f>
        <v/>
      </c>
      <c r="AM455" s="83" t="str" cm="1">
        <f t="array" ref="AM455">CorrespondanceDAte(X455:AL455,D456)</f>
        <v>0</v>
      </c>
      <c r="AN455" s="1"/>
      <c r="AO455" s="1"/>
      <c r="AP455" s="1"/>
      <c r="AQ455" s="1"/>
      <c r="AR455" s="1"/>
      <c r="AS455" s="1"/>
      <c r="AT455" s="1"/>
      <c r="AU455" s="1"/>
      <c r="AV455" s="1"/>
      <c r="AW455" s="1"/>
      <c r="AX455" s="1"/>
      <c r="AY455" s="1"/>
      <c r="AZ455" s="1"/>
      <c r="BA455" s="1"/>
    </row>
    <row r="456" spans="1:53" x14ac:dyDescent="0.3">
      <c r="A456" s="1"/>
      <c r="B456" s="11"/>
      <c r="C456" s="69" t="s">
        <v>556</v>
      </c>
      <c r="D456" s="1"/>
      <c r="E456" s="1"/>
      <c r="F456" s="1"/>
      <c r="G456" s="1"/>
      <c r="H456" s="43"/>
      <c r="I456" s="46"/>
      <c r="J456" s="46"/>
      <c r="K456" s="46"/>
      <c r="L456" s="46"/>
      <c r="M456" s="46"/>
      <c r="N456" s="46"/>
      <c r="O456" s="46"/>
      <c r="P456" s="46"/>
      <c r="Q456" s="46"/>
      <c r="R456" s="46"/>
      <c r="S456" s="46"/>
      <c r="T456" s="46"/>
      <c r="U456" s="46"/>
      <c r="V456" s="46"/>
      <c r="W456" s="62"/>
      <c r="X456" s="67"/>
      <c r="Y456" s="68" t="str" cm="1">
        <f t="array" ref="Y456">CalculerNouvelleDate(I456,X456)</f>
        <v/>
      </c>
      <c r="Z456" s="68" t="str" cm="1">
        <f t="array" ref="Z456">CalculerNouvelleDate(J456,Y456)</f>
        <v/>
      </c>
      <c r="AA456" s="68" t="str" cm="1">
        <f t="array" ref="AA456">CalculerNouvelleDate(K456,Z456)</f>
        <v/>
      </c>
      <c r="AB456" s="68" t="str" cm="1">
        <f t="array" ref="AB456">CalculerNouvelleDate(L456,AA456)</f>
        <v/>
      </c>
      <c r="AC456" s="68" t="str" cm="1">
        <f t="array" ref="AC456">CalculerNouvelleDate(M456,AB456)</f>
        <v/>
      </c>
      <c r="AD456" s="68" t="str" cm="1">
        <f t="array" ref="AD456">CalculerNouvelleDate(N456,AC456)</f>
        <v/>
      </c>
      <c r="AE456" s="68" t="str" cm="1">
        <f t="array" ref="AE456">CalculerNouvelleDate(O456,AD456)</f>
        <v/>
      </c>
      <c r="AF456" s="68" t="str" cm="1">
        <f t="array" ref="AF456">CalculerNouvelleDate(P456,AE456)</f>
        <v/>
      </c>
      <c r="AG456" s="68" t="str" cm="1">
        <f t="array" ref="AG456">CalculerNouvelleDate(Q456,AF456)</f>
        <v/>
      </c>
      <c r="AH456" s="68" t="str" cm="1">
        <f t="array" ref="AH456">CalculerNouvelleDate(R456,AG456)</f>
        <v/>
      </c>
      <c r="AI456" s="68" t="str" cm="1">
        <f t="array" ref="AI456">CalculerNouvelleDate(S456,AH456)</f>
        <v/>
      </c>
      <c r="AJ456" s="68" t="str" cm="1">
        <f t="array" ref="AJ456">CalculerNouvelleDate(T456,AI456)</f>
        <v/>
      </c>
      <c r="AK456" s="68" t="str" cm="1">
        <f t="array" ref="AK456">CalculerNouvelleDate(U456,AJ456)</f>
        <v/>
      </c>
      <c r="AL456" s="68" t="str" cm="1">
        <f t="array" ref="AL456">CalculerNouvelleDate(V456,AK456)</f>
        <v/>
      </c>
      <c r="AM456" s="83" t="str" cm="1">
        <f t="array" ref="AM456">CorrespondanceDAte(X456:AL456,D457)</f>
        <v>0</v>
      </c>
      <c r="AN456" s="1"/>
      <c r="AO456" s="1"/>
      <c r="AP456" s="1"/>
      <c r="AQ456" s="1"/>
      <c r="AR456" s="1"/>
      <c r="AS456" s="1"/>
      <c r="AT456" s="1"/>
      <c r="AU456" s="1"/>
      <c r="AV456" s="1"/>
      <c r="AW456" s="1"/>
      <c r="AX456" s="1"/>
      <c r="AY456" s="1"/>
      <c r="AZ456" s="1"/>
      <c r="BA456" s="1"/>
    </row>
    <row r="457" spans="1:53" x14ac:dyDescent="0.3">
      <c r="A457" s="1"/>
      <c r="B457" s="11"/>
      <c r="C457" s="69" t="s">
        <v>537</v>
      </c>
      <c r="D457" s="1"/>
      <c r="E457" s="1"/>
      <c r="F457" s="1"/>
      <c r="G457" s="1"/>
      <c r="H457" s="43"/>
      <c r="I457" s="46"/>
      <c r="J457" s="46"/>
      <c r="K457" s="46"/>
      <c r="L457" s="46"/>
      <c r="M457" s="46"/>
      <c r="N457" s="46"/>
      <c r="O457" s="46"/>
      <c r="P457" s="46"/>
      <c r="Q457" s="46"/>
      <c r="R457" s="46"/>
      <c r="S457" s="46"/>
      <c r="T457" s="46"/>
      <c r="U457" s="46"/>
      <c r="V457" s="46"/>
      <c r="W457" s="62"/>
      <c r="X457" s="67"/>
      <c r="Y457" s="68" t="str" cm="1">
        <f t="array" ref="Y457">CalculerNouvelleDate(I457,X457)</f>
        <v/>
      </c>
      <c r="Z457" s="68" t="str" cm="1">
        <f t="array" ref="Z457">CalculerNouvelleDate(J457,Y457)</f>
        <v/>
      </c>
      <c r="AA457" s="68" t="str" cm="1">
        <f t="array" ref="AA457">CalculerNouvelleDate(K457,Z457)</f>
        <v/>
      </c>
      <c r="AB457" s="68" t="str" cm="1">
        <f t="array" ref="AB457">CalculerNouvelleDate(L457,AA457)</f>
        <v/>
      </c>
      <c r="AC457" s="68" t="str" cm="1">
        <f t="array" ref="AC457">CalculerNouvelleDate(M457,AB457)</f>
        <v/>
      </c>
      <c r="AD457" s="68" t="str" cm="1">
        <f t="array" ref="AD457">CalculerNouvelleDate(N457,AC457)</f>
        <v/>
      </c>
      <c r="AE457" s="68" t="str" cm="1">
        <f t="array" ref="AE457">CalculerNouvelleDate(O457,AD457)</f>
        <v/>
      </c>
      <c r="AF457" s="68" t="str" cm="1">
        <f t="array" ref="AF457">CalculerNouvelleDate(P457,AE457)</f>
        <v/>
      </c>
      <c r="AG457" s="68" t="str" cm="1">
        <f t="array" ref="AG457">CalculerNouvelleDate(Q457,AF457)</f>
        <v/>
      </c>
      <c r="AH457" s="68" t="str" cm="1">
        <f t="array" ref="AH457">CalculerNouvelleDate(R457,AG457)</f>
        <v/>
      </c>
      <c r="AI457" s="68" t="str" cm="1">
        <f t="array" ref="AI457">CalculerNouvelleDate(S457,AH457)</f>
        <v/>
      </c>
      <c r="AJ457" s="68" t="str" cm="1">
        <f t="array" ref="AJ457">CalculerNouvelleDate(T457,AI457)</f>
        <v/>
      </c>
      <c r="AK457" s="68" t="str" cm="1">
        <f t="array" ref="AK457">CalculerNouvelleDate(U457,AJ457)</f>
        <v/>
      </c>
      <c r="AL457" s="68" t="str" cm="1">
        <f t="array" ref="AL457">CalculerNouvelleDate(V457,AK457)</f>
        <v/>
      </c>
      <c r="AM457" s="83" t="str" cm="1">
        <f t="array" ref="AM457">CorrespondanceDAte(X457:AL457,D458)</f>
        <v>0</v>
      </c>
      <c r="AN457" s="1"/>
      <c r="AO457" s="1"/>
      <c r="AP457" s="1"/>
      <c r="AQ457" s="1"/>
      <c r="AR457" s="1"/>
      <c r="AS457" s="1"/>
      <c r="AT457" s="1"/>
      <c r="AU457" s="1"/>
      <c r="AV457" s="1"/>
      <c r="AW457" s="1"/>
      <c r="AX457" s="1"/>
      <c r="AY457" s="1"/>
      <c r="AZ457" s="1"/>
      <c r="BA457" s="1"/>
    </row>
    <row r="458" spans="1:53" x14ac:dyDescent="0.3">
      <c r="A458" s="1"/>
      <c r="B458" s="11"/>
      <c r="C458" s="69" t="s">
        <v>557</v>
      </c>
      <c r="D458" s="1"/>
      <c r="E458" s="1"/>
      <c r="F458" s="1"/>
      <c r="G458" s="1"/>
      <c r="H458" s="43"/>
      <c r="I458" s="46"/>
      <c r="J458" s="46"/>
      <c r="K458" s="46"/>
      <c r="L458" s="46"/>
      <c r="M458" s="46"/>
      <c r="N458" s="46"/>
      <c r="O458" s="46"/>
      <c r="P458" s="46"/>
      <c r="Q458" s="46"/>
      <c r="R458" s="46"/>
      <c r="S458" s="46"/>
      <c r="T458" s="46"/>
      <c r="U458" s="46"/>
      <c r="V458" s="46"/>
      <c r="W458" s="62"/>
      <c r="X458" s="67"/>
      <c r="Y458" s="68" t="str" cm="1">
        <f t="array" ref="Y458">CalculerNouvelleDate(I458,X458)</f>
        <v/>
      </c>
      <c r="Z458" s="68" t="str" cm="1">
        <f t="array" ref="Z458">CalculerNouvelleDate(J458,Y458)</f>
        <v/>
      </c>
      <c r="AA458" s="68" t="str" cm="1">
        <f t="array" ref="AA458">CalculerNouvelleDate(K458,Z458)</f>
        <v/>
      </c>
      <c r="AB458" s="68" t="str" cm="1">
        <f t="array" ref="AB458">CalculerNouvelleDate(L458,AA458)</f>
        <v/>
      </c>
      <c r="AC458" s="68" t="str" cm="1">
        <f t="array" ref="AC458">CalculerNouvelleDate(M458,AB458)</f>
        <v/>
      </c>
      <c r="AD458" s="68" t="str" cm="1">
        <f t="array" ref="AD458">CalculerNouvelleDate(N458,AC458)</f>
        <v/>
      </c>
      <c r="AE458" s="68" t="str" cm="1">
        <f t="array" ref="AE458">CalculerNouvelleDate(O458,AD458)</f>
        <v/>
      </c>
      <c r="AF458" s="68" t="str" cm="1">
        <f t="array" ref="AF458">CalculerNouvelleDate(P458,AE458)</f>
        <v/>
      </c>
      <c r="AG458" s="68" t="str" cm="1">
        <f t="array" ref="AG458">CalculerNouvelleDate(Q458,AF458)</f>
        <v/>
      </c>
      <c r="AH458" s="68" t="str" cm="1">
        <f t="array" ref="AH458">CalculerNouvelleDate(R458,AG458)</f>
        <v/>
      </c>
      <c r="AI458" s="68" t="str" cm="1">
        <f t="array" ref="AI458">CalculerNouvelleDate(S458,AH458)</f>
        <v/>
      </c>
      <c r="AJ458" s="68" t="str" cm="1">
        <f t="array" ref="AJ458">CalculerNouvelleDate(T458,AI458)</f>
        <v/>
      </c>
      <c r="AK458" s="68" t="str" cm="1">
        <f t="array" ref="AK458">CalculerNouvelleDate(U458,AJ458)</f>
        <v/>
      </c>
      <c r="AL458" s="68" t="str" cm="1">
        <f t="array" ref="AL458">CalculerNouvelleDate(V458,AK458)</f>
        <v/>
      </c>
      <c r="AM458" s="83" t="str" cm="1">
        <f t="array" ref="AM458">CorrespondanceDAte(X458:AL458,D459)</f>
        <v>0</v>
      </c>
      <c r="AN458" s="1"/>
      <c r="AO458" s="1"/>
      <c r="AP458" s="1"/>
      <c r="AQ458" s="1"/>
      <c r="AR458" s="1"/>
      <c r="AS458" s="1"/>
      <c r="AT458" s="1"/>
      <c r="AU458" s="1"/>
      <c r="AV458" s="1"/>
      <c r="AW458" s="1"/>
      <c r="AX458" s="1"/>
      <c r="AY458" s="1"/>
      <c r="AZ458" s="1"/>
      <c r="BA458" s="1"/>
    </row>
    <row r="459" spans="1:53" x14ac:dyDescent="0.3">
      <c r="A459" s="1"/>
      <c r="B459" s="11"/>
      <c r="C459" s="1" t="s">
        <v>608</v>
      </c>
      <c r="D459" s="1"/>
      <c r="E459" s="1"/>
      <c r="F459" s="1"/>
      <c r="G459" s="1"/>
      <c r="H459" s="43"/>
      <c r="I459" s="46"/>
      <c r="J459" s="46"/>
      <c r="K459" s="46"/>
      <c r="L459" s="46"/>
      <c r="M459" s="46"/>
      <c r="N459" s="46"/>
      <c r="O459" s="46"/>
      <c r="P459" s="46"/>
      <c r="Q459" s="46"/>
      <c r="R459" s="46"/>
      <c r="S459" s="46"/>
      <c r="T459" s="46"/>
      <c r="U459" s="46"/>
      <c r="V459" s="46"/>
      <c r="W459" s="62"/>
      <c r="X459" s="67"/>
      <c r="Y459" s="68" t="str" cm="1">
        <f t="array" ref="Y459">CalculerNouvelleDate(I459,X459)</f>
        <v/>
      </c>
      <c r="Z459" s="68" t="str" cm="1">
        <f t="array" ref="Z459">CalculerNouvelleDate(J459,Y459)</f>
        <v/>
      </c>
      <c r="AA459" s="68" t="str" cm="1">
        <f t="array" ref="AA459">CalculerNouvelleDate(K459,Z459)</f>
        <v/>
      </c>
      <c r="AB459" s="68" t="str" cm="1">
        <f t="array" ref="AB459">CalculerNouvelleDate(L459,AA459)</f>
        <v/>
      </c>
      <c r="AC459" s="68" t="str" cm="1">
        <f t="array" ref="AC459">CalculerNouvelleDate(M459,AB459)</f>
        <v/>
      </c>
      <c r="AD459" s="68" t="str" cm="1">
        <f t="array" ref="AD459">CalculerNouvelleDate(N459,AC459)</f>
        <v/>
      </c>
      <c r="AE459" s="68" t="str" cm="1">
        <f t="array" ref="AE459">CalculerNouvelleDate(O459,AD459)</f>
        <v/>
      </c>
      <c r="AF459" s="68" t="str" cm="1">
        <f t="array" ref="AF459">CalculerNouvelleDate(P459,AE459)</f>
        <v/>
      </c>
      <c r="AG459" s="68" t="str" cm="1">
        <f t="array" ref="AG459">CalculerNouvelleDate(Q459,AF459)</f>
        <v/>
      </c>
      <c r="AH459" s="68" t="str" cm="1">
        <f t="array" ref="AH459">CalculerNouvelleDate(R459,AG459)</f>
        <v/>
      </c>
      <c r="AI459" s="68" t="str" cm="1">
        <f t="array" ref="AI459">CalculerNouvelleDate(S459,AH459)</f>
        <v/>
      </c>
      <c r="AJ459" s="68" t="str" cm="1">
        <f t="array" ref="AJ459">CalculerNouvelleDate(T459,AI459)</f>
        <v/>
      </c>
      <c r="AK459" s="68" t="str" cm="1">
        <f t="array" ref="AK459">CalculerNouvelleDate(U459,AJ459)</f>
        <v/>
      </c>
      <c r="AL459" s="68" t="str" cm="1">
        <f t="array" ref="AL459">CalculerNouvelleDate(V459,AK459)</f>
        <v/>
      </c>
      <c r="AM459" s="83" t="str" cm="1">
        <f t="array" ref="AM459">CorrespondanceDAte(X459:AL459,D460)</f>
        <v>0</v>
      </c>
      <c r="AN459" s="1"/>
      <c r="AO459" s="1"/>
      <c r="AP459" s="1"/>
      <c r="AQ459" s="1"/>
      <c r="AR459" s="1"/>
      <c r="AS459" s="1"/>
      <c r="AT459" s="1"/>
      <c r="AU459" s="1"/>
      <c r="AV459" s="1"/>
      <c r="AW459" s="1"/>
      <c r="AX459" s="1"/>
      <c r="AY459" s="1"/>
      <c r="AZ459" s="1"/>
      <c r="BA459" s="1"/>
    </row>
    <row r="460" spans="1:53" x14ac:dyDescent="0.3">
      <c r="A460" s="1"/>
      <c r="B460" s="11">
        <v>5</v>
      </c>
      <c r="C460" s="1" t="s">
        <v>102</v>
      </c>
      <c r="D460" s="1"/>
      <c r="E460" s="1"/>
      <c r="F460" s="1"/>
      <c r="G460" s="1"/>
      <c r="H460" s="43"/>
      <c r="I460" s="1"/>
      <c r="J460" s="1"/>
      <c r="K460" s="1"/>
      <c r="L460" s="1"/>
      <c r="M460" s="1"/>
      <c r="N460" s="1"/>
      <c r="O460" s="1"/>
      <c r="P460" s="1"/>
      <c r="Q460" s="1"/>
      <c r="R460" s="1"/>
      <c r="S460" s="1"/>
      <c r="T460" s="1"/>
      <c r="U460" s="1"/>
      <c r="V460" s="1"/>
      <c r="W460" s="11"/>
      <c r="X460" s="67"/>
      <c r="Y460" s="68" t="str" cm="1">
        <f t="array" ref="Y460">CalculerNouvelleDate(I460,X460)</f>
        <v/>
      </c>
      <c r="Z460" s="68" t="str" cm="1">
        <f t="array" ref="Z460">CalculerNouvelleDate(J460,Y460)</f>
        <v/>
      </c>
      <c r="AA460" s="68" t="str" cm="1">
        <f t="array" ref="AA460">CalculerNouvelleDate(K460,Z460)</f>
        <v/>
      </c>
      <c r="AB460" s="68" t="str" cm="1">
        <f t="array" ref="AB460">CalculerNouvelleDate(L460,AA460)</f>
        <v/>
      </c>
      <c r="AC460" s="68" t="str" cm="1">
        <f t="array" ref="AC460">CalculerNouvelleDate(M460,AB460)</f>
        <v/>
      </c>
      <c r="AD460" s="68" t="str" cm="1">
        <f t="array" ref="AD460">CalculerNouvelleDate(N460,AC460)</f>
        <v/>
      </c>
      <c r="AE460" s="68" t="str" cm="1">
        <f t="array" ref="AE460">CalculerNouvelleDate(O460,AD460)</f>
        <v/>
      </c>
      <c r="AF460" s="68" t="str" cm="1">
        <f t="array" ref="AF460">CalculerNouvelleDate(P460,AE460)</f>
        <v/>
      </c>
      <c r="AG460" s="68" t="str" cm="1">
        <f t="array" ref="AG460">CalculerNouvelleDate(Q460,AF460)</f>
        <v/>
      </c>
      <c r="AH460" s="68" t="str" cm="1">
        <f t="array" ref="AH460">CalculerNouvelleDate(R460,AG460)</f>
        <v/>
      </c>
      <c r="AI460" s="68" t="str" cm="1">
        <f t="array" ref="AI460">CalculerNouvelleDate(S460,AH460)</f>
        <v/>
      </c>
      <c r="AJ460" s="68" t="str" cm="1">
        <f t="array" ref="AJ460">CalculerNouvelleDate(T460,AI460)</f>
        <v/>
      </c>
      <c r="AK460" s="68" t="str" cm="1">
        <f t="array" ref="AK460">CalculerNouvelleDate(U460,AJ460)</f>
        <v/>
      </c>
      <c r="AL460" s="68" t="str" cm="1">
        <f t="array" ref="AL460">CalculerNouvelleDate(V460,AK460)</f>
        <v/>
      </c>
      <c r="AM460" s="83" t="str" cm="1">
        <f t="array" ref="AM460">CorrespondanceDAte(X460:AL460,D461)</f>
        <v>0</v>
      </c>
      <c r="AN460" s="1"/>
      <c r="AO460" s="1"/>
      <c r="AP460" s="1"/>
      <c r="AQ460" s="1"/>
      <c r="AR460" s="1"/>
      <c r="AS460" s="1"/>
      <c r="AT460" s="1"/>
      <c r="AU460" s="1"/>
      <c r="AV460" s="1"/>
      <c r="AW460" s="1"/>
      <c r="AX460" s="1"/>
      <c r="AY460" s="1"/>
      <c r="AZ460" s="1"/>
      <c r="BA460" s="1"/>
    </row>
    <row r="461" spans="1:53" x14ac:dyDescent="0.3">
      <c r="A461" s="1"/>
      <c r="B461" s="11"/>
      <c r="C461" s="1" t="s">
        <v>560</v>
      </c>
      <c r="D461" s="1"/>
      <c r="E461" s="1"/>
      <c r="F461" s="1"/>
      <c r="G461" s="1"/>
      <c r="H461" s="43"/>
      <c r="I461" s="46"/>
      <c r="J461" s="46"/>
      <c r="K461" s="46"/>
      <c r="L461" s="46"/>
      <c r="M461" s="46"/>
      <c r="N461" s="46"/>
      <c r="O461" s="46"/>
      <c r="P461" s="46"/>
      <c r="Q461" s="46"/>
      <c r="R461" s="46"/>
      <c r="S461" s="46"/>
      <c r="T461" s="46"/>
      <c r="U461" s="46"/>
      <c r="V461" s="46"/>
      <c r="W461" s="62"/>
      <c r="X461" s="67"/>
      <c r="Y461" s="68" t="str" cm="1">
        <f t="array" ref="Y461">CalculerNouvelleDate(I461,X461)</f>
        <v/>
      </c>
      <c r="Z461" s="68" t="str" cm="1">
        <f t="array" ref="Z461">CalculerNouvelleDate(J461,Y461)</f>
        <v/>
      </c>
      <c r="AA461" s="68" t="str" cm="1">
        <f t="array" ref="AA461">CalculerNouvelleDate(K461,Z461)</f>
        <v/>
      </c>
      <c r="AB461" s="68" t="str" cm="1">
        <f t="array" ref="AB461">CalculerNouvelleDate(L461,AA461)</f>
        <v/>
      </c>
      <c r="AC461" s="68" t="str" cm="1">
        <f t="array" ref="AC461">CalculerNouvelleDate(M461,AB461)</f>
        <v/>
      </c>
      <c r="AD461" s="68" t="str" cm="1">
        <f t="array" ref="AD461">CalculerNouvelleDate(N461,AC461)</f>
        <v/>
      </c>
      <c r="AE461" s="68" t="str" cm="1">
        <f t="array" ref="AE461">CalculerNouvelleDate(O461,AD461)</f>
        <v/>
      </c>
      <c r="AF461" s="68" t="str" cm="1">
        <f t="array" ref="AF461">CalculerNouvelleDate(P461,AE461)</f>
        <v/>
      </c>
      <c r="AG461" s="68" t="str" cm="1">
        <f t="array" ref="AG461">CalculerNouvelleDate(Q461,AF461)</f>
        <v/>
      </c>
      <c r="AH461" s="68" t="str" cm="1">
        <f t="array" ref="AH461">CalculerNouvelleDate(R461,AG461)</f>
        <v/>
      </c>
      <c r="AI461" s="68" t="str" cm="1">
        <f t="array" ref="AI461">CalculerNouvelleDate(S461,AH461)</f>
        <v/>
      </c>
      <c r="AJ461" s="68" t="str" cm="1">
        <f t="array" ref="AJ461">CalculerNouvelleDate(T461,AI461)</f>
        <v/>
      </c>
      <c r="AK461" s="68" t="str" cm="1">
        <f t="array" ref="AK461">CalculerNouvelleDate(U461,AJ461)</f>
        <v/>
      </c>
      <c r="AL461" s="68" t="str" cm="1">
        <f t="array" ref="AL461">CalculerNouvelleDate(V461,AK461)</f>
        <v/>
      </c>
      <c r="AM461" s="83" t="str" cm="1">
        <f t="array" ref="AM461">CorrespondanceDAte(X461:AL461,D462)</f>
        <v>0</v>
      </c>
      <c r="AN461" s="1"/>
      <c r="AO461" s="1"/>
      <c r="AP461" s="1"/>
      <c r="AQ461" s="1"/>
      <c r="AR461" s="1"/>
      <c r="AS461" s="1"/>
      <c r="AT461" s="1"/>
      <c r="AU461" s="1"/>
      <c r="AV461" s="1"/>
      <c r="AW461" s="1"/>
      <c r="AX461" s="1"/>
      <c r="AY461" s="1"/>
      <c r="AZ461" s="1"/>
      <c r="BA461" s="1"/>
    </row>
    <row r="462" spans="1:53" x14ac:dyDescent="0.3">
      <c r="A462" s="1"/>
      <c r="B462" s="11"/>
      <c r="C462" s="1" t="s">
        <v>561</v>
      </c>
      <c r="D462" s="1"/>
      <c r="E462" s="1"/>
      <c r="F462" s="1"/>
      <c r="G462" s="1"/>
      <c r="H462" s="43"/>
      <c r="I462" s="46"/>
      <c r="J462" s="46"/>
      <c r="K462" s="46"/>
      <c r="L462" s="46"/>
      <c r="M462" s="46"/>
      <c r="N462" s="46"/>
      <c r="O462" s="46"/>
      <c r="P462" s="46"/>
      <c r="Q462" s="46"/>
      <c r="R462" s="46"/>
      <c r="S462" s="46"/>
      <c r="T462" s="46"/>
      <c r="U462" s="46"/>
      <c r="V462" s="46"/>
      <c r="W462" s="62"/>
      <c r="X462" s="67"/>
      <c r="Y462" s="68" t="str" cm="1">
        <f t="array" ref="Y462">CalculerNouvelleDate(I462,X462)</f>
        <v/>
      </c>
      <c r="Z462" s="68" t="str" cm="1">
        <f t="array" ref="Z462">CalculerNouvelleDate(J462,Y462)</f>
        <v/>
      </c>
      <c r="AA462" s="68" t="str" cm="1">
        <f t="array" ref="AA462">CalculerNouvelleDate(K462,Z462)</f>
        <v/>
      </c>
      <c r="AB462" s="68" t="str" cm="1">
        <f t="array" ref="AB462">CalculerNouvelleDate(L462,AA462)</f>
        <v/>
      </c>
      <c r="AC462" s="68" t="str" cm="1">
        <f t="array" ref="AC462">CalculerNouvelleDate(M462,AB462)</f>
        <v/>
      </c>
      <c r="AD462" s="68" t="str" cm="1">
        <f t="array" ref="AD462">CalculerNouvelleDate(N462,AC462)</f>
        <v/>
      </c>
      <c r="AE462" s="68" t="str" cm="1">
        <f t="array" ref="AE462">CalculerNouvelleDate(O462,AD462)</f>
        <v/>
      </c>
      <c r="AF462" s="68" t="str" cm="1">
        <f t="array" ref="AF462">CalculerNouvelleDate(P462,AE462)</f>
        <v/>
      </c>
      <c r="AG462" s="68" t="str" cm="1">
        <f t="array" ref="AG462">CalculerNouvelleDate(Q462,AF462)</f>
        <v/>
      </c>
      <c r="AH462" s="68" t="str" cm="1">
        <f t="array" ref="AH462">CalculerNouvelleDate(R462,AG462)</f>
        <v/>
      </c>
      <c r="AI462" s="68" t="str" cm="1">
        <f t="array" ref="AI462">CalculerNouvelleDate(S462,AH462)</f>
        <v/>
      </c>
      <c r="AJ462" s="68" t="str" cm="1">
        <f t="array" ref="AJ462">CalculerNouvelleDate(T462,AI462)</f>
        <v/>
      </c>
      <c r="AK462" s="68" t="str" cm="1">
        <f t="array" ref="AK462">CalculerNouvelleDate(U462,AJ462)</f>
        <v/>
      </c>
      <c r="AL462" s="68" t="str" cm="1">
        <f t="array" ref="AL462">CalculerNouvelleDate(V462,AK462)</f>
        <v/>
      </c>
      <c r="AM462" s="83" t="str" cm="1">
        <f t="array" ref="AM462">CorrespondanceDAte(X462:AL462,D463)</f>
        <v>0</v>
      </c>
      <c r="AN462" s="1"/>
      <c r="AO462" s="1"/>
      <c r="AP462" s="1"/>
      <c r="AQ462" s="1"/>
      <c r="AR462" s="1"/>
      <c r="AS462" s="1"/>
      <c r="AT462" s="1"/>
      <c r="AU462" s="1"/>
      <c r="AV462" s="1"/>
      <c r="AW462" s="1"/>
      <c r="AX462" s="1"/>
      <c r="AY462" s="1"/>
      <c r="AZ462" s="1"/>
      <c r="BA462" s="1"/>
    </row>
    <row r="463" spans="1:53" x14ac:dyDescent="0.3">
      <c r="A463" s="1"/>
      <c r="B463" s="11"/>
      <c r="C463" s="1" t="s">
        <v>562</v>
      </c>
      <c r="D463" s="1"/>
      <c r="E463" s="1"/>
      <c r="F463" s="1"/>
      <c r="G463" s="1"/>
      <c r="H463" s="43"/>
      <c r="I463" s="46"/>
      <c r="J463" s="46"/>
      <c r="K463" s="46"/>
      <c r="L463" s="46"/>
      <c r="M463" s="46"/>
      <c r="N463" s="46"/>
      <c r="O463" s="46"/>
      <c r="P463" s="46"/>
      <c r="Q463" s="46"/>
      <c r="R463" s="46"/>
      <c r="S463" s="46"/>
      <c r="T463" s="46"/>
      <c r="U463" s="46"/>
      <c r="V463" s="46"/>
      <c r="W463" s="62"/>
      <c r="X463" s="67"/>
      <c r="Y463" s="68" t="str" cm="1">
        <f t="array" ref="Y463">CalculerNouvelleDate(I463,X463)</f>
        <v/>
      </c>
      <c r="Z463" s="68" t="str" cm="1">
        <f t="array" ref="Z463">CalculerNouvelleDate(J463,Y463)</f>
        <v/>
      </c>
      <c r="AA463" s="68" t="str" cm="1">
        <f t="array" ref="AA463">CalculerNouvelleDate(K463,Z463)</f>
        <v/>
      </c>
      <c r="AB463" s="68" t="str" cm="1">
        <f t="array" ref="AB463">CalculerNouvelleDate(L463,AA463)</f>
        <v/>
      </c>
      <c r="AC463" s="68" t="str" cm="1">
        <f t="array" ref="AC463">CalculerNouvelleDate(M463,AB463)</f>
        <v/>
      </c>
      <c r="AD463" s="68" t="str" cm="1">
        <f t="array" ref="AD463">CalculerNouvelleDate(N463,AC463)</f>
        <v/>
      </c>
      <c r="AE463" s="68" t="str" cm="1">
        <f t="array" ref="AE463">CalculerNouvelleDate(O463,AD463)</f>
        <v/>
      </c>
      <c r="AF463" s="68" t="str" cm="1">
        <f t="array" ref="AF463">CalculerNouvelleDate(P463,AE463)</f>
        <v/>
      </c>
      <c r="AG463" s="68" t="str" cm="1">
        <f t="array" ref="AG463">CalculerNouvelleDate(Q463,AF463)</f>
        <v/>
      </c>
      <c r="AH463" s="68" t="str" cm="1">
        <f t="array" ref="AH463">CalculerNouvelleDate(R463,AG463)</f>
        <v/>
      </c>
      <c r="AI463" s="68" t="str" cm="1">
        <f t="array" ref="AI463">CalculerNouvelleDate(S463,AH463)</f>
        <v/>
      </c>
      <c r="AJ463" s="68" t="str" cm="1">
        <f t="array" ref="AJ463">CalculerNouvelleDate(T463,AI463)</f>
        <v/>
      </c>
      <c r="AK463" s="68" t="str" cm="1">
        <f t="array" ref="AK463">CalculerNouvelleDate(U463,AJ463)</f>
        <v/>
      </c>
      <c r="AL463" s="68" t="str" cm="1">
        <f t="array" ref="AL463">CalculerNouvelleDate(V463,AK463)</f>
        <v/>
      </c>
      <c r="AM463" s="83" t="str" cm="1">
        <f t="array" ref="AM463">CorrespondanceDAte(X463:AL463,D464)</f>
        <v>0</v>
      </c>
      <c r="AN463" s="1"/>
      <c r="AO463" s="1"/>
      <c r="AP463" s="1"/>
      <c r="AQ463" s="1"/>
      <c r="AR463" s="1"/>
      <c r="AS463" s="1"/>
      <c r="AT463" s="1"/>
      <c r="AU463" s="1"/>
      <c r="AV463" s="1"/>
      <c r="AW463" s="1"/>
      <c r="AX463" s="1"/>
      <c r="AY463" s="1"/>
      <c r="AZ463" s="1"/>
      <c r="BA463" s="1"/>
    </row>
    <row r="464" spans="1:53" x14ac:dyDescent="0.3">
      <c r="A464" s="1"/>
      <c r="B464" s="11">
        <v>6</v>
      </c>
      <c r="C464" s="1" t="s">
        <v>101</v>
      </c>
      <c r="D464" s="1"/>
      <c r="E464" s="1"/>
      <c r="F464" s="1"/>
      <c r="G464" s="1"/>
      <c r="H464" s="43"/>
      <c r="I464" s="1"/>
      <c r="J464" s="1"/>
      <c r="K464" s="1"/>
      <c r="L464" s="1"/>
      <c r="M464" s="1"/>
      <c r="N464" s="1"/>
      <c r="O464" s="1"/>
      <c r="P464" s="1"/>
      <c r="Q464" s="1"/>
      <c r="R464" s="1"/>
      <c r="S464" s="1"/>
      <c r="T464" s="1"/>
      <c r="U464" s="1"/>
      <c r="V464" s="1"/>
      <c r="W464" s="11"/>
      <c r="X464" s="67"/>
      <c r="Y464" s="68" t="str" cm="1">
        <f t="array" ref="Y464">CalculerNouvelleDate(I464,X464)</f>
        <v/>
      </c>
      <c r="Z464" s="68" t="str" cm="1">
        <f t="array" ref="Z464">CalculerNouvelleDate(J464,Y464)</f>
        <v/>
      </c>
      <c r="AA464" s="68" t="str" cm="1">
        <f t="array" ref="AA464">CalculerNouvelleDate(K464,Z464)</f>
        <v/>
      </c>
      <c r="AB464" s="68" t="str" cm="1">
        <f t="array" ref="AB464">CalculerNouvelleDate(L464,AA464)</f>
        <v/>
      </c>
      <c r="AC464" s="68" t="str" cm="1">
        <f t="array" ref="AC464">CalculerNouvelleDate(M464,AB464)</f>
        <v/>
      </c>
      <c r="AD464" s="68" t="str" cm="1">
        <f t="array" ref="AD464">CalculerNouvelleDate(N464,AC464)</f>
        <v/>
      </c>
      <c r="AE464" s="68" t="str" cm="1">
        <f t="array" ref="AE464">CalculerNouvelleDate(O464,AD464)</f>
        <v/>
      </c>
      <c r="AF464" s="68" t="str" cm="1">
        <f t="array" ref="AF464">CalculerNouvelleDate(P464,AE464)</f>
        <v/>
      </c>
      <c r="AG464" s="68" t="str" cm="1">
        <f t="array" ref="AG464">CalculerNouvelleDate(Q464,AF464)</f>
        <v/>
      </c>
      <c r="AH464" s="68" t="str" cm="1">
        <f t="array" ref="AH464">CalculerNouvelleDate(R464,AG464)</f>
        <v/>
      </c>
      <c r="AI464" s="68" t="str" cm="1">
        <f t="array" ref="AI464">CalculerNouvelleDate(S464,AH464)</f>
        <v/>
      </c>
      <c r="AJ464" s="68" t="str" cm="1">
        <f t="array" ref="AJ464">CalculerNouvelleDate(T464,AI464)</f>
        <v/>
      </c>
      <c r="AK464" s="68" t="str" cm="1">
        <f t="array" ref="AK464">CalculerNouvelleDate(U464,AJ464)</f>
        <v/>
      </c>
      <c r="AL464" s="68" t="str" cm="1">
        <f t="array" ref="AL464">CalculerNouvelleDate(V464,AK464)</f>
        <v/>
      </c>
      <c r="AM464" s="83" t="str" cm="1">
        <f t="array" ref="AM464">CorrespondanceDAte(X464:AL464,D465)</f>
        <v>0</v>
      </c>
      <c r="AN464" s="1"/>
      <c r="AO464" s="1"/>
      <c r="AP464" s="1"/>
      <c r="AQ464" s="1"/>
      <c r="AR464" s="1"/>
      <c r="AS464" s="1"/>
      <c r="AT464" s="1"/>
      <c r="AU464" s="1"/>
      <c r="AV464" s="1"/>
      <c r="AW464" s="1"/>
      <c r="AX464" s="1"/>
      <c r="AY464" s="1"/>
      <c r="AZ464" s="1"/>
      <c r="BA464" s="1"/>
    </row>
    <row r="465" spans="1:53" x14ac:dyDescent="0.3">
      <c r="A465" s="1"/>
      <c r="B465" s="11"/>
      <c r="C465" s="1" t="s">
        <v>566</v>
      </c>
      <c r="D465" s="1"/>
      <c r="E465" s="1"/>
      <c r="F465" s="1"/>
      <c r="G465" s="1"/>
      <c r="H465" s="43"/>
      <c r="I465" s="46"/>
      <c r="J465" s="46"/>
      <c r="K465" s="46"/>
      <c r="L465" s="46"/>
      <c r="M465" s="46"/>
      <c r="N465" s="46"/>
      <c r="O465" s="46"/>
      <c r="P465" s="46"/>
      <c r="Q465" s="46"/>
      <c r="R465" s="46"/>
      <c r="S465" s="46"/>
      <c r="T465" s="46"/>
      <c r="U465" s="46"/>
      <c r="V465" s="46"/>
      <c r="W465" s="62"/>
      <c r="X465" s="67"/>
      <c r="Y465" s="68" t="str" cm="1">
        <f t="array" ref="Y465">CalculerNouvelleDate(I465,X465)</f>
        <v/>
      </c>
      <c r="Z465" s="68" t="str" cm="1">
        <f t="array" ref="Z465">CalculerNouvelleDate(J465,Y465)</f>
        <v/>
      </c>
      <c r="AA465" s="68" t="str" cm="1">
        <f t="array" ref="AA465">CalculerNouvelleDate(K465,Z465)</f>
        <v/>
      </c>
      <c r="AB465" s="68" t="str" cm="1">
        <f t="array" ref="AB465">CalculerNouvelleDate(L465,AA465)</f>
        <v/>
      </c>
      <c r="AC465" s="68" t="str" cm="1">
        <f t="array" ref="AC465">CalculerNouvelleDate(M465,AB465)</f>
        <v/>
      </c>
      <c r="AD465" s="68" t="str" cm="1">
        <f t="array" ref="AD465">CalculerNouvelleDate(N465,AC465)</f>
        <v/>
      </c>
      <c r="AE465" s="68" t="str" cm="1">
        <f t="array" ref="AE465">CalculerNouvelleDate(O465,AD465)</f>
        <v/>
      </c>
      <c r="AF465" s="68" t="str" cm="1">
        <f t="array" ref="AF465">CalculerNouvelleDate(P465,AE465)</f>
        <v/>
      </c>
      <c r="AG465" s="68" t="str" cm="1">
        <f t="array" ref="AG465">CalculerNouvelleDate(Q465,AF465)</f>
        <v/>
      </c>
      <c r="AH465" s="68" t="str" cm="1">
        <f t="array" ref="AH465">CalculerNouvelleDate(R465,AG465)</f>
        <v/>
      </c>
      <c r="AI465" s="68" t="str" cm="1">
        <f t="array" ref="AI465">CalculerNouvelleDate(S465,AH465)</f>
        <v/>
      </c>
      <c r="AJ465" s="68" t="str" cm="1">
        <f t="array" ref="AJ465">CalculerNouvelleDate(T465,AI465)</f>
        <v/>
      </c>
      <c r="AK465" s="68" t="str" cm="1">
        <f t="array" ref="AK465">CalculerNouvelleDate(U465,AJ465)</f>
        <v/>
      </c>
      <c r="AL465" s="68" t="str" cm="1">
        <f t="array" ref="AL465">CalculerNouvelleDate(V465,AK465)</f>
        <v/>
      </c>
      <c r="AM465" s="83" t="str" cm="1">
        <f t="array" ref="AM465">CorrespondanceDAte(X465:AL465,D466)</f>
        <v>0</v>
      </c>
      <c r="AN465" s="1"/>
      <c r="AO465" s="1"/>
      <c r="AP465" s="1"/>
      <c r="AQ465" s="1"/>
      <c r="AR465" s="1"/>
      <c r="AS465" s="1"/>
      <c r="AT465" s="1"/>
      <c r="AU465" s="1"/>
      <c r="AV465" s="1"/>
      <c r="AW465" s="1"/>
      <c r="AX465" s="1"/>
      <c r="AY465" s="1"/>
      <c r="AZ465" s="1"/>
      <c r="BA465" s="1"/>
    </row>
    <row r="466" spans="1:53" x14ac:dyDescent="0.3">
      <c r="A466" s="1"/>
      <c r="B466" s="11"/>
      <c r="C466" s="1" t="s">
        <v>626</v>
      </c>
      <c r="D466" s="1"/>
      <c r="E466" s="1"/>
      <c r="F466" s="1"/>
      <c r="G466" s="1"/>
      <c r="H466" s="43"/>
      <c r="I466" s="46"/>
      <c r="J466" s="46"/>
      <c r="K466" s="46"/>
      <c r="L466" s="46"/>
      <c r="M466" s="46"/>
      <c r="N466" s="46"/>
      <c r="O466" s="46"/>
      <c r="P466" s="46"/>
      <c r="Q466" s="46"/>
      <c r="R466" s="46"/>
      <c r="S466" s="46"/>
      <c r="T466" s="46"/>
      <c r="U466" s="46"/>
      <c r="V466" s="46"/>
      <c r="W466" s="62"/>
      <c r="X466" s="67"/>
      <c r="Y466" s="68" t="str" cm="1">
        <f t="array" ref="Y466">CalculerNouvelleDate(I466,X466)</f>
        <v/>
      </c>
      <c r="Z466" s="68" t="str" cm="1">
        <f t="array" ref="Z466">CalculerNouvelleDate(J466,Y466)</f>
        <v/>
      </c>
      <c r="AA466" s="68" t="str" cm="1">
        <f t="array" ref="AA466">CalculerNouvelleDate(K466,Z466)</f>
        <v/>
      </c>
      <c r="AB466" s="68" t="str" cm="1">
        <f t="array" ref="AB466">CalculerNouvelleDate(L466,AA466)</f>
        <v/>
      </c>
      <c r="AC466" s="68" t="str" cm="1">
        <f t="array" ref="AC466">CalculerNouvelleDate(M466,AB466)</f>
        <v/>
      </c>
      <c r="AD466" s="68" t="str" cm="1">
        <f t="array" ref="AD466">CalculerNouvelleDate(N466,AC466)</f>
        <v/>
      </c>
      <c r="AE466" s="68" t="str" cm="1">
        <f t="array" ref="AE466">CalculerNouvelleDate(O466,AD466)</f>
        <v/>
      </c>
      <c r="AF466" s="68" t="str" cm="1">
        <f t="array" ref="AF466">CalculerNouvelleDate(P466,AE466)</f>
        <v/>
      </c>
      <c r="AG466" s="68" t="str" cm="1">
        <f t="array" ref="AG466">CalculerNouvelleDate(Q466,AF466)</f>
        <v/>
      </c>
      <c r="AH466" s="68" t="str" cm="1">
        <f t="array" ref="AH466">CalculerNouvelleDate(R466,AG466)</f>
        <v/>
      </c>
      <c r="AI466" s="68" t="str" cm="1">
        <f t="array" ref="AI466">CalculerNouvelleDate(S466,AH466)</f>
        <v/>
      </c>
      <c r="AJ466" s="68" t="str" cm="1">
        <f t="array" ref="AJ466">CalculerNouvelleDate(T466,AI466)</f>
        <v/>
      </c>
      <c r="AK466" s="68" t="str" cm="1">
        <f t="array" ref="AK466">CalculerNouvelleDate(U466,AJ466)</f>
        <v/>
      </c>
      <c r="AL466" s="68" t="str" cm="1">
        <f t="array" ref="AL466">CalculerNouvelleDate(V466,AK466)</f>
        <v/>
      </c>
      <c r="AM466" s="83" t="str" cm="1">
        <f t="array" ref="AM466">CorrespondanceDAte(X466:AL466,D467)</f>
        <v>0</v>
      </c>
      <c r="AN466" s="1"/>
      <c r="AO466" s="1"/>
      <c r="AP466" s="1"/>
      <c r="AQ466" s="1"/>
      <c r="AR466" s="1"/>
      <c r="AS466" s="1"/>
      <c r="AT466" s="1"/>
      <c r="AU466" s="1"/>
      <c r="AV466" s="1"/>
      <c r="AW466" s="1"/>
      <c r="AX466" s="1"/>
      <c r="AY466" s="1"/>
      <c r="AZ466" s="1"/>
      <c r="BA466" s="1"/>
    </row>
    <row r="467" spans="1:53" x14ac:dyDescent="0.3">
      <c r="A467" s="1"/>
      <c r="B467" s="11"/>
      <c r="C467" s="1" t="s">
        <v>627</v>
      </c>
      <c r="D467" s="1"/>
      <c r="E467" s="1"/>
      <c r="F467" s="1"/>
      <c r="G467" s="1"/>
      <c r="H467" s="43"/>
      <c r="I467" s="46"/>
      <c r="J467" s="46"/>
      <c r="K467" s="46"/>
      <c r="L467" s="46"/>
      <c r="M467" s="46"/>
      <c r="N467" s="46"/>
      <c r="O467" s="46"/>
      <c r="P467" s="46"/>
      <c r="Q467" s="46"/>
      <c r="R467" s="46"/>
      <c r="S467" s="46"/>
      <c r="T467" s="46"/>
      <c r="U467" s="46"/>
      <c r="V467" s="46"/>
      <c r="W467" s="62"/>
      <c r="X467" s="67"/>
      <c r="Y467" s="68" t="str" cm="1">
        <f t="array" ref="Y467">CalculerNouvelleDate(I467,X467)</f>
        <v/>
      </c>
      <c r="Z467" s="68" t="str" cm="1">
        <f t="array" ref="Z467">CalculerNouvelleDate(J467,Y467)</f>
        <v/>
      </c>
      <c r="AA467" s="68" t="str" cm="1">
        <f t="array" ref="AA467">CalculerNouvelleDate(K467,Z467)</f>
        <v/>
      </c>
      <c r="AB467" s="68" t="str" cm="1">
        <f t="array" ref="AB467">CalculerNouvelleDate(L467,AA467)</f>
        <v/>
      </c>
      <c r="AC467" s="68" t="str" cm="1">
        <f t="array" ref="AC467">CalculerNouvelleDate(M467,AB467)</f>
        <v/>
      </c>
      <c r="AD467" s="68" t="str" cm="1">
        <f t="array" ref="AD467">CalculerNouvelleDate(N467,AC467)</f>
        <v/>
      </c>
      <c r="AE467" s="68" t="str" cm="1">
        <f t="array" ref="AE467">CalculerNouvelleDate(O467,AD467)</f>
        <v/>
      </c>
      <c r="AF467" s="68" t="str" cm="1">
        <f t="array" ref="AF467">CalculerNouvelleDate(P467,AE467)</f>
        <v/>
      </c>
      <c r="AG467" s="68" t="str" cm="1">
        <f t="array" ref="AG467">CalculerNouvelleDate(Q467,AF467)</f>
        <v/>
      </c>
      <c r="AH467" s="68" t="str" cm="1">
        <f t="array" ref="AH467">CalculerNouvelleDate(R467,AG467)</f>
        <v/>
      </c>
      <c r="AI467" s="68" t="str" cm="1">
        <f t="array" ref="AI467">CalculerNouvelleDate(S467,AH467)</f>
        <v/>
      </c>
      <c r="AJ467" s="68" t="str" cm="1">
        <f t="array" ref="AJ467">CalculerNouvelleDate(T467,AI467)</f>
        <v/>
      </c>
      <c r="AK467" s="68" t="str" cm="1">
        <f t="array" ref="AK467">CalculerNouvelleDate(U467,AJ467)</f>
        <v/>
      </c>
      <c r="AL467" s="68" t="str" cm="1">
        <f t="array" ref="AL467">CalculerNouvelleDate(V467,AK467)</f>
        <v/>
      </c>
      <c r="AM467" s="83" t="str" cm="1">
        <f t="array" ref="AM467">CorrespondanceDAte(X467:AL467,D468)</f>
        <v>0</v>
      </c>
      <c r="AN467" s="1"/>
      <c r="AO467" s="1"/>
      <c r="AP467" s="1"/>
      <c r="AQ467" s="1"/>
      <c r="AR467" s="1"/>
      <c r="AS467" s="1"/>
      <c r="AT467" s="1"/>
      <c r="AU467" s="1"/>
      <c r="AV467" s="1"/>
      <c r="AW467" s="1"/>
      <c r="AX467" s="1"/>
      <c r="AY467" s="1"/>
      <c r="AZ467" s="1"/>
      <c r="BA467" s="1"/>
    </row>
    <row r="468" spans="1:53" x14ac:dyDescent="0.3">
      <c r="A468" s="1"/>
      <c r="B468" s="11">
        <v>7</v>
      </c>
      <c r="C468" s="1" t="s">
        <v>100</v>
      </c>
      <c r="D468" s="1"/>
      <c r="E468" s="1"/>
      <c r="F468" s="1"/>
      <c r="G468" s="1"/>
      <c r="H468" s="43"/>
      <c r="I468" s="1"/>
      <c r="J468" s="1"/>
      <c r="K468" s="1"/>
      <c r="L468" s="1"/>
      <c r="M468" s="1"/>
      <c r="N468" s="1"/>
      <c r="O468" s="1"/>
      <c r="P468" s="1"/>
      <c r="Q468" s="1"/>
      <c r="R468" s="1"/>
      <c r="S468" s="1"/>
      <c r="T468" s="1"/>
      <c r="U468" s="1"/>
      <c r="V468" s="1"/>
      <c r="W468" s="11"/>
      <c r="X468" s="67"/>
      <c r="Y468" s="68" t="str" cm="1">
        <f t="array" ref="Y468">CalculerNouvelleDate(I468,X468)</f>
        <v/>
      </c>
      <c r="Z468" s="68" t="str" cm="1">
        <f t="array" ref="Z468">CalculerNouvelleDate(J468,Y468)</f>
        <v/>
      </c>
      <c r="AA468" s="68" t="str" cm="1">
        <f t="array" ref="AA468">CalculerNouvelleDate(K468,Z468)</f>
        <v/>
      </c>
      <c r="AB468" s="68" t="str" cm="1">
        <f t="array" ref="AB468">CalculerNouvelleDate(L468,AA468)</f>
        <v/>
      </c>
      <c r="AC468" s="68" t="str" cm="1">
        <f t="array" ref="AC468">CalculerNouvelleDate(M468,AB468)</f>
        <v/>
      </c>
      <c r="AD468" s="68" t="str" cm="1">
        <f t="array" ref="AD468">CalculerNouvelleDate(N468,AC468)</f>
        <v/>
      </c>
      <c r="AE468" s="68" t="str" cm="1">
        <f t="array" ref="AE468">CalculerNouvelleDate(O468,AD468)</f>
        <v/>
      </c>
      <c r="AF468" s="68" t="str" cm="1">
        <f t="array" ref="AF468">CalculerNouvelleDate(P468,AE468)</f>
        <v/>
      </c>
      <c r="AG468" s="68" t="str" cm="1">
        <f t="array" ref="AG468">CalculerNouvelleDate(Q468,AF468)</f>
        <v/>
      </c>
      <c r="AH468" s="68" t="str" cm="1">
        <f t="array" ref="AH468">CalculerNouvelleDate(R468,AG468)</f>
        <v/>
      </c>
      <c r="AI468" s="68" t="str" cm="1">
        <f t="array" ref="AI468">CalculerNouvelleDate(S468,AH468)</f>
        <v/>
      </c>
      <c r="AJ468" s="68" t="str" cm="1">
        <f t="array" ref="AJ468">CalculerNouvelleDate(T468,AI468)</f>
        <v/>
      </c>
      <c r="AK468" s="68" t="str" cm="1">
        <f t="array" ref="AK468">CalculerNouvelleDate(U468,AJ468)</f>
        <v/>
      </c>
      <c r="AL468" s="68" t="str" cm="1">
        <f t="array" ref="AL468">CalculerNouvelleDate(V468,AK468)</f>
        <v/>
      </c>
      <c r="AM468" s="83" t="str" cm="1">
        <f t="array" ref="AM468">CorrespondanceDAte(X468:AL468,D469)</f>
        <v>0</v>
      </c>
      <c r="AN468" s="1"/>
      <c r="AO468" s="1"/>
      <c r="AP468" s="1"/>
      <c r="AQ468" s="1"/>
      <c r="AR468" s="1"/>
      <c r="AS468" s="1"/>
      <c r="AT468" s="1"/>
      <c r="AU468" s="1"/>
      <c r="AV468" s="1"/>
      <c r="AW468" s="1"/>
      <c r="AX468" s="1"/>
      <c r="AY468" s="1"/>
      <c r="AZ468" s="1"/>
      <c r="BA468" s="1"/>
    </row>
    <row r="469" spans="1:53" x14ac:dyDescent="0.3">
      <c r="A469" s="1"/>
      <c r="B469" s="11"/>
      <c r="C469" s="1" t="s">
        <v>568</v>
      </c>
      <c r="D469" s="1"/>
      <c r="E469" s="1"/>
      <c r="F469" s="1"/>
      <c r="G469" s="1"/>
      <c r="H469" s="43"/>
      <c r="I469" s="46"/>
      <c r="J469" s="46"/>
      <c r="K469" s="46"/>
      <c r="L469" s="46"/>
      <c r="M469" s="46"/>
      <c r="N469" s="46"/>
      <c r="O469" s="46"/>
      <c r="P469" s="46"/>
      <c r="Q469" s="46"/>
      <c r="R469" s="46"/>
      <c r="S469" s="46"/>
      <c r="T469" s="46"/>
      <c r="U469" s="46"/>
      <c r="V469" s="46"/>
      <c r="W469" s="62"/>
      <c r="X469" s="67"/>
      <c r="Y469" s="68" t="str" cm="1">
        <f t="array" ref="Y469">CalculerNouvelleDate(I469,X469)</f>
        <v/>
      </c>
      <c r="Z469" s="68" t="str" cm="1">
        <f t="array" ref="Z469">CalculerNouvelleDate(J469,Y469)</f>
        <v/>
      </c>
      <c r="AA469" s="68" t="str" cm="1">
        <f t="array" ref="AA469">CalculerNouvelleDate(K469,Z469)</f>
        <v/>
      </c>
      <c r="AB469" s="68" t="str" cm="1">
        <f t="array" ref="AB469">CalculerNouvelleDate(L469,AA469)</f>
        <v/>
      </c>
      <c r="AC469" s="68" t="str" cm="1">
        <f t="array" ref="AC469">CalculerNouvelleDate(M469,AB469)</f>
        <v/>
      </c>
      <c r="AD469" s="68" t="str" cm="1">
        <f t="array" ref="AD469">CalculerNouvelleDate(N469,AC469)</f>
        <v/>
      </c>
      <c r="AE469" s="68" t="str" cm="1">
        <f t="array" ref="AE469">CalculerNouvelleDate(O469,AD469)</f>
        <v/>
      </c>
      <c r="AF469" s="68" t="str" cm="1">
        <f t="array" ref="AF469">CalculerNouvelleDate(P469,AE469)</f>
        <v/>
      </c>
      <c r="AG469" s="68" t="str" cm="1">
        <f t="array" ref="AG469">CalculerNouvelleDate(Q469,AF469)</f>
        <v/>
      </c>
      <c r="AH469" s="68" t="str" cm="1">
        <f t="array" ref="AH469">CalculerNouvelleDate(R469,AG469)</f>
        <v/>
      </c>
      <c r="AI469" s="68" t="str" cm="1">
        <f t="array" ref="AI469">CalculerNouvelleDate(S469,AH469)</f>
        <v/>
      </c>
      <c r="AJ469" s="68" t="str" cm="1">
        <f t="array" ref="AJ469">CalculerNouvelleDate(T469,AI469)</f>
        <v/>
      </c>
      <c r="AK469" s="68" t="str" cm="1">
        <f t="array" ref="AK469">CalculerNouvelleDate(U469,AJ469)</f>
        <v/>
      </c>
      <c r="AL469" s="68" t="str" cm="1">
        <f t="array" ref="AL469">CalculerNouvelleDate(V469,AK469)</f>
        <v/>
      </c>
      <c r="AM469" s="83" t="str" cm="1">
        <f t="array" ref="AM469">CorrespondanceDAte(X469:AL469,D470)</f>
        <v>0</v>
      </c>
      <c r="AN469" s="1"/>
      <c r="AO469" s="1"/>
      <c r="AP469" s="1"/>
      <c r="AQ469" s="1"/>
      <c r="AR469" s="1"/>
      <c r="AS469" s="1"/>
      <c r="AT469" s="1"/>
      <c r="AU469" s="1"/>
      <c r="AV469" s="1"/>
      <c r="AW469" s="1"/>
      <c r="AX469" s="1"/>
      <c r="AY469" s="1"/>
      <c r="AZ469" s="1"/>
      <c r="BA469" s="1"/>
    </row>
    <row r="470" spans="1:53" x14ac:dyDescent="0.3">
      <c r="A470" s="1"/>
      <c r="B470" s="11"/>
      <c r="C470" s="1" t="s">
        <v>569</v>
      </c>
      <c r="D470" s="1"/>
      <c r="E470" s="1"/>
      <c r="F470" s="1"/>
      <c r="G470" s="1"/>
      <c r="H470" s="43"/>
      <c r="I470" s="46"/>
      <c r="J470" s="46"/>
      <c r="K470" s="46"/>
      <c r="L470" s="46"/>
      <c r="M470" s="46"/>
      <c r="N470" s="46"/>
      <c r="O470" s="46"/>
      <c r="P470" s="46"/>
      <c r="Q470" s="46"/>
      <c r="R470" s="46"/>
      <c r="S470" s="46"/>
      <c r="T470" s="46"/>
      <c r="U470" s="46"/>
      <c r="V470" s="46"/>
      <c r="W470" s="62"/>
      <c r="X470" s="67"/>
      <c r="Y470" s="68" t="str" cm="1">
        <f t="array" ref="Y470">CalculerNouvelleDate(I470,X470)</f>
        <v/>
      </c>
      <c r="Z470" s="68" t="str" cm="1">
        <f t="array" ref="Z470">CalculerNouvelleDate(J470,Y470)</f>
        <v/>
      </c>
      <c r="AA470" s="68" t="str" cm="1">
        <f t="array" ref="AA470">CalculerNouvelleDate(K470,Z470)</f>
        <v/>
      </c>
      <c r="AB470" s="68" t="str" cm="1">
        <f t="array" ref="AB470">CalculerNouvelleDate(L470,AA470)</f>
        <v/>
      </c>
      <c r="AC470" s="68" t="str" cm="1">
        <f t="array" ref="AC470">CalculerNouvelleDate(M470,AB470)</f>
        <v/>
      </c>
      <c r="AD470" s="68" t="str" cm="1">
        <f t="array" ref="AD470">CalculerNouvelleDate(N470,AC470)</f>
        <v/>
      </c>
      <c r="AE470" s="68" t="str" cm="1">
        <f t="array" ref="AE470">CalculerNouvelleDate(O470,AD470)</f>
        <v/>
      </c>
      <c r="AF470" s="68" t="str" cm="1">
        <f t="array" ref="AF470">CalculerNouvelleDate(P470,AE470)</f>
        <v/>
      </c>
      <c r="AG470" s="68" t="str" cm="1">
        <f t="array" ref="AG470">CalculerNouvelleDate(Q470,AF470)</f>
        <v/>
      </c>
      <c r="AH470" s="68" t="str" cm="1">
        <f t="array" ref="AH470">CalculerNouvelleDate(R470,AG470)</f>
        <v/>
      </c>
      <c r="AI470" s="68" t="str" cm="1">
        <f t="array" ref="AI470">CalculerNouvelleDate(S470,AH470)</f>
        <v/>
      </c>
      <c r="AJ470" s="68" t="str" cm="1">
        <f t="array" ref="AJ470">CalculerNouvelleDate(T470,AI470)</f>
        <v/>
      </c>
      <c r="AK470" s="68" t="str" cm="1">
        <f t="array" ref="AK470">CalculerNouvelleDate(U470,AJ470)</f>
        <v/>
      </c>
      <c r="AL470" s="68" t="str" cm="1">
        <f t="array" ref="AL470">CalculerNouvelleDate(V470,AK470)</f>
        <v/>
      </c>
      <c r="AM470" s="83" t="str" cm="1">
        <f t="array" ref="AM470">CorrespondanceDAte(X470:AL470,D471)</f>
        <v>0</v>
      </c>
      <c r="AN470" s="1"/>
      <c r="AO470" s="1"/>
      <c r="AP470" s="1"/>
      <c r="AQ470" s="1"/>
      <c r="AR470" s="1"/>
      <c r="AS470" s="1"/>
      <c r="AT470" s="1"/>
      <c r="AU470" s="1"/>
      <c r="AV470" s="1"/>
      <c r="AW470" s="1"/>
      <c r="AX470" s="1"/>
      <c r="AY470" s="1"/>
      <c r="AZ470" s="1"/>
      <c r="BA470" s="1"/>
    </row>
    <row r="471" spans="1:53" x14ac:dyDescent="0.3">
      <c r="A471" s="1"/>
      <c r="B471" s="11"/>
      <c r="C471" s="1" t="s">
        <v>570</v>
      </c>
      <c r="D471" s="1"/>
      <c r="E471" s="1"/>
      <c r="F471" s="1"/>
      <c r="G471" s="1"/>
      <c r="H471" s="43"/>
      <c r="I471" s="46"/>
      <c r="J471" s="46"/>
      <c r="K471" s="46"/>
      <c r="L471" s="46"/>
      <c r="M471" s="46"/>
      <c r="N471" s="46"/>
      <c r="O471" s="46"/>
      <c r="P471" s="46"/>
      <c r="Q471" s="46"/>
      <c r="R471" s="46"/>
      <c r="S471" s="46"/>
      <c r="T471" s="46"/>
      <c r="U471" s="46"/>
      <c r="V471" s="46"/>
      <c r="W471" s="62"/>
      <c r="X471" s="67"/>
      <c r="Y471" s="68" t="str" cm="1">
        <f t="array" ref="Y471">CalculerNouvelleDate(I471,X471)</f>
        <v/>
      </c>
      <c r="Z471" s="68" t="str" cm="1">
        <f t="array" ref="Z471">CalculerNouvelleDate(J471,Y471)</f>
        <v/>
      </c>
      <c r="AA471" s="68" t="str" cm="1">
        <f t="array" ref="AA471">CalculerNouvelleDate(K471,Z471)</f>
        <v/>
      </c>
      <c r="AB471" s="68" t="str" cm="1">
        <f t="array" ref="AB471">CalculerNouvelleDate(L471,AA471)</f>
        <v/>
      </c>
      <c r="AC471" s="68" t="str" cm="1">
        <f t="array" ref="AC471">CalculerNouvelleDate(M471,AB471)</f>
        <v/>
      </c>
      <c r="AD471" s="68" t="str" cm="1">
        <f t="array" ref="AD471">CalculerNouvelleDate(N471,AC471)</f>
        <v/>
      </c>
      <c r="AE471" s="68" t="str" cm="1">
        <f t="array" ref="AE471">CalculerNouvelleDate(O471,AD471)</f>
        <v/>
      </c>
      <c r="AF471" s="68" t="str" cm="1">
        <f t="array" ref="AF471">CalculerNouvelleDate(P471,AE471)</f>
        <v/>
      </c>
      <c r="AG471" s="68" t="str" cm="1">
        <f t="array" ref="AG471">CalculerNouvelleDate(Q471,AF471)</f>
        <v/>
      </c>
      <c r="AH471" s="68" t="str" cm="1">
        <f t="array" ref="AH471">CalculerNouvelleDate(R471,AG471)</f>
        <v/>
      </c>
      <c r="AI471" s="68" t="str" cm="1">
        <f t="array" ref="AI471">CalculerNouvelleDate(S471,AH471)</f>
        <v/>
      </c>
      <c r="AJ471" s="68" t="str" cm="1">
        <f t="array" ref="AJ471">CalculerNouvelleDate(T471,AI471)</f>
        <v/>
      </c>
      <c r="AK471" s="68" t="str" cm="1">
        <f t="array" ref="AK471">CalculerNouvelleDate(U471,AJ471)</f>
        <v/>
      </c>
      <c r="AL471" s="68" t="str" cm="1">
        <f t="array" ref="AL471">CalculerNouvelleDate(V471,AK471)</f>
        <v/>
      </c>
      <c r="AM471" s="83" t="str" cm="1">
        <f t="array" ref="AM471">CorrespondanceDAte(X471:AL471,D472)</f>
        <v>0</v>
      </c>
      <c r="AN471" s="1"/>
      <c r="AO471" s="1"/>
      <c r="AP471" s="1"/>
      <c r="AQ471" s="1"/>
      <c r="AR471" s="1"/>
      <c r="AS471" s="1"/>
      <c r="AT471" s="1"/>
      <c r="AU471" s="1"/>
      <c r="AV471" s="1"/>
      <c r="AW471" s="1"/>
      <c r="AX471" s="1"/>
      <c r="AY471" s="1"/>
      <c r="AZ471" s="1"/>
      <c r="BA471" s="1"/>
    </row>
    <row r="472" spans="1:53" x14ac:dyDescent="0.3">
      <c r="A472" s="1"/>
      <c r="B472" s="11"/>
      <c r="C472" s="1" t="s">
        <v>709</v>
      </c>
      <c r="D472" s="1"/>
      <c r="E472" s="1"/>
      <c r="F472" s="1"/>
      <c r="G472" s="1"/>
      <c r="H472" s="43"/>
      <c r="I472" s="46"/>
      <c r="J472" s="46"/>
      <c r="K472" s="46"/>
      <c r="L472" s="46"/>
      <c r="M472" s="46"/>
      <c r="N472" s="46"/>
      <c r="O472" s="46"/>
      <c r="P472" s="46"/>
      <c r="Q472" s="46"/>
      <c r="R472" s="46"/>
      <c r="S472" s="46"/>
      <c r="T472" s="46"/>
      <c r="U472" s="46"/>
      <c r="V472" s="46"/>
      <c r="W472" s="62"/>
      <c r="X472" s="67"/>
      <c r="Y472" s="68" t="str" cm="1">
        <f t="array" ref="Y472">CalculerNouvelleDate(I472,X472)</f>
        <v/>
      </c>
      <c r="Z472" s="68" t="str" cm="1">
        <f t="array" ref="Z472">CalculerNouvelleDate(J472,Y472)</f>
        <v/>
      </c>
      <c r="AA472" s="68" t="str" cm="1">
        <f t="array" ref="AA472">CalculerNouvelleDate(K472,Z472)</f>
        <v/>
      </c>
      <c r="AB472" s="68" t="str" cm="1">
        <f t="array" ref="AB472">CalculerNouvelleDate(L472,AA472)</f>
        <v/>
      </c>
      <c r="AC472" s="68" t="str" cm="1">
        <f t="array" ref="AC472">CalculerNouvelleDate(M472,AB472)</f>
        <v/>
      </c>
      <c r="AD472" s="68" t="str" cm="1">
        <f t="array" ref="AD472">CalculerNouvelleDate(N472,AC472)</f>
        <v/>
      </c>
      <c r="AE472" s="68" t="str" cm="1">
        <f t="array" ref="AE472">CalculerNouvelleDate(O472,AD472)</f>
        <v/>
      </c>
      <c r="AF472" s="68" t="str" cm="1">
        <f t="array" ref="AF472">CalculerNouvelleDate(P472,AE472)</f>
        <v/>
      </c>
      <c r="AG472" s="68" t="str" cm="1">
        <f t="array" ref="AG472">CalculerNouvelleDate(Q472,AF472)</f>
        <v/>
      </c>
      <c r="AH472" s="68" t="str" cm="1">
        <f t="array" ref="AH472">CalculerNouvelleDate(R472,AG472)</f>
        <v/>
      </c>
      <c r="AI472" s="68" t="str" cm="1">
        <f t="array" ref="AI472">CalculerNouvelleDate(S472,AH472)</f>
        <v/>
      </c>
      <c r="AJ472" s="68" t="str" cm="1">
        <f t="array" ref="AJ472">CalculerNouvelleDate(T472,AI472)</f>
        <v/>
      </c>
      <c r="AK472" s="68" t="str" cm="1">
        <f t="array" ref="AK472">CalculerNouvelleDate(U472,AJ472)</f>
        <v/>
      </c>
      <c r="AL472" s="68" t="str" cm="1">
        <f t="array" ref="AL472">CalculerNouvelleDate(V472,AK472)</f>
        <v/>
      </c>
      <c r="AM472" s="83" t="str" cm="1">
        <f t="array" ref="AM472">CorrespondanceDAte(X472:AL472,D473)</f>
        <v>0</v>
      </c>
      <c r="AN472" s="1"/>
      <c r="AO472" s="1"/>
      <c r="AP472" s="1"/>
      <c r="AQ472" s="1"/>
      <c r="AR472" s="1"/>
      <c r="AS472" s="1"/>
      <c r="AT472" s="1"/>
      <c r="AU472" s="1"/>
      <c r="AV472" s="1"/>
      <c r="AW472" s="1"/>
      <c r="AX472" s="1"/>
      <c r="AY472" s="1"/>
      <c r="AZ472" s="1"/>
      <c r="BA472" s="1"/>
    </row>
    <row r="473" spans="1:53" x14ac:dyDescent="0.3">
      <c r="A473" s="1"/>
      <c r="B473" s="11"/>
      <c r="C473" s="1"/>
      <c r="D473" s="1"/>
      <c r="E473" s="1"/>
      <c r="F473" s="1"/>
      <c r="G473" s="1"/>
      <c r="H473" s="43"/>
      <c r="I473" s="46"/>
      <c r="J473" s="46"/>
      <c r="K473" s="46"/>
      <c r="L473" s="46"/>
      <c r="M473" s="46"/>
      <c r="N473" s="46"/>
      <c r="O473" s="46"/>
      <c r="P473" s="46"/>
      <c r="Q473" s="46"/>
      <c r="R473" s="46"/>
      <c r="S473" s="46"/>
      <c r="T473" s="46"/>
      <c r="U473" s="46"/>
      <c r="V473" s="46"/>
      <c r="W473" s="62"/>
      <c r="X473" s="67"/>
      <c r="Y473" s="68" t="str" cm="1">
        <f t="array" ref="Y473">CalculerNouvelleDate(I473,X473)</f>
        <v/>
      </c>
      <c r="Z473" s="68" t="str" cm="1">
        <f t="array" ref="Z473">CalculerNouvelleDate(J473,Y473)</f>
        <v/>
      </c>
      <c r="AA473" s="68" t="str" cm="1">
        <f t="array" ref="AA473">CalculerNouvelleDate(K473,Z473)</f>
        <v/>
      </c>
      <c r="AB473" s="68" t="str" cm="1">
        <f t="array" ref="AB473">CalculerNouvelleDate(L473,AA473)</f>
        <v/>
      </c>
      <c r="AC473" s="68" t="str" cm="1">
        <f t="array" ref="AC473">CalculerNouvelleDate(M473,AB473)</f>
        <v/>
      </c>
      <c r="AD473" s="68" t="str" cm="1">
        <f t="array" ref="AD473">CalculerNouvelleDate(N473,AC473)</f>
        <v/>
      </c>
      <c r="AE473" s="68" t="str" cm="1">
        <f t="array" ref="AE473">CalculerNouvelleDate(O473,AD473)</f>
        <v/>
      </c>
      <c r="AF473" s="68" t="str" cm="1">
        <f t="array" ref="AF473">CalculerNouvelleDate(P473,AE473)</f>
        <v/>
      </c>
      <c r="AG473" s="68" t="str" cm="1">
        <f t="array" ref="AG473">CalculerNouvelleDate(Q473,AF473)</f>
        <v/>
      </c>
      <c r="AH473" s="68" t="str" cm="1">
        <f t="array" ref="AH473">CalculerNouvelleDate(R473,AG473)</f>
        <v/>
      </c>
      <c r="AI473" s="68" t="str" cm="1">
        <f t="array" ref="AI473">CalculerNouvelleDate(S473,AH473)</f>
        <v/>
      </c>
      <c r="AJ473" s="68" t="str" cm="1">
        <f t="array" ref="AJ473">CalculerNouvelleDate(T473,AI473)</f>
        <v/>
      </c>
      <c r="AK473" s="68" t="str" cm="1">
        <f t="array" ref="AK473">CalculerNouvelleDate(U473,AJ473)</f>
        <v/>
      </c>
      <c r="AL473" s="68" t="str" cm="1">
        <f t="array" ref="AL473">CalculerNouvelleDate(V473,AK473)</f>
        <v/>
      </c>
      <c r="AM473" s="83" t="str" cm="1">
        <f t="array" ref="AM473">CorrespondanceDAte(X473:AL473,D474)</f>
        <v>0</v>
      </c>
      <c r="AN473" s="1"/>
      <c r="AO473" s="1"/>
      <c r="AP473" s="1"/>
      <c r="AQ473" s="1"/>
      <c r="AR473" s="1"/>
      <c r="AS473" s="1"/>
      <c r="AT473" s="1"/>
      <c r="AU473" s="1"/>
      <c r="AV473" s="1"/>
      <c r="AW473" s="1"/>
      <c r="AX473" s="1"/>
      <c r="AY473" s="1"/>
      <c r="AZ473" s="1"/>
      <c r="BA473" s="1"/>
    </row>
    <row r="474" spans="1:53" x14ac:dyDescent="0.3">
      <c r="A474" s="20" t="s">
        <v>107</v>
      </c>
      <c r="B474" s="19"/>
      <c r="C474" s="19"/>
      <c r="D474" s="19"/>
      <c r="E474" s="19"/>
      <c r="F474" s="22"/>
      <c r="G474" s="22"/>
      <c r="H474" s="43"/>
      <c r="I474" s="1"/>
      <c r="J474" s="1"/>
      <c r="K474" s="1"/>
      <c r="L474" s="1"/>
      <c r="M474" s="1"/>
      <c r="N474" s="1"/>
      <c r="O474" s="1"/>
      <c r="P474" s="1"/>
      <c r="Q474" s="1"/>
      <c r="R474" s="1"/>
      <c r="S474" s="1"/>
      <c r="T474" s="1"/>
      <c r="U474" s="1"/>
      <c r="V474" s="1"/>
      <c r="W474" s="11"/>
      <c r="X474" s="67"/>
      <c r="Y474" s="68" t="str" cm="1">
        <f t="array" ref="Y474">CalculerNouvelleDate(I474,X474)</f>
        <v/>
      </c>
      <c r="Z474" s="68" t="str" cm="1">
        <f t="array" ref="Z474">CalculerNouvelleDate(J474,Y474)</f>
        <v/>
      </c>
      <c r="AA474" s="68" t="str" cm="1">
        <f t="array" ref="AA474">CalculerNouvelleDate(K474,Z474)</f>
        <v/>
      </c>
      <c r="AB474" s="68" t="str" cm="1">
        <f t="array" ref="AB474">CalculerNouvelleDate(L474,AA474)</f>
        <v/>
      </c>
      <c r="AC474" s="68" t="str" cm="1">
        <f t="array" ref="AC474">CalculerNouvelleDate(M474,AB474)</f>
        <v/>
      </c>
      <c r="AD474" s="68" t="str" cm="1">
        <f t="array" ref="AD474">CalculerNouvelleDate(N474,AC474)</f>
        <v/>
      </c>
      <c r="AE474" s="68" t="str" cm="1">
        <f t="array" ref="AE474">CalculerNouvelleDate(O474,AD474)</f>
        <v/>
      </c>
      <c r="AF474" s="68" t="str" cm="1">
        <f t="array" ref="AF474">CalculerNouvelleDate(P474,AE474)</f>
        <v/>
      </c>
      <c r="AG474" s="68" t="str" cm="1">
        <f t="array" ref="AG474">CalculerNouvelleDate(Q474,AF474)</f>
        <v/>
      </c>
      <c r="AH474" s="68" t="str" cm="1">
        <f t="array" ref="AH474">CalculerNouvelleDate(R474,AG474)</f>
        <v/>
      </c>
      <c r="AI474" s="68" t="str" cm="1">
        <f t="array" ref="AI474">CalculerNouvelleDate(S474,AH474)</f>
        <v/>
      </c>
      <c r="AJ474" s="68" t="str" cm="1">
        <f t="array" ref="AJ474">CalculerNouvelleDate(T474,AI474)</f>
        <v/>
      </c>
      <c r="AK474" s="68" t="str" cm="1">
        <f t="array" ref="AK474">CalculerNouvelleDate(U474,AJ474)</f>
        <v/>
      </c>
      <c r="AL474" s="68" t="str" cm="1">
        <f t="array" ref="AL474">CalculerNouvelleDate(V474,AK474)</f>
        <v/>
      </c>
      <c r="AM474" s="83" t="str" cm="1">
        <f t="array" ref="AM474">CorrespondanceDAte(X474:AL474,D475)</f>
        <v>0</v>
      </c>
      <c r="AN474" s="1"/>
      <c r="AO474" s="1"/>
      <c r="AP474" s="1"/>
      <c r="AQ474" s="1"/>
      <c r="AR474" s="1"/>
      <c r="AS474" s="1"/>
      <c r="AT474" s="1"/>
      <c r="AU474" s="1"/>
      <c r="AV474" s="1"/>
      <c r="AW474" s="1"/>
      <c r="AX474" s="1"/>
      <c r="AY474" s="1"/>
      <c r="AZ474" s="1"/>
      <c r="BA474" s="1"/>
    </row>
    <row r="475" spans="1:53" x14ac:dyDescent="0.3">
      <c r="A475" s="1"/>
      <c r="B475" s="11">
        <v>1</v>
      </c>
      <c r="C475" s="1" t="s">
        <v>110</v>
      </c>
      <c r="D475" s="1"/>
      <c r="E475" s="1"/>
      <c r="F475" s="1"/>
      <c r="G475" s="1"/>
      <c r="H475" s="43"/>
      <c r="I475" s="1"/>
      <c r="J475" s="1"/>
      <c r="K475" s="1"/>
      <c r="L475" s="1"/>
      <c r="M475" s="1"/>
      <c r="N475" s="1"/>
      <c r="O475" s="1"/>
      <c r="P475" s="1"/>
      <c r="Q475" s="1"/>
      <c r="R475" s="1"/>
      <c r="S475" s="1"/>
      <c r="T475" s="1"/>
      <c r="U475" s="1"/>
      <c r="V475" s="1"/>
      <c r="W475" s="11"/>
      <c r="X475" s="67"/>
      <c r="Y475" s="68" t="str" cm="1">
        <f t="array" ref="Y475">CalculerNouvelleDate(I475,X475)</f>
        <v/>
      </c>
      <c r="Z475" s="68" t="str" cm="1">
        <f t="array" ref="Z475">CalculerNouvelleDate(J475,Y475)</f>
        <v/>
      </c>
      <c r="AA475" s="68" t="str" cm="1">
        <f t="array" ref="AA475">CalculerNouvelleDate(K475,Z475)</f>
        <v/>
      </c>
      <c r="AB475" s="68" t="str" cm="1">
        <f t="array" ref="AB475">CalculerNouvelleDate(L475,AA475)</f>
        <v/>
      </c>
      <c r="AC475" s="68" t="str" cm="1">
        <f t="array" ref="AC475">CalculerNouvelleDate(M475,AB475)</f>
        <v/>
      </c>
      <c r="AD475" s="68" t="str" cm="1">
        <f t="array" ref="AD475">CalculerNouvelleDate(N475,AC475)</f>
        <v/>
      </c>
      <c r="AE475" s="68" t="str" cm="1">
        <f t="array" ref="AE475">CalculerNouvelleDate(O475,AD475)</f>
        <v/>
      </c>
      <c r="AF475" s="68" t="str" cm="1">
        <f t="array" ref="AF475">CalculerNouvelleDate(P475,AE475)</f>
        <v/>
      </c>
      <c r="AG475" s="68" t="str" cm="1">
        <f t="array" ref="AG475">CalculerNouvelleDate(Q475,AF475)</f>
        <v/>
      </c>
      <c r="AH475" s="68" t="str" cm="1">
        <f t="array" ref="AH475">CalculerNouvelleDate(R475,AG475)</f>
        <v/>
      </c>
      <c r="AI475" s="68" t="str" cm="1">
        <f t="array" ref="AI475">CalculerNouvelleDate(S475,AH475)</f>
        <v/>
      </c>
      <c r="AJ475" s="68" t="str" cm="1">
        <f t="array" ref="AJ475">CalculerNouvelleDate(T475,AI475)</f>
        <v/>
      </c>
      <c r="AK475" s="68" t="str" cm="1">
        <f t="array" ref="AK475">CalculerNouvelleDate(U475,AJ475)</f>
        <v/>
      </c>
      <c r="AL475" s="68" t="str" cm="1">
        <f t="array" ref="AL475">CalculerNouvelleDate(V475,AK475)</f>
        <v/>
      </c>
      <c r="AM475" s="83" t="str" cm="1">
        <f t="array" ref="AM475">CorrespondanceDAte(X475:AL475,D476)</f>
        <v>0</v>
      </c>
      <c r="AN475" s="1"/>
      <c r="AO475" s="1"/>
      <c r="AP475" s="1"/>
      <c r="AQ475" s="1"/>
      <c r="AR475" s="1"/>
      <c r="AS475" s="1"/>
      <c r="AT475" s="1"/>
      <c r="AU475" s="1"/>
      <c r="AV475" s="1"/>
      <c r="AW475" s="1"/>
      <c r="AX475" s="1"/>
      <c r="AY475" s="1"/>
      <c r="AZ475" s="1"/>
      <c r="BA475" s="1"/>
    </row>
    <row r="476" spans="1:53" x14ac:dyDescent="0.3">
      <c r="A476" s="1"/>
      <c r="B476" s="11"/>
      <c r="C476" s="69" t="s">
        <v>531</v>
      </c>
      <c r="D476" s="1"/>
      <c r="E476" s="1"/>
      <c r="F476" s="1"/>
      <c r="G476" s="1"/>
      <c r="H476" s="43"/>
      <c r="I476" s="46"/>
      <c r="J476" s="46"/>
      <c r="K476" s="46"/>
      <c r="L476" s="46"/>
      <c r="M476" s="46"/>
      <c r="N476" s="46"/>
      <c r="O476" s="46"/>
      <c r="P476" s="46"/>
      <c r="Q476" s="46"/>
      <c r="R476" s="46"/>
      <c r="S476" s="46"/>
      <c r="T476" s="46"/>
      <c r="U476" s="46"/>
      <c r="V476" s="46"/>
      <c r="W476" s="62"/>
      <c r="X476" s="67"/>
      <c r="Y476" s="68" t="str" cm="1">
        <f t="array" ref="Y476">CalculerNouvelleDate(I476,X476)</f>
        <v/>
      </c>
      <c r="Z476" s="68" t="str" cm="1">
        <f t="array" ref="Z476">CalculerNouvelleDate(J476,Y476)</f>
        <v/>
      </c>
      <c r="AA476" s="68" t="str" cm="1">
        <f t="array" ref="AA476">CalculerNouvelleDate(K476,Z476)</f>
        <v/>
      </c>
      <c r="AB476" s="68" t="str" cm="1">
        <f t="array" ref="AB476">CalculerNouvelleDate(L476,AA476)</f>
        <v/>
      </c>
      <c r="AC476" s="68" t="str" cm="1">
        <f t="array" ref="AC476">CalculerNouvelleDate(M476,AB476)</f>
        <v/>
      </c>
      <c r="AD476" s="68" t="str" cm="1">
        <f t="array" ref="AD476">CalculerNouvelleDate(N476,AC476)</f>
        <v/>
      </c>
      <c r="AE476" s="68" t="str" cm="1">
        <f t="array" ref="AE476">CalculerNouvelleDate(O476,AD476)</f>
        <v/>
      </c>
      <c r="AF476" s="68" t="str" cm="1">
        <f t="array" ref="AF476">CalculerNouvelleDate(P476,AE476)</f>
        <v/>
      </c>
      <c r="AG476" s="68" t="str" cm="1">
        <f t="array" ref="AG476">CalculerNouvelleDate(Q476,AF476)</f>
        <v/>
      </c>
      <c r="AH476" s="68" t="str" cm="1">
        <f t="array" ref="AH476">CalculerNouvelleDate(R476,AG476)</f>
        <v/>
      </c>
      <c r="AI476" s="68" t="str" cm="1">
        <f t="array" ref="AI476">CalculerNouvelleDate(S476,AH476)</f>
        <v/>
      </c>
      <c r="AJ476" s="68" t="str" cm="1">
        <f t="array" ref="AJ476">CalculerNouvelleDate(T476,AI476)</f>
        <v/>
      </c>
      <c r="AK476" s="68" t="str" cm="1">
        <f t="array" ref="AK476">CalculerNouvelleDate(U476,AJ476)</f>
        <v/>
      </c>
      <c r="AL476" s="68" t="str" cm="1">
        <f t="array" ref="AL476">CalculerNouvelleDate(V476,AK476)</f>
        <v/>
      </c>
      <c r="AM476" s="83" t="str" cm="1">
        <f t="array" ref="AM476">CorrespondanceDAte(X476:AL476,D477)</f>
        <v>0</v>
      </c>
      <c r="AN476" s="1"/>
      <c r="AO476" s="1"/>
      <c r="AP476" s="1"/>
      <c r="AQ476" s="1"/>
      <c r="AR476" s="1"/>
      <c r="AS476" s="1"/>
      <c r="AT476" s="1"/>
      <c r="AU476" s="1"/>
      <c r="AV476" s="1"/>
      <c r="AW476" s="1"/>
      <c r="AX476" s="1"/>
      <c r="AY476" s="1"/>
      <c r="AZ476" s="1"/>
      <c r="BA476" s="1"/>
    </row>
    <row r="477" spans="1:53" x14ac:dyDescent="0.3">
      <c r="A477" s="1"/>
      <c r="B477" s="11"/>
      <c r="C477" s="69" t="s">
        <v>534</v>
      </c>
      <c r="D477" s="1"/>
      <c r="E477" s="1"/>
      <c r="F477" s="1"/>
      <c r="G477" s="1"/>
      <c r="H477" s="43"/>
      <c r="I477" s="46"/>
      <c r="J477" s="46"/>
      <c r="K477" s="46"/>
      <c r="L477" s="46"/>
      <c r="M477" s="46"/>
      <c r="N477" s="46"/>
      <c r="O477" s="46"/>
      <c r="P477" s="46"/>
      <c r="Q477" s="46"/>
      <c r="R477" s="46"/>
      <c r="S477" s="46"/>
      <c r="T477" s="46"/>
      <c r="U477" s="46"/>
      <c r="V477" s="46"/>
      <c r="W477" s="62"/>
      <c r="X477" s="67"/>
      <c r="Y477" s="68" t="str" cm="1">
        <f t="array" ref="Y477">CalculerNouvelleDate(I477,X477)</f>
        <v/>
      </c>
      <c r="Z477" s="68" t="str" cm="1">
        <f t="array" ref="Z477">CalculerNouvelleDate(J477,Y477)</f>
        <v/>
      </c>
      <c r="AA477" s="68" t="str" cm="1">
        <f t="array" ref="AA477">CalculerNouvelleDate(K477,Z477)</f>
        <v/>
      </c>
      <c r="AB477" s="68" t="str" cm="1">
        <f t="array" ref="AB477">CalculerNouvelleDate(L477,AA477)</f>
        <v/>
      </c>
      <c r="AC477" s="68" t="str" cm="1">
        <f t="array" ref="AC477">CalculerNouvelleDate(M477,AB477)</f>
        <v/>
      </c>
      <c r="AD477" s="68" t="str" cm="1">
        <f t="array" ref="AD477">CalculerNouvelleDate(N477,AC477)</f>
        <v/>
      </c>
      <c r="AE477" s="68" t="str" cm="1">
        <f t="array" ref="AE477">CalculerNouvelleDate(O477,AD477)</f>
        <v/>
      </c>
      <c r="AF477" s="68" t="str" cm="1">
        <f t="array" ref="AF477">CalculerNouvelleDate(P477,AE477)</f>
        <v/>
      </c>
      <c r="AG477" s="68" t="str" cm="1">
        <f t="array" ref="AG477">CalculerNouvelleDate(Q477,AF477)</f>
        <v/>
      </c>
      <c r="AH477" s="68" t="str" cm="1">
        <f t="array" ref="AH477">CalculerNouvelleDate(R477,AG477)</f>
        <v/>
      </c>
      <c r="AI477" s="68" t="str" cm="1">
        <f t="array" ref="AI477">CalculerNouvelleDate(S477,AH477)</f>
        <v/>
      </c>
      <c r="AJ477" s="68" t="str" cm="1">
        <f t="array" ref="AJ477">CalculerNouvelleDate(T477,AI477)</f>
        <v/>
      </c>
      <c r="AK477" s="68" t="str" cm="1">
        <f t="array" ref="AK477">CalculerNouvelleDate(U477,AJ477)</f>
        <v/>
      </c>
      <c r="AL477" s="68" t="str" cm="1">
        <f t="array" ref="AL477">CalculerNouvelleDate(V477,AK477)</f>
        <v/>
      </c>
      <c r="AM477" s="83" t="str" cm="1">
        <f t="array" ref="AM477">CorrespondanceDAte(X477:AL477,D478)</f>
        <v>0</v>
      </c>
      <c r="AN477" s="1"/>
      <c r="AO477" s="1"/>
      <c r="AP477" s="1"/>
      <c r="AQ477" s="1"/>
      <c r="AR477" s="1"/>
      <c r="AS477" s="1"/>
      <c r="AT477" s="1"/>
      <c r="AU477" s="1"/>
      <c r="AV477" s="1"/>
      <c r="AW477" s="1"/>
      <c r="AX477" s="1"/>
      <c r="AY477" s="1"/>
      <c r="AZ477" s="1"/>
      <c r="BA477" s="1"/>
    </row>
    <row r="478" spans="1:53" x14ac:dyDescent="0.3">
      <c r="A478" s="1"/>
      <c r="B478" s="11"/>
      <c r="C478" s="69" t="s">
        <v>538</v>
      </c>
      <c r="D478" s="1"/>
      <c r="E478" s="1"/>
      <c r="F478" s="1"/>
      <c r="G478" s="1"/>
      <c r="H478" s="43"/>
      <c r="I478" s="46"/>
      <c r="J478" s="46"/>
      <c r="K478" s="46"/>
      <c r="L478" s="46"/>
      <c r="M478" s="46"/>
      <c r="N478" s="46"/>
      <c r="O478" s="46"/>
      <c r="P478" s="46"/>
      <c r="Q478" s="46"/>
      <c r="R478" s="46"/>
      <c r="S478" s="46"/>
      <c r="T478" s="46"/>
      <c r="U478" s="46"/>
      <c r="V478" s="46"/>
      <c r="W478" s="62"/>
      <c r="X478" s="67"/>
      <c r="Y478" s="68" t="str" cm="1">
        <f t="array" ref="Y478">CalculerNouvelleDate(I478,X478)</f>
        <v/>
      </c>
      <c r="Z478" s="68" t="str" cm="1">
        <f t="array" ref="Z478">CalculerNouvelleDate(J478,Y478)</f>
        <v/>
      </c>
      <c r="AA478" s="68" t="str" cm="1">
        <f t="array" ref="AA478">CalculerNouvelleDate(K478,Z478)</f>
        <v/>
      </c>
      <c r="AB478" s="68" t="str" cm="1">
        <f t="array" ref="AB478">CalculerNouvelleDate(L478,AA478)</f>
        <v/>
      </c>
      <c r="AC478" s="68" t="str" cm="1">
        <f t="array" ref="AC478">CalculerNouvelleDate(M478,AB478)</f>
        <v/>
      </c>
      <c r="AD478" s="68" t="str" cm="1">
        <f t="array" ref="AD478">CalculerNouvelleDate(N478,AC478)</f>
        <v/>
      </c>
      <c r="AE478" s="68" t="str" cm="1">
        <f t="array" ref="AE478">CalculerNouvelleDate(O478,AD478)</f>
        <v/>
      </c>
      <c r="AF478" s="68" t="str" cm="1">
        <f t="array" ref="AF478">CalculerNouvelleDate(P478,AE478)</f>
        <v/>
      </c>
      <c r="AG478" s="68" t="str" cm="1">
        <f t="array" ref="AG478">CalculerNouvelleDate(Q478,AF478)</f>
        <v/>
      </c>
      <c r="AH478" s="68" t="str" cm="1">
        <f t="array" ref="AH478">CalculerNouvelleDate(R478,AG478)</f>
        <v/>
      </c>
      <c r="AI478" s="68" t="str" cm="1">
        <f t="array" ref="AI478">CalculerNouvelleDate(S478,AH478)</f>
        <v/>
      </c>
      <c r="AJ478" s="68" t="str" cm="1">
        <f t="array" ref="AJ478">CalculerNouvelleDate(T478,AI478)</f>
        <v/>
      </c>
      <c r="AK478" s="68" t="str" cm="1">
        <f t="array" ref="AK478">CalculerNouvelleDate(U478,AJ478)</f>
        <v/>
      </c>
      <c r="AL478" s="68" t="str" cm="1">
        <f t="array" ref="AL478">CalculerNouvelleDate(V478,AK478)</f>
        <v/>
      </c>
      <c r="AM478" s="83" t="str" cm="1">
        <f t="array" ref="AM478">CorrespondanceDAte(X478:AL478,D479)</f>
        <v>0</v>
      </c>
      <c r="AN478" s="1"/>
      <c r="AO478" s="1"/>
      <c r="AP478" s="1"/>
      <c r="AQ478" s="1"/>
      <c r="AR478" s="1"/>
      <c r="AS478" s="1"/>
      <c r="AT478" s="1"/>
      <c r="AU478" s="1"/>
      <c r="AV478" s="1"/>
      <c r="AW478" s="1"/>
      <c r="AX478" s="1"/>
      <c r="AY478" s="1"/>
      <c r="AZ478" s="1"/>
      <c r="BA478" s="1"/>
    </row>
    <row r="479" spans="1:53" x14ac:dyDescent="0.3">
      <c r="A479" s="1"/>
      <c r="B479" s="11"/>
      <c r="C479" s="69" t="s">
        <v>539</v>
      </c>
      <c r="D479" s="1"/>
      <c r="E479" s="1"/>
      <c r="F479" s="1"/>
      <c r="G479" s="1"/>
      <c r="H479" s="43"/>
      <c r="I479" s="46"/>
      <c r="J479" s="46"/>
      <c r="K479" s="46"/>
      <c r="L479" s="46"/>
      <c r="M479" s="46"/>
      <c r="N479" s="46"/>
      <c r="O479" s="46"/>
      <c r="P479" s="46"/>
      <c r="Q479" s="46"/>
      <c r="R479" s="46"/>
      <c r="S479" s="46"/>
      <c r="T479" s="46"/>
      <c r="U479" s="46"/>
      <c r="V479" s="46"/>
      <c r="W479" s="62"/>
      <c r="X479" s="67"/>
      <c r="Y479" s="68" t="str" cm="1">
        <f t="array" ref="Y479">CalculerNouvelleDate(I479,X479)</f>
        <v/>
      </c>
      <c r="Z479" s="68" t="str" cm="1">
        <f t="array" ref="Z479">CalculerNouvelleDate(J479,Y479)</f>
        <v/>
      </c>
      <c r="AA479" s="68" t="str" cm="1">
        <f t="array" ref="AA479">CalculerNouvelleDate(K479,Z479)</f>
        <v/>
      </c>
      <c r="AB479" s="68" t="str" cm="1">
        <f t="array" ref="AB479">CalculerNouvelleDate(L479,AA479)</f>
        <v/>
      </c>
      <c r="AC479" s="68" t="str" cm="1">
        <f t="array" ref="AC479">CalculerNouvelleDate(M479,AB479)</f>
        <v/>
      </c>
      <c r="AD479" s="68" t="str" cm="1">
        <f t="array" ref="AD479">CalculerNouvelleDate(N479,AC479)</f>
        <v/>
      </c>
      <c r="AE479" s="68" t="str" cm="1">
        <f t="array" ref="AE479">CalculerNouvelleDate(O479,AD479)</f>
        <v/>
      </c>
      <c r="AF479" s="68" t="str" cm="1">
        <f t="array" ref="AF479">CalculerNouvelleDate(P479,AE479)</f>
        <v/>
      </c>
      <c r="AG479" s="68" t="str" cm="1">
        <f t="array" ref="AG479">CalculerNouvelleDate(Q479,AF479)</f>
        <v/>
      </c>
      <c r="AH479" s="68" t="str" cm="1">
        <f t="array" ref="AH479">CalculerNouvelleDate(R479,AG479)</f>
        <v/>
      </c>
      <c r="AI479" s="68" t="str" cm="1">
        <f t="array" ref="AI479">CalculerNouvelleDate(S479,AH479)</f>
        <v/>
      </c>
      <c r="AJ479" s="68" t="str" cm="1">
        <f t="array" ref="AJ479">CalculerNouvelleDate(T479,AI479)</f>
        <v/>
      </c>
      <c r="AK479" s="68" t="str" cm="1">
        <f t="array" ref="AK479">CalculerNouvelleDate(U479,AJ479)</f>
        <v/>
      </c>
      <c r="AL479" s="68" t="str" cm="1">
        <f t="array" ref="AL479">CalculerNouvelleDate(V479,AK479)</f>
        <v/>
      </c>
      <c r="AM479" s="83" t="str" cm="1">
        <f t="array" ref="AM479">CorrespondanceDAte(X479:AL479,D480)</f>
        <v>0</v>
      </c>
      <c r="AN479" s="1"/>
      <c r="AO479" s="1"/>
      <c r="AP479" s="1"/>
      <c r="AQ479" s="1"/>
      <c r="AR479" s="1"/>
      <c r="AS479" s="1"/>
      <c r="AT479" s="1"/>
      <c r="AU479" s="1"/>
      <c r="AV479" s="1"/>
      <c r="AW479" s="1"/>
      <c r="AX479" s="1"/>
      <c r="AY479" s="1"/>
      <c r="AZ479" s="1"/>
      <c r="BA479" s="1"/>
    </row>
    <row r="480" spans="1:53" x14ac:dyDescent="0.3">
      <c r="A480" s="1"/>
      <c r="B480" s="11"/>
      <c r="C480" s="69" t="s">
        <v>540</v>
      </c>
      <c r="D480" s="1"/>
      <c r="E480" s="1"/>
      <c r="F480" s="1"/>
      <c r="G480" s="1"/>
      <c r="H480" s="43"/>
      <c r="I480" s="46"/>
      <c r="J480" s="46"/>
      <c r="K480" s="46"/>
      <c r="L480" s="46"/>
      <c r="M480" s="46"/>
      <c r="N480" s="46"/>
      <c r="O480" s="46"/>
      <c r="P480" s="46"/>
      <c r="Q480" s="46"/>
      <c r="R480" s="46"/>
      <c r="S480" s="46"/>
      <c r="T480" s="46"/>
      <c r="U480" s="46"/>
      <c r="V480" s="46"/>
      <c r="W480" s="62"/>
      <c r="X480" s="67"/>
      <c r="Y480" s="68" t="str" cm="1">
        <f t="array" ref="Y480">CalculerNouvelleDate(I480,X480)</f>
        <v/>
      </c>
      <c r="Z480" s="68" t="str" cm="1">
        <f t="array" ref="Z480">CalculerNouvelleDate(J480,Y480)</f>
        <v/>
      </c>
      <c r="AA480" s="68" t="str" cm="1">
        <f t="array" ref="AA480">CalculerNouvelleDate(K480,Z480)</f>
        <v/>
      </c>
      <c r="AB480" s="68" t="str" cm="1">
        <f t="array" ref="AB480">CalculerNouvelleDate(L480,AA480)</f>
        <v/>
      </c>
      <c r="AC480" s="68" t="str" cm="1">
        <f t="array" ref="AC480">CalculerNouvelleDate(M480,AB480)</f>
        <v/>
      </c>
      <c r="AD480" s="68" t="str" cm="1">
        <f t="array" ref="AD480">CalculerNouvelleDate(N480,AC480)</f>
        <v/>
      </c>
      <c r="AE480" s="68" t="str" cm="1">
        <f t="array" ref="AE480">CalculerNouvelleDate(O480,AD480)</f>
        <v/>
      </c>
      <c r="AF480" s="68" t="str" cm="1">
        <f t="array" ref="AF480">CalculerNouvelleDate(P480,AE480)</f>
        <v/>
      </c>
      <c r="AG480" s="68" t="str" cm="1">
        <f t="array" ref="AG480">CalculerNouvelleDate(Q480,AF480)</f>
        <v/>
      </c>
      <c r="AH480" s="68" t="str" cm="1">
        <f t="array" ref="AH480">CalculerNouvelleDate(R480,AG480)</f>
        <v/>
      </c>
      <c r="AI480" s="68" t="str" cm="1">
        <f t="array" ref="AI480">CalculerNouvelleDate(S480,AH480)</f>
        <v/>
      </c>
      <c r="AJ480" s="68" t="str" cm="1">
        <f t="array" ref="AJ480">CalculerNouvelleDate(T480,AI480)</f>
        <v/>
      </c>
      <c r="AK480" s="68" t="str" cm="1">
        <f t="array" ref="AK480">CalculerNouvelleDate(U480,AJ480)</f>
        <v/>
      </c>
      <c r="AL480" s="68" t="str" cm="1">
        <f t="array" ref="AL480">CalculerNouvelleDate(V480,AK480)</f>
        <v/>
      </c>
      <c r="AM480" s="83" t="str" cm="1">
        <f t="array" ref="AM480">CorrespondanceDAte(X480:AL480,D481)</f>
        <v>0</v>
      </c>
      <c r="AN480" s="1"/>
      <c r="AO480" s="1"/>
      <c r="AP480" s="1"/>
      <c r="AQ480" s="1"/>
      <c r="AR480" s="1"/>
      <c r="AS480" s="1"/>
      <c r="AT480" s="1"/>
      <c r="AU480" s="1"/>
      <c r="AV480" s="1"/>
      <c r="AW480" s="1"/>
      <c r="AX480" s="1"/>
      <c r="AY480" s="1"/>
      <c r="AZ480" s="1"/>
      <c r="BA480" s="1"/>
    </row>
    <row r="481" spans="1:53" x14ac:dyDescent="0.3">
      <c r="A481" s="1"/>
      <c r="B481" s="11"/>
      <c r="C481" s="69" t="s">
        <v>637</v>
      </c>
      <c r="D481" s="1"/>
      <c r="E481" s="1"/>
      <c r="F481" s="1"/>
      <c r="G481" s="1"/>
      <c r="H481" s="43"/>
      <c r="I481" s="46"/>
      <c r="J481" s="46"/>
      <c r="K481" s="46"/>
      <c r="L481" s="46"/>
      <c r="M481" s="46"/>
      <c r="N481" s="46"/>
      <c r="O481" s="46"/>
      <c r="P481" s="46"/>
      <c r="Q481" s="46"/>
      <c r="R481" s="46"/>
      <c r="S481" s="46"/>
      <c r="T481" s="46"/>
      <c r="U481" s="46"/>
      <c r="V481" s="46"/>
      <c r="W481" s="62"/>
      <c r="X481" s="67"/>
      <c r="Y481" s="68" t="str" cm="1">
        <f t="array" ref="Y481">CalculerNouvelleDate(I481,X481)</f>
        <v/>
      </c>
      <c r="Z481" s="68" t="str" cm="1">
        <f t="array" ref="Z481">CalculerNouvelleDate(J481,Y481)</f>
        <v/>
      </c>
      <c r="AA481" s="68" t="str" cm="1">
        <f t="array" ref="AA481">CalculerNouvelleDate(K481,Z481)</f>
        <v/>
      </c>
      <c r="AB481" s="68" t="str" cm="1">
        <f t="array" ref="AB481">CalculerNouvelleDate(L481,AA481)</f>
        <v/>
      </c>
      <c r="AC481" s="68" t="str" cm="1">
        <f t="array" ref="AC481">CalculerNouvelleDate(M481,AB481)</f>
        <v/>
      </c>
      <c r="AD481" s="68" t="str" cm="1">
        <f t="array" ref="AD481">CalculerNouvelleDate(N481,AC481)</f>
        <v/>
      </c>
      <c r="AE481" s="68" t="str" cm="1">
        <f t="array" ref="AE481">CalculerNouvelleDate(O481,AD481)</f>
        <v/>
      </c>
      <c r="AF481" s="68" t="str" cm="1">
        <f t="array" ref="AF481">CalculerNouvelleDate(P481,AE481)</f>
        <v/>
      </c>
      <c r="AG481" s="68" t="str" cm="1">
        <f t="array" ref="AG481">CalculerNouvelleDate(Q481,AF481)</f>
        <v/>
      </c>
      <c r="AH481" s="68" t="str" cm="1">
        <f t="array" ref="AH481">CalculerNouvelleDate(R481,AG481)</f>
        <v/>
      </c>
      <c r="AI481" s="68" t="str" cm="1">
        <f t="array" ref="AI481">CalculerNouvelleDate(S481,AH481)</f>
        <v/>
      </c>
      <c r="AJ481" s="68" t="str" cm="1">
        <f t="array" ref="AJ481">CalculerNouvelleDate(T481,AI481)</f>
        <v/>
      </c>
      <c r="AK481" s="68" t="str" cm="1">
        <f t="array" ref="AK481">CalculerNouvelleDate(U481,AJ481)</f>
        <v/>
      </c>
      <c r="AL481" s="68" t="str" cm="1">
        <f t="array" ref="AL481">CalculerNouvelleDate(V481,AK481)</f>
        <v/>
      </c>
      <c r="AM481" s="83" t="str" cm="1">
        <f t="array" ref="AM481">CorrespondanceDAte(X481:AL481,D482)</f>
        <v>0</v>
      </c>
      <c r="AN481" s="1"/>
      <c r="AO481" s="1"/>
      <c r="AP481" s="1"/>
      <c r="AQ481" s="1"/>
      <c r="AR481" s="1"/>
      <c r="AS481" s="1"/>
      <c r="AT481" s="1"/>
      <c r="AU481" s="1"/>
      <c r="AV481" s="1"/>
      <c r="AW481" s="1"/>
      <c r="AX481" s="1"/>
      <c r="AY481" s="1"/>
      <c r="AZ481" s="1"/>
      <c r="BA481" s="1"/>
    </row>
    <row r="482" spans="1:53" x14ac:dyDescent="0.3">
      <c r="A482" s="1"/>
      <c r="B482" s="11"/>
      <c r="C482" s="69" t="s">
        <v>638</v>
      </c>
      <c r="D482" s="1"/>
      <c r="E482" s="1"/>
      <c r="F482" s="1"/>
      <c r="G482" s="1"/>
      <c r="H482" s="43"/>
      <c r="I482" s="46"/>
      <c r="J482" s="46"/>
      <c r="K482" s="46"/>
      <c r="L482" s="46"/>
      <c r="M482" s="46"/>
      <c r="N482" s="46"/>
      <c r="O482" s="46"/>
      <c r="P482" s="46"/>
      <c r="Q482" s="46"/>
      <c r="R482" s="46"/>
      <c r="S482" s="46"/>
      <c r="T482" s="46"/>
      <c r="U482" s="46"/>
      <c r="V482" s="46"/>
      <c r="W482" s="62"/>
      <c r="X482" s="67"/>
      <c r="Y482" s="68" t="str" cm="1">
        <f t="array" ref="Y482">CalculerNouvelleDate(I482,X482)</f>
        <v/>
      </c>
      <c r="Z482" s="68" t="str" cm="1">
        <f t="array" ref="Z482">CalculerNouvelleDate(J482,Y482)</f>
        <v/>
      </c>
      <c r="AA482" s="68" t="str" cm="1">
        <f t="array" ref="AA482">CalculerNouvelleDate(K482,Z482)</f>
        <v/>
      </c>
      <c r="AB482" s="68" t="str" cm="1">
        <f t="array" ref="AB482">CalculerNouvelleDate(L482,AA482)</f>
        <v/>
      </c>
      <c r="AC482" s="68" t="str" cm="1">
        <f t="array" ref="AC482">CalculerNouvelleDate(M482,AB482)</f>
        <v/>
      </c>
      <c r="AD482" s="68" t="str" cm="1">
        <f t="array" ref="AD482">CalculerNouvelleDate(N482,AC482)</f>
        <v/>
      </c>
      <c r="AE482" s="68" t="str" cm="1">
        <f t="array" ref="AE482">CalculerNouvelleDate(O482,AD482)</f>
        <v/>
      </c>
      <c r="AF482" s="68" t="str" cm="1">
        <f t="array" ref="AF482">CalculerNouvelleDate(P482,AE482)</f>
        <v/>
      </c>
      <c r="AG482" s="68" t="str" cm="1">
        <f t="array" ref="AG482">CalculerNouvelleDate(Q482,AF482)</f>
        <v/>
      </c>
      <c r="AH482" s="68" t="str" cm="1">
        <f t="array" ref="AH482">CalculerNouvelleDate(R482,AG482)</f>
        <v/>
      </c>
      <c r="AI482" s="68" t="str" cm="1">
        <f t="array" ref="AI482">CalculerNouvelleDate(S482,AH482)</f>
        <v/>
      </c>
      <c r="AJ482" s="68" t="str" cm="1">
        <f t="array" ref="AJ482">CalculerNouvelleDate(T482,AI482)</f>
        <v/>
      </c>
      <c r="AK482" s="68" t="str" cm="1">
        <f t="array" ref="AK482">CalculerNouvelleDate(U482,AJ482)</f>
        <v/>
      </c>
      <c r="AL482" s="68" t="str" cm="1">
        <f t="array" ref="AL482">CalculerNouvelleDate(V482,AK482)</f>
        <v/>
      </c>
      <c r="AM482" s="83" t="str" cm="1">
        <f t="array" ref="AM482">CorrespondanceDAte(X482:AL482,D483)</f>
        <v>0</v>
      </c>
      <c r="AN482" s="1"/>
      <c r="AO482" s="1"/>
      <c r="AP482" s="1"/>
      <c r="AQ482" s="1"/>
      <c r="AR482" s="1"/>
      <c r="AS482" s="1"/>
      <c r="AT482" s="1"/>
      <c r="AU482" s="1"/>
      <c r="AV482" s="1"/>
      <c r="AW482" s="1"/>
      <c r="AX482" s="1"/>
      <c r="AY482" s="1"/>
      <c r="AZ482" s="1"/>
      <c r="BA482" s="1"/>
    </row>
    <row r="483" spans="1:53" x14ac:dyDescent="0.3">
      <c r="A483" s="1"/>
      <c r="B483" s="11"/>
      <c r="C483" s="69" t="s">
        <v>639</v>
      </c>
      <c r="D483" s="1"/>
      <c r="E483" s="1"/>
      <c r="F483" s="1"/>
      <c r="G483" s="1"/>
      <c r="H483" s="43"/>
      <c r="I483" s="46"/>
      <c r="J483" s="46"/>
      <c r="K483" s="46"/>
      <c r="L483" s="46"/>
      <c r="M483" s="46"/>
      <c r="N483" s="46"/>
      <c r="O483" s="46"/>
      <c r="P483" s="46"/>
      <c r="Q483" s="46"/>
      <c r="R483" s="46"/>
      <c r="S483" s="46"/>
      <c r="T483" s="46"/>
      <c r="U483" s="46"/>
      <c r="V483" s="46"/>
      <c r="W483" s="62"/>
      <c r="X483" s="67"/>
      <c r="Y483" s="68" t="str" cm="1">
        <f t="array" ref="Y483">CalculerNouvelleDate(I483,X483)</f>
        <v/>
      </c>
      <c r="Z483" s="68" t="str" cm="1">
        <f t="array" ref="Z483">CalculerNouvelleDate(J483,Y483)</f>
        <v/>
      </c>
      <c r="AA483" s="68" t="str" cm="1">
        <f t="array" ref="AA483">CalculerNouvelleDate(K483,Z483)</f>
        <v/>
      </c>
      <c r="AB483" s="68" t="str" cm="1">
        <f t="array" ref="AB483">CalculerNouvelleDate(L483,AA483)</f>
        <v/>
      </c>
      <c r="AC483" s="68" t="str" cm="1">
        <f t="array" ref="AC483">CalculerNouvelleDate(M483,AB483)</f>
        <v/>
      </c>
      <c r="AD483" s="68" t="str" cm="1">
        <f t="array" ref="AD483">CalculerNouvelleDate(N483,AC483)</f>
        <v/>
      </c>
      <c r="AE483" s="68" t="str" cm="1">
        <f t="array" ref="AE483">CalculerNouvelleDate(O483,AD483)</f>
        <v/>
      </c>
      <c r="AF483" s="68" t="str" cm="1">
        <f t="array" ref="AF483">CalculerNouvelleDate(P483,AE483)</f>
        <v/>
      </c>
      <c r="AG483" s="68" t="str" cm="1">
        <f t="array" ref="AG483">CalculerNouvelleDate(Q483,AF483)</f>
        <v/>
      </c>
      <c r="AH483" s="68" t="str" cm="1">
        <f t="array" ref="AH483">CalculerNouvelleDate(R483,AG483)</f>
        <v/>
      </c>
      <c r="AI483" s="68" t="str" cm="1">
        <f t="array" ref="AI483">CalculerNouvelleDate(S483,AH483)</f>
        <v/>
      </c>
      <c r="AJ483" s="68" t="str" cm="1">
        <f t="array" ref="AJ483">CalculerNouvelleDate(T483,AI483)</f>
        <v/>
      </c>
      <c r="AK483" s="68" t="str" cm="1">
        <f t="array" ref="AK483">CalculerNouvelleDate(U483,AJ483)</f>
        <v/>
      </c>
      <c r="AL483" s="68" t="str" cm="1">
        <f t="array" ref="AL483">CalculerNouvelleDate(V483,AK483)</f>
        <v/>
      </c>
      <c r="AM483" s="83" t="str" cm="1">
        <f t="array" ref="AM483">CorrespondanceDAte(X483:AL483,D484)</f>
        <v>0</v>
      </c>
      <c r="AN483" s="1"/>
      <c r="AO483" s="1"/>
      <c r="AP483" s="1"/>
      <c r="AQ483" s="1"/>
      <c r="AR483" s="1"/>
      <c r="AS483" s="1"/>
      <c r="AT483" s="1"/>
      <c r="AU483" s="1"/>
      <c r="AV483" s="1"/>
      <c r="AW483" s="1"/>
      <c r="AX483" s="1"/>
      <c r="AY483" s="1"/>
      <c r="AZ483" s="1"/>
      <c r="BA483" s="1"/>
    </row>
    <row r="484" spans="1:53" x14ac:dyDescent="0.3">
      <c r="A484" s="1"/>
      <c r="B484" s="11">
        <v>2</v>
      </c>
      <c r="C484" s="1" t="s">
        <v>111</v>
      </c>
      <c r="D484" s="1"/>
      <c r="E484" s="1"/>
      <c r="F484" s="1"/>
      <c r="G484" s="1"/>
      <c r="H484" s="43"/>
      <c r="I484" s="1"/>
      <c r="J484" s="1"/>
      <c r="K484" s="1"/>
      <c r="L484" s="1"/>
      <c r="M484" s="1"/>
      <c r="N484" s="1"/>
      <c r="O484" s="1"/>
      <c r="P484" s="1"/>
      <c r="Q484" s="1"/>
      <c r="R484" s="1"/>
      <c r="S484" s="1"/>
      <c r="T484" s="1"/>
      <c r="U484" s="1"/>
      <c r="V484" s="1"/>
      <c r="W484" s="11"/>
      <c r="X484" s="67"/>
      <c r="Y484" s="68" t="str" cm="1">
        <f t="array" ref="Y484">CalculerNouvelleDate(I484,X484)</f>
        <v/>
      </c>
      <c r="Z484" s="68" t="str" cm="1">
        <f t="array" ref="Z484">CalculerNouvelleDate(J484,Y484)</f>
        <v/>
      </c>
      <c r="AA484" s="68" t="str" cm="1">
        <f t="array" ref="AA484">CalculerNouvelleDate(K484,Z484)</f>
        <v/>
      </c>
      <c r="AB484" s="68" t="str" cm="1">
        <f t="array" ref="AB484">CalculerNouvelleDate(L484,AA484)</f>
        <v/>
      </c>
      <c r="AC484" s="68" t="str" cm="1">
        <f t="array" ref="AC484">CalculerNouvelleDate(M484,AB484)</f>
        <v/>
      </c>
      <c r="AD484" s="68" t="str" cm="1">
        <f t="array" ref="AD484">CalculerNouvelleDate(N484,AC484)</f>
        <v/>
      </c>
      <c r="AE484" s="68" t="str" cm="1">
        <f t="array" ref="AE484">CalculerNouvelleDate(O484,AD484)</f>
        <v/>
      </c>
      <c r="AF484" s="68" t="str" cm="1">
        <f t="array" ref="AF484">CalculerNouvelleDate(P484,AE484)</f>
        <v/>
      </c>
      <c r="AG484" s="68" t="str" cm="1">
        <f t="array" ref="AG484">CalculerNouvelleDate(Q484,AF484)</f>
        <v/>
      </c>
      <c r="AH484" s="68" t="str" cm="1">
        <f t="array" ref="AH484">CalculerNouvelleDate(R484,AG484)</f>
        <v/>
      </c>
      <c r="AI484" s="68" t="str" cm="1">
        <f t="array" ref="AI484">CalculerNouvelleDate(S484,AH484)</f>
        <v/>
      </c>
      <c r="AJ484" s="68" t="str" cm="1">
        <f t="array" ref="AJ484">CalculerNouvelleDate(T484,AI484)</f>
        <v/>
      </c>
      <c r="AK484" s="68" t="str" cm="1">
        <f t="array" ref="AK484">CalculerNouvelleDate(U484,AJ484)</f>
        <v/>
      </c>
      <c r="AL484" s="68" t="str" cm="1">
        <f t="array" ref="AL484">CalculerNouvelleDate(V484,AK484)</f>
        <v/>
      </c>
      <c r="AM484" s="83" t="str" cm="1">
        <f t="array" ref="AM484">CorrespondanceDAte(X484:AL484,D485)</f>
        <v>0</v>
      </c>
      <c r="AN484" s="1"/>
      <c r="AO484" s="1"/>
      <c r="AP484" s="1"/>
      <c r="AQ484" s="1"/>
      <c r="AR484" s="1"/>
      <c r="AS484" s="1"/>
      <c r="AT484" s="1"/>
      <c r="AU484" s="1"/>
      <c r="AV484" s="1"/>
      <c r="AW484" s="1"/>
      <c r="AX484" s="1"/>
      <c r="AY484" s="1"/>
      <c r="AZ484" s="1"/>
      <c r="BA484" s="1"/>
    </row>
    <row r="485" spans="1:53" x14ac:dyDescent="0.3">
      <c r="A485" s="1"/>
      <c r="B485" s="11"/>
      <c r="C485" s="69" t="s">
        <v>533</v>
      </c>
      <c r="D485" s="1"/>
      <c r="E485" s="1"/>
      <c r="F485" s="1"/>
      <c r="G485" s="1"/>
      <c r="H485" s="43"/>
      <c r="I485" s="46"/>
      <c r="J485" s="46"/>
      <c r="K485" s="46"/>
      <c r="L485" s="46"/>
      <c r="M485" s="46"/>
      <c r="N485" s="46"/>
      <c r="O485" s="46"/>
      <c r="P485" s="46"/>
      <c r="Q485" s="46"/>
      <c r="R485" s="46"/>
      <c r="S485" s="46"/>
      <c r="T485" s="46"/>
      <c r="U485" s="46"/>
      <c r="V485" s="46"/>
      <c r="W485" s="62"/>
      <c r="X485" s="67"/>
      <c r="Y485" s="68" t="str" cm="1">
        <f t="array" ref="Y485">CalculerNouvelleDate(I485,X485)</f>
        <v/>
      </c>
      <c r="Z485" s="68" t="str" cm="1">
        <f t="array" ref="Z485">CalculerNouvelleDate(J485,Y485)</f>
        <v/>
      </c>
      <c r="AA485" s="68" t="str" cm="1">
        <f t="array" ref="AA485">CalculerNouvelleDate(K485,Z485)</f>
        <v/>
      </c>
      <c r="AB485" s="68" t="str" cm="1">
        <f t="array" ref="AB485">CalculerNouvelleDate(L485,AA485)</f>
        <v/>
      </c>
      <c r="AC485" s="68" t="str" cm="1">
        <f t="array" ref="AC485">CalculerNouvelleDate(M485,AB485)</f>
        <v/>
      </c>
      <c r="AD485" s="68" t="str" cm="1">
        <f t="array" ref="AD485">CalculerNouvelleDate(N485,AC485)</f>
        <v/>
      </c>
      <c r="AE485" s="68" t="str" cm="1">
        <f t="array" ref="AE485">CalculerNouvelleDate(O485,AD485)</f>
        <v/>
      </c>
      <c r="AF485" s="68" t="str" cm="1">
        <f t="array" ref="AF485">CalculerNouvelleDate(P485,AE485)</f>
        <v/>
      </c>
      <c r="AG485" s="68" t="str" cm="1">
        <f t="array" ref="AG485">CalculerNouvelleDate(Q485,AF485)</f>
        <v/>
      </c>
      <c r="AH485" s="68" t="str" cm="1">
        <f t="array" ref="AH485">CalculerNouvelleDate(R485,AG485)</f>
        <v/>
      </c>
      <c r="AI485" s="68" t="str" cm="1">
        <f t="array" ref="AI485">CalculerNouvelleDate(S485,AH485)</f>
        <v/>
      </c>
      <c r="AJ485" s="68" t="str" cm="1">
        <f t="array" ref="AJ485">CalculerNouvelleDate(T485,AI485)</f>
        <v/>
      </c>
      <c r="AK485" s="68" t="str" cm="1">
        <f t="array" ref="AK485">CalculerNouvelleDate(U485,AJ485)</f>
        <v/>
      </c>
      <c r="AL485" s="68" t="str" cm="1">
        <f t="array" ref="AL485">CalculerNouvelleDate(V485,AK485)</f>
        <v/>
      </c>
      <c r="AM485" s="83" t="str" cm="1">
        <f t="array" ref="AM485">CorrespondanceDAte(X485:AL485,D486)</f>
        <v>0</v>
      </c>
      <c r="AN485" s="1"/>
      <c r="AO485" s="1"/>
      <c r="AP485" s="1"/>
      <c r="AQ485" s="1"/>
      <c r="AR485" s="1"/>
      <c r="AS485" s="1"/>
      <c r="AT485" s="1"/>
      <c r="AU485" s="1"/>
      <c r="AV485" s="1"/>
      <c r="AW485" s="1"/>
      <c r="AX485" s="1"/>
      <c r="AY485" s="1"/>
      <c r="AZ485" s="1"/>
      <c r="BA485" s="1"/>
    </row>
    <row r="486" spans="1:53" x14ac:dyDescent="0.3">
      <c r="A486" s="1"/>
      <c r="B486" s="11"/>
      <c r="C486" s="69" t="s">
        <v>535</v>
      </c>
      <c r="D486" s="1"/>
      <c r="E486" s="1"/>
      <c r="F486" s="1"/>
      <c r="G486" s="1"/>
      <c r="H486" s="43"/>
      <c r="I486" s="46"/>
      <c r="J486" s="46"/>
      <c r="K486" s="46"/>
      <c r="L486" s="46"/>
      <c r="M486" s="46"/>
      <c r="N486" s="46"/>
      <c r="O486" s="46"/>
      <c r="P486" s="46"/>
      <c r="Q486" s="46"/>
      <c r="R486" s="46"/>
      <c r="S486" s="46"/>
      <c r="T486" s="46"/>
      <c r="U486" s="46"/>
      <c r="V486" s="46"/>
      <c r="W486" s="62"/>
      <c r="X486" s="67"/>
      <c r="Y486" s="68" t="str" cm="1">
        <f t="array" ref="Y486">CalculerNouvelleDate(I486,X486)</f>
        <v/>
      </c>
      <c r="Z486" s="68" t="str" cm="1">
        <f t="array" ref="Z486">CalculerNouvelleDate(J486,Y486)</f>
        <v/>
      </c>
      <c r="AA486" s="68" t="str" cm="1">
        <f t="array" ref="AA486">CalculerNouvelleDate(K486,Z486)</f>
        <v/>
      </c>
      <c r="AB486" s="68" t="str" cm="1">
        <f t="array" ref="AB486">CalculerNouvelleDate(L486,AA486)</f>
        <v/>
      </c>
      <c r="AC486" s="68" t="str" cm="1">
        <f t="array" ref="AC486">CalculerNouvelleDate(M486,AB486)</f>
        <v/>
      </c>
      <c r="AD486" s="68" t="str" cm="1">
        <f t="array" ref="AD486">CalculerNouvelleDate(N486,AC486)</f>
        <v/>
      </c>
      <c r="AE486" s="68" t="str" cm="1">
        <f t="array" ref="AE486">CalculerNouvelleDate(O486,AD486)</f>
        <v/>
      </c>
      <c r="AF486" s="68" t="str" cm="1">
        <f t="array" ref="AF486">CalculerNouvelleDate(P486,AE486)</f>
        <v/>
      </c>
      <c r="AG486" s="68" t="str" cm="1">
        <f t="array" ref="AG486">CalculerNouvelleDate(Q486,AF486)</f>
        <v/>
      </c>
      <c r="AH486" s="68" t="str" cm="1">
        <f t="array" ref="AH486">CalculerNouvelleDate(R486,AG486)</f>
        <v/>
      </c>
      <c r="AI486" s="68" t="str" cm="1">
        <f t="array" ref="AI486">CalculerNouvelleDate(S486,AH486)</f>
        <v/>
      </c>
      <c r="AJ486" s="68" t="str" cm="1">
        <f t="array" ref="AJ486">CalculerNouvelleDate(T486,AI486)</f>
        <v/>
      </c>
      <c r="AK486" s="68" t="str" cm="1">
        <f t="array" ref="AK486">CalculerNouvelleDate(U486,AJ486)</f>
        <v/>
      </c>
      <c r="AL486" s="68" t="str" cm="1">
        <f t="array" ref="AL486">CalculerNouvelleDate(V486,AK486)</f>
        <v/>
      </c>
      <c r="AM486" s="83" t="str" cm="1">
        <f t="array" ref="AM486">CorrespondanceDAte(X486:AL486,D487)</f>
        <v>0</v>
      </c>
      <c r="AN486" s="1"/>
      <c r="AO486" s="1"/>
      <c r="AP486" s="1"/>
      <c r="AQ486" s="1"/>
      <c r="AR486" s="1"/>
      <c r="AS486" s="1"/>
      <c r="AT486" s="1"/>
      <c r="AU486" s="1"/>
      <c r="AV486" s="1"/>
      <c r="AW486" s="1"/>
      <c r="AX486" s="1"/>
      <c r="AY486" s="1"/>
      <c r="AZ486" s="1"/>
      <c r="BA486" s="1"/>
    </row>
    <row r="487" spans="1:53" x14ac:dyDescent="0.3">
      <c r="A487" s="1"/>
      <c r="B487" s="11"/>
      <c r="C487" s="69" t="s">
        <v>545</v>
      </c>
      <c r="D487" s="1"/>
      <c r="E487" s="1"/>
      <c r="F487" s="1"/>
      <c r="G487" s="1"/>
      <c r="H487" s="43"/>
      <c r="I487" s="46"/>
      <c r="J487" s="46"/>
      <c r="K487" s="46"/>
      <c r="L487" s="46"/>
      <c r="M487" s="46"/>
      <c r="N487" s="46"/>
      <c r="O487" s="46"/>
      <c r="P487" s="46"/>
      <c r="Q487" s="46"/>
      <c r="R487" s="46"/>
      <c r="S487" s="46"/>
      <c r="T487" s="46"/>
      <c r="U487" s="46"/>
      <c r="V487" s="46"/>
      <c r="W487" s="62"/>
      <c r="X487" s="67"/>
      <c r="Y487" s="68" t="str" cm="1">
        <f t="array" ref="Y487">CalculerNouvelleDate(I487,X487)</f>
        <v/>
      </c>
      <c r="Z487" s="68" t="str" cm="1">
        <f t="array" ref="Z487">CalculerNouvelleDate(J487,Y487)</f>
        <v/>
      </c>
      <c r="AA487" s="68" t="str" cm="1">
        <f t="array" ref="AA487">CalculerNouvelleDate(K487,Z487)</f>
        <v/>
      </c>
      <c r="AB487" s="68" t="str" cm="1">
        <f t="array" ref="AB487">CalculerNouvelleDate(L487,AA487)</f>
        <v/>
      </c>
      <c r="AC487" s="68" t="str" cm="1">
        <f t="array" ref="AC487">CalculerNouvelleDate(M487,AB487)</f>
        <v/>
      </c>
      <c r="AD487" s="68" t="str" cm="1">
        <f t="array" ref="AD487">CalculerNouvelleDate(N487,AC487)</f>
        <v/>
      </c>
      <c r="AE487" s="68" t="str" cm="1">
        <f t="array" ref="AE487">CalculerNouvelleDate(O487,AD487)</f>
        <v/>
      </c>
      <c r="AF487" s="68" t="str" cm="1">
        <f t="array" ref="AF487">CalculerNouvelleDate(P487,AE487)</f>
        <v/>
      </c>
      <c r="AG487" s="68" t="str" cm="1">
        <f t="array" ref="AG487">CalculerNouvelleDate(Q487,AF487)</f>
        <v/>
      </c>
      <c r="AH487" s="68" t="str" cm="1">
        <f t="array" ref="AH487">CalculerNouvelleDate(R487,AG487)</f>
        <v/>
      </c>
      <c r="AI487" s="68" t="str" cm="1">
        <f t="array" ref="AI487">CalculerNouvelleDate(S487,AH487)</f>
        <v/>
      </c>
      <c r="AJ487" s="68" t="str" cm="1">
        <f t="array" ref="AJ487">CalculerNouvelleDate(T487,AI487)</f>
        <v/>
      </c>
      <c r="AK487" s="68" t="str" cm="1">
        <f t="array" ref="AK487">CalculerNouvelleDate(U487,AJ487)</f>
        <v/>
      </c>
      <c r="AL487" s="68" t="str" cm="1">
        <f t="array" ref="AL487">CalculerNouvelleDate(V487,AK487)</f>
        <v/>
      </c>
      <c r="AM487" s="83" t="str" cm="1">
        <f t="array" ref="AM487">CorrespondanceDAte(X487:AL487,D488)</f>
        <v>0</v>
      </c>
      <c r="AN487" s="1"/>
      <c r="AO487" s="1"/>
      <c r="AP487" s="1"/>
      <c r="AQ487" s="1"/>
      <c r="AR487" s="1"/>
      <c r="AS487" s="1"/>
      <c r="AT487" s="1"/>
      <c r="AU487" s="1"/>
      <c r="AV487" s="1"/>
      <c r="AW487" s="1"/>
      <c r="AX487" s="1"/>
      <c r="AY487" s="1"/>
      <c r="AZ487" s="1"/>
      <c r="BA487" s="1"/>
    </row>
    <row r="488" spans="1:53" x14ac:dyDescent="0.3">
      <c r="A488" s="1"/>
      <c r="B488" s="11"/>
      <c r="C488" s="69" t="s">
        <v>653</v>
      </c>
      <c r="D488" s="1"/>
      <c r="E488" s="1"/>
      <c r="F488" s="1"/>
      <c r="G488" s="1"/>
      <c r="H488" s="43"/>
      <c r="I488" s="46"/>
      <c r="J488" s="46"/>
      <c r="K488" s="46"/>
      <c r="L488" s="46"/>
      <c r="M488" s="46"/>
      <c r="N488" s="46"/>
      <c r="O488" s="46"/>
      <c r="P488" s="46"/>
      <c r="Q488" s="46"/>
      <c r="R488" s="46"/>
      <c r="S488" s="46"/>
      <c r="T488" s="46"/>
      <c r="U488" s="46"/>
      <c r="V488" s="46"/>
      <c r="W488" s="62"/>
      <c r="X488" s="67"/>
      <c r="Y488" s="68" t="str" cm="1">
        <f t="array" ref="Y488">CalculerNouvelleDate(I488,X488)</f>
        <v/>
      </c>
      <c r="Z488" s="68" t="str" cm="1">
        <f t="array" ref="Z488">CalculerNouvelleDate(J488,Y488)</f>
        <v/>
      </c>
      <c r="AA488" s="68" t="str" cm="1">
        <f t="array" ref="AA488">CalculerNouvelleDate(K488,Z488)</f>
        <v/>
      </c>
      <c r="AB488" s="68" t="str" cm="1">
        <f t="array" ref="AB488">CalculerNouvelleDate(L488,AA488)</f>
        <v/>
      </c>
      <c r="AC488" s="68" t="str" cm="1">
        <f t="array" ref="AC488">CalculerNouvelleDate(M488,AB488)</f>
        <v/>
      </c>
      <c r="AD488" s="68" t="str" cm="1">
        <f t="array" ref="AD488">CalculerNouvelleDate(N488,AC488)</f>
        <v/>
      </c>
      <c r="AE488" s="68" t="str" cm="1">
        <f t="array" ref="AE488">CalculerNouvelleDate(O488,AD488)</f>
        <v/>
      </c>
      <c r="AF488" s="68" t="str" cm="1">
        <f t="array" ref="AF488">CalculerNouvelleDate(P488,AE488)</f>
        <v/>
      </c>
      <c r="AG488" s="68" t="str" cm="1">
        <f t="array" ref="AG488">CalculerNouvelleDate(Q488,AF488)</f>
        <v/>
      </c>
      <c r="AH488" s="68" t="str" cm="1">
        <f t="array" ref="AH488">CalculerNouvelleDate(R488,AG488)</f>
        <v/>
      </c>
      <c r="AI488" s="68" t="str" cm="1">
        <f t="array" ref="AI488">CalculerNouvelleDate(S488,AH488)</f>
        <v/>
      </c>
      <c r="AJ488" s="68" t="str" cm="1">
        <f t="array" ref="AJ488">CalculerNouvelleDate(T488,AI488)</f>
        <v/>
      </c>
      <c r="AK488" s="68" t="str" cm="1">
        <f t="array" ref="AK488">CalculerNouvelleDate(U488,AJ488)</f>
        <v/>
      </c>
      <c r="AL488" s="68" t="str" cm="1">
        <f t="array" ref="AL488">CalculerNouvelleDate(V488,AK488)</f>
        <v/>
      </c>
      <c r="AM488" s="83" t="str" cm="1">
        <f t="array" ref="AM488">CorrespondanceDAte(X488:AL488,D489)</f>
        <v>0</v>
      </c>
      <c r="AN488" s="1"/>
      <c r="AO488" s="1"/>
      <c r="AP488" s="1"/>
      <c r="AQ488" s="1"/>
      <c r="AR488" s="1"/>
      <c r="AS488" s="1"/>
      <c r="AT488" s="1"/>
      <c r="AU488" s="1"/>
      <c r="AV488" s="1"/>
      <c r="AW488" s="1"/>
      <c r="AX488" s="1"/>
      <c r="AY488" s="1"/>
      <c r="AZ488" s="1"/>
      <c r="BA488" s="1"/>
    </row>
    <row r="489" spans="1:53" x14ac:dyDescent="0.3">
      <c r="A489" s="1"/>
      <c r="B489" s="11"/>
      <c r="C489" s="69" t="s">
        <v>654</v>
      </c>
      <c r="D489" s="1"/>
      <c r="E489" s="1"/>
      <c r="F489" s="1"/>
      <c r="G489" s="1"/>
      <c r="H489" s="43"/>
      <c r="I489" s="46"/>
      <c r="J489" s="46"/>
      <c r="K489" s="46"/>
      <c r="L489" s="46"/>
      <c r="M489" s="46"/>
      <c r="N489" s="46"/>
      <c r="O489" s="46"/>
      <c r="P489" s="46"/>
      <c r="Q489" s="46"/>
      <c r="R489" s="46"/>
      <c r="S489" s="46"/>
      <c r="T489" s="46"/>
      <c r="U489" s="46"/>
      <c r="V489" s="46"/>
      <c r="W489" s="62"/>
      <c r="X489" s="67"/>
      <c r="Y489" s="68" t="str" cm="1">
        <f t="array" ref="Y489">CalculerNouvelleDate(I489,X489)</f>
        <v/>
      </c>
      <c r="Z489" s="68" t="str" cm="1">
        <f t="array" ref="Z489">CalculerNouvelleDate(J489,Y489)</f>
        <v/>
      </c>
      <c r="AA489" s="68" t="str" cm="1">
        <f t="array" ref="AA489">CalculerNouvelleDate(K489,Z489)</f>
        <v/>
      </c>
      <c r="AB489" s="68" t="str" cm="1">
        <f t="array" ref="AB489">CalculerNouvelleDate(L489,AA489)</f>
        <v/>
      </c>
      <c r="AC489" s="68" t="str" cm="1">
        <f t="array" ref="AC489">CalculerNouvelleDate(M489,AB489)</f>
        <v/>
      </c>
      <c r="AD489" s="68" t="str" cm="1">
        <f t="array" ref="AD489">CalculerNouvelleDate(N489,AC489)</f>
        <v/>
      </c>
      <c r="AE489" s="68" t="str" cm="1">
        <f t="array" ref="AE489">CalculerNouvelleDate(O489,AD489)</f>
        <v/>
      </c>
      <c r="AF489" s="68" t="str" cm="1">
        <f t="array" ref="AF489">CalculerNouvelleDate(P489,AE489)</f>
        <v/>
      </c>
      <c r="AG489" s="68" t="str" cm="1">
        <f t="array" ref="AG489">CalculerNouvelleDate(Q489,AF489)</f>
        <v/>
      </c>
      <c r="AH489" s="68" t="str" cm="1">
        <f t="array" ref="AH489">CalculerNouvelleDate(R489,AG489)</f>
        <v/>
      </c>
      <c r="AI489" s="68" t="str" cm="1">
        <f t="array" ref="AI489">CalculerNouvelleDate(S489,AH489)</f>
        <v/>
      </c>
      <c r="AJ489" s="68" t="str" cm="1">
        <f t="array" ref="AJ489">CalculerNouvelleDate(T489,AI489)</f>
        <v/>
      </c>
      <c r="AK489" s="68" t="str" cm="1">
        <f t="array" ref="AK489">CalculerNouvelleDate(U489,AJ489)</f>
        <v/>
      </c>
      <c r="AL489" s="68" t="str" cm="1">
        <f t="array" ref="AL489">CalculerNouvelleDate(V489,AK489)</f>
        <v/>
      </c>
      <c r="AM489" s="83" t="str" cm="1">
        <f t="array" ref="AM489">CorrespondanceDAte(X489:AL489,D490)</f>
        <v>0</v>
      </c>
      <c r="AN489" s="1"/>
      <c r="AO489" s="1"/>
      <c r="AP489" s="1"/>
      <c r="AQ489" s="1"/>
      <c r="AR489" s="1"/>
      <c r="AS489" s="1"/>
      <c r="AT489" s="1"/>
      <c r="AU489" s="1"/>
      <c r="AV489" s="1"/>
      <c r="AW489" s="1"/>
      <c r="AX489" s="1"/>
      <c r="AY489" s="1"/>
      <c r="AZ489" s="1"/>
      <c r="BA489" s="1"/>
    </row>
    <row r="490" spans="1:53" x14ac:dyDescent="0.3">
      <c r="A490" s="1"/>
      <c r="B490" s="11"/>
      <c r="C490" s="69" t="s">
        <v>655</v>
      </c>
      <c r="D490" s="1"/>
      <c r="E490" s="1"/>
      <c r="F490" s="1"/>
      <c r="G490" s="1"/>
      <c r="H490" s="43"/>
      <c r="I490" s="46"/>
      <c r="J490" s="46"/>
      <c r="K490" s="46"/>
      <c r="L490" s="46"/>
      <c r="M490" s="46"/>
      <c r="N490" s="46"/>
      <c r="O490" s="46"/>
      <c r="P490" s="46"/>
      <c r="Q490" s="46"/>
      <c r="R490" s="46"/>
      <c r="S490" s="46"/>
      <c r="T490" s="46"/>
      <c r="U490" s="46"/>
      <c r="V490" s="46"/>
      <c r="W490" s="62"/>
      <c r="X490" s="67"/>
      <c r="Y490" s="68" t="str" cm="1">
        <f t="array" ref="Y490">CalculerNouvelleDate(I490,X490)</f>
        <v/>
      </c>
      <c r="Z490" s="68" t="str" cm="1">
        <f t="array" ref="Z490">CalculerNouvelleDate(J490,Y490)</f>
        <v/>
      </c>
      <c r="AA490" s="68" t="str" cm="1">
        <f t="array" ref="AA490">CalculerNouvelleDate(K490,Z490)</f>
        <v/>
      </c>
      <c r="AB490" s="68" t="str" cm="1">
        <f t="array" ref="AB490">CalculerNouvelleDate(L490,AA490)</f>
        <v/>
      </c>
      <c r="AC490" s="68" t="str" cm="1">
        <f t="array" ref="AC490">CalculerNouvelleDate(M490,AB490)</f>
        <v/>
      </c>
      <c r="AD490" s="68" t="str" cm="1">
        <f t="array" ref="AD490">CalculerNouvelleDate(N490,AC490)</f>
        <v/>
      </c>
      <c r="AE490" s="68" t="str" cm="1">
        <f t="array" ref="AE490">CalculerNouvelleDate(O490,AD490)</f>
        <v/>
      </c>
      <c r="AF490" s="68" t="str" cm="1">
        <f t="array" ref="AF490">CalculerNouvelleDate(P490,AE490)</f>
        <v/>
      </c>
      <c r="AG490" s="68" t="str" cm="1">
        <f t="array" ref="AG490">CalculerNouvelleDate(Q490,AF490)</f>
        <v/>
      </c>
      <c r="AH490" s="68" t="str" cm="1">
        <f t="array" ref="AH490">CalculerNouvelleDate(R490,AG490)</f>
        <v/>
      </c>
      <c r="AI490" s="68" t="str" cm="1">
        <f t="array" ref="AI490">CalculerNouvelleDate(S490,AH490)</f>
        <v/>
      </c>
      <c r="AJ490" s="68" t="str" cm="1">
        <f t="array" ref="AJ490">CalculerNouvelleDate(T490,AI490)</f>
        <v/>
      </c>
      <c r="AK490" s="68" t="str" cm="1">
        <f t="array" ref="AK490">CalculerNouvelleDate(U490,AJ490)</f>
        <v/>
      </c>
      <c r="AL490" s="68" t="str" cm="1">
        <f t="array" ref="AL490">CalculerNouvelleDate(V490,AK490)</f>
        <v/>
      </c>
      <c r="AM490" s="83" t="str" cm="1">
        <f t="array" ref="AM490">CorrespondanceDAte(X490:AL490,D491)</f>
        <v>0</v>
      </c>
      <c r="AN490" s="1"/>
      <c r="AO490" s="1"/>
      <c r="AP490" s="1"/>
      <c r="AQ490" s="1"/>
      <c r="AR490" s="1"/>
      <c r="AS490" s="1"/>
      <c r="AT490" s="1"/>
      <c r="AU490" s="1"/>
      <c r="AV490" s="1"/>
      <c r="AW490" s="1"/>
      <c r="AX490" s="1"/>
      <c r="AY490" s="1"/>
      <c r="AZ490" s="1"/>
      <c r="BA490" s="1"/>
    </row>
    <row r="491" spans="1:53" x14ac:dyDescent="0.3">
      <c r="A491" s="1"/>
      <c r="B491" s="11"/>
      <c r="C491" s="69" t="s">
        <v>656</v>
      </c>
      <c r="D491" s="1"/>
      <c r="E491" s="1"/>
      <c r="F491" s="1"/>
      <c r="G491" s="1"/>
      <c r="H491" s="43"/>
      <c r="I491" s="46"/>
      <c r="J491" s="46"/>
      <c r="K491" s="46"/>
      <c r="L491" s="46"/>
      <c r="M491" s="46"/>
      <c r="N491" s="46"/>
      <c r="O491" s="46"/>
      <c r="P491" s="46"/>
      <c r="Q491" s="46"/>
      <c r="R491" s="46"/>
      <c r="S491" s="46"/>
      <c r="T491" s="46"/>
      <c r="U491" s="46"/>
      <c r="V491" s="46"/>
      <c r="W491" s="62"/>
      <c r="X491" s="67"/>
      <c r="Y491" s="68" t="str" cm="1">
        <f t="array" ref="Y491">CalculerNouvelleDate(I491,X491)</f>
        <v/>
      </c>
      <c r="Z491" s="68" t="str" cm="1">
        <f t="array" ref="Z491">CalculerNouvelleDate(J491,Y491)</f>
        <v/>
      </c>
      <c r="AA491" s="68" t="str" cm="1">
        <f t="array" ref="AA491">CalculerNouvelleDate(K491,Z491)</f>
        <v/>
      </c>
      <c r="AB491" s="68" t="str" cm="1">
        <f t="array" ref="AB491">CalculerNouvelleDate(L491,AA491)</f>
        <v/>
      </c>
      <c r="AC491" s="68" t="str" cm="1">
        <f t="array" ref="AC491">CalculerNouvelleDate(M491,AB491)</f>
        <v/>
      </c>
      <c r="AD491" s="68" t="str" cm="1">
        <f t="array" ref="AD491">CalculerNouvelleDate(N491,AC491)</f>
        <v/>
      </c>
      <c r="AE491" s="68" t="str" cm="1">
        <f t="array" ref="AE491">CalculerNouvelleDate(O491,AD491)</f>
        <v/>
      </c>
      <c r="AF491" s="68" t="str" cm="1">
        <f t="array" ref="AF491">CalculerNouvelleDate(P491,AE491)</f>
        <v/>
      </c>
      <c r="AG491" s="68" t="str" cm="1">
        <f t="array" ref="AG491">CalculerNouvelleDate(Q491,AF491)</f>
        <v/>
      </c>
      <c r="AH491" s="68" t="str" cm="1">
        <f t="array" ref="AH491">CalculerNouvelleDate(R491,AG491)</f>
        <v/>
      </c>
      <c r="AI491" s="68" t="str" cm="1">
        <f t="array" ref="AI491">CalculerNouvelleDate(S491,AH491)</f>
        <v/>
      </c>
      <c r="AJ491" s="68" t="str" cm="1">
        <f t="array" ref="AJ491">CalculerNouvelleDate(T491,AI491)</f>
        <v/>
      </c>
      <c r="AK491" s="68" t="str" cm="1">
        <f t="array" ref="AK491">CalculerNouvelleDate(U491,AJ491)</f>
        <v/>
      </c>
      <c r="AL491" s="68" t="str" cm="1">
        <f t="array" ref="AL491">CalculerNouvelleDate(V491,AK491)</f>
        <v/>
      </c>
      <c r="AM491" s="83" t="str" cm="1">
        <f t="array" ref="AM491">CorrespondanceDAte(X491:AL491,D492)</f>
        <v>0</v>
      </c>
      <c r="AN491" s="1"/>
      <c r="AO491" s="1"/>
      <c r="AP491" s="1"/>
      <c r="AQ491" s="1"/>
      <c r="AR491" s="1"/>
      <c r="AS491" s="1"/>
      <c r="AT491" s="1"/>
      <c r="AU491" s="1"/>
      <c r="AV491" s="1"/>
      <c r="AW491" s="1"/>
      <c r="AX491" s="1"/>
      <c r="AY491" s="1"/>
      <c r="AZ491" s="1"/>
      <c r="BA491" s="1"/>
    </row>
    <row r="492" spans="1:53" x14ac:dyDescent="0.3">
      <c r="A492" s="1"/>
      <c r="B492" s="11"/>
      <c r="C492" s="69" t="s">
        <v>657</v>
      </c>
      <c r="D492" s="1"/>
      <c r="E492" s="1"/>
      <c r="F492" s="1"/>
      <c r="G492" s="1"/>
      <c r="H492" s="43"/>
      <c r="I492" s="46"/>
      <c r="J492" s="46"/>
      <c r="K492" s="46"/>
      <c r="L492" s="46"/>
      <c r="M492" s="46"/>
      <c r="N492" s="46"/>
      <c r="O492" s="46"/>
      <c r="P492" s="46"/>
      <c r="Q492" s="46"/>
      <c r="R492" s="46"/>
      <c r="S492" s="46"/>
      <c r="T492" s="46"/>
      <c r="U492" s="46"/>
      <c r="V492" s="46"/>
      <c r="W492" s="62"/>
      <c r="X492" s="67"/>
      <c r="Y492" s="68" t="str" cm="1">
        <f t="array" ref="Y492">CalculerNouvelleDate(I492,X492)</f>
        <v/>
      </c>
      <c r="Z492" s="68" t="str" cm="1">
        <f t="array" ref="Z492">CalculerNouvelleDate(J492,Y492)</f>
        <v/>
      </c>
      <c r="AA492" s="68" t="str" cm="1">
        <f t="array" ref="AA492">CalculerNouvelleDate(K492,Z492)</f>
        <v/>
      </c>
      <c r="AB492" s="68" t="str" cm="1">
        <f t="array" ref="AB492">CalculerNouvelleDate(L492,AA492)</f>
        <v/>
      </c>
      <c r="AC492" s="68" t="str" cm="1">
        <f t="array" ref="AC492">CalculerNouvelleDate(M492,AB492)</f>
        <v/>
      </c>
      <c r="AD492" s="68" t="str" cm="1">
        <f t="array" ref="AD492">CalculerNouvelleDate(N492,AC492)</f>
        <v/>
      </c>
      <c r="AE492" s="68" t="str" cm="1">
        <f t="array" ref="AE492">CalculerNouvelleDate(O492,AD492)</f>
        <v/>
      </c>
      <c r="AF492" s="68" t="str" cm="1">
        <f t="array" ref="AF492">CalculerNouvelleDate(P492,AE492)</f>
        <v/>
      </c>
      <c r="AG492" s="68" t="str" cm="1">
        <f t="array" ref="AG492">CalculerNouvelleDate(Q492,AF492)</f>
        <v/>
      </c>
      <c r="AH492" s="68" t="str" cm="1">
        <f t="array" ref="AH492">CalculerNouvelleDate(R492,AG492)</f>
        <v/>
      </c>
      <c r="AI492" s="68" t="str" cm="1">
        <f t="array" ref="AI492">CalculerNouvelleDate(S492,AH492)</f>
        <v/>
      </c>
      <c r="AJ492" s="68" t="str" cm="1">
        <f t="array" ref="AJ492">CalculerNouvelleDate(T492,AI492)</f>
        <v/>
      </c>
      <c r="AK492" s="68" t="str" cm="1">
        <f t="array" ref="AK492">CalculerNouvelleDate(U492,AJ492)</f>
        <v/>
      </c>
      <c r="AL492" s="68" t="str" cm="1">
        <f t="array" ref="AL492">CalculerNouvelleDate(V492,AK492)</f>
        <v/>
      </c>
      <c r="AM492" s="83" t="str" cm="1">
        <f t="array" ref="AM492">CorrespondanceDAte(X492:AL492,D493)</f>
        <v>0</v>
      </c>
      <c r="AN492" s="1"/>
      <c r="AO492" s="1"/>
      <c r="AP492" s="1"/>
      <c r="AQ492" s="1"/>
      <c r="AR492" s="1"/>
      <c r="AS492" s="1"/>
      <c r="AT492" s="1"/>
      <c r="AU492" s="1"/>
      <c r="AV492" s="1"/>
      <c r="AW492" s="1"/>
      <c r="AX492" s="1"/>
      <c r="AY492" s="1"/>
      <c r="AZ492" s="1"/>
      <c r="BA492" s="1"/>
    </row>
    <row r="493" spans="1:53" x14ac:dyDescent="0.3">
      <c r="A493" s="1"/>
      <c r="B493" s="11">
        <v>3</v>
      </c>
      <c r="C493" s="1" t="s">
        <v>112</v>
      </c>
      <c r="D493" s="1"/>
      <c r="E493" s="1"/>
      <c r="F493" s="1"/>
      <c r="G493" s="1"/>
      <c r="H493" s="43"/>
      <c r="I493" s="1"/>
      <c r="J493" s="1"/>
      <c r="K493" s="1"/>
      <c r="L493" s="1"/>
      <c r="M493" s="1"/>
      <c r="N493" s="1"/>
      <c r="O493" s="1"/>
      <c r="P493" s="1"/>
      <c r="Q493" s="1"/>
      <c r="R493" s="1"/>
      <c r="S493" s="1"/>
      <c r="T493" s="1"/>
      <c r="U493" s="1"/>
      <c r="V493" s="1"/>
      <c r="W493" s="11"/>
      <c r="X493" s="67"/>
      <c r="Y493" s="68" t="str" cm="1">
        <f t="array" ref="Y493">CalculerNouvelleDate(I493,X493)</f>
        <v/>
      </c>
      <c r="Z493" s="68" t="str" cm="1">
        <f t="array" ref="Z493">CalculerNouvelleDate(J493,Y493)</f>
        <v/>
      </c>
      <c r="AA493" s="68" t="str" cm="1">
        <f t="array" ref="AA493">CalculerNouvelleDate(K493,Z493)</f>
        <v/>
      </c>
      <c r="AB493" s="68" t="str" cm="1">
        <f t="array" ref="AB493">CalculerNouvelleDate(L493,AA493)</f>
        <v/>
      </c>
      <c r="AC493" s="68" t="str" cm="1">
        <f t="array" ref="AC493">CalculerNouvelleDate(M493,AB493)</f>
        <v/>
      </c>
      <c r="AD493" s="68" t="str" cm="1">
        <f t="array" ref="AD493">CalculerNouvelleDate(N493,AC493)</f>
        <v/>
      </c>
      <c r="AE493" s="68" t="str" cm="1">
        <f t="array" ref="AE493">CalculerNouvelleDate(O493,AD493)</f>
        <v/>
      </c>
      <c r="AF493" s="68" t="str" cm="1">
        <f t="array" ref="AF493">CalculerNouvelleDate(P493,AE493)</f>
        <v/>
      </c>
      <c r="AG493" s="68" t="str" cm="1">
        <f t="array" ref="AG493">CalculerNouvelleDate(Q493,AF493)</f>
        <v/>
      </c>
      <c r="AH493" s="68" t="str" cm="1">
        <f t="array" ref="AH493">CalculerNouvelleDate(R493,AG493)</f>
        <v/>
      </c>
      <c r="AI493" s="68" t="str" cm="1">
        <f t="array" ref="AI493">CalculerNouvelleDate(S493,AH493)</f>
        <v/>
      </c>
      <c r="AJ493" s="68" t="str" cm="1">
        <f t="array" ref="AJ493">CalculerNouvelleDate(T493,AI493)</f>
        <v/>
      </c>
      <c r="AK493" s="68" t="str" cm="1">
        <f t="array" ref="AK493">CalculerNouvelleDate(U493,AJ493)</f>
        <v/>
      </c>
      <c r="AL493" s="68" t="str" cm="1">
        <f t="array" ref="AL493">CalculerNouvelleDate(V493,AK493)</f>
        <v/>
      </c>
      <c r="AM493" s="83" t="str" cm="1">
        <f t="array" ref="AM493">CorrespondanceDAte(X493:AL493,D494)</f>
        <v>0</v>
      </c>
      <c r="AN493" s="1"/>
      <c r="AO493" s="1"/>
      <c r="AP493" s="1"/>
      <c r="AQ493" s="1"/>
      <c r="AR493" s="1"/>
      <c r="AS493" s="1"/>
      <c r="AT493" s="1"/>
      <c r="AU493" s="1"/>
      <c r="AV493" s="1"/>
      <c r="AW493" s="1"/>
      <c r="AX493" s="1"/>
      <c r="AY493" s="1"/>
      <c r="AZ493" s="1"/>
      <c r="BA493" s="1"/>
    </row>
    <row r="494" spans="1:53" x14ac:dyDescent="0.3">
      <c r="A494" s="1"/>
      <c r="B494" s="11"/>
      <c r="C494" s="69" t="s">
        <v>549</v>
      </c>
      <c r="D494" s="1"/>
      <c r="E494" s="1"/>
      <c r="F494" s="1"/>
      <c r="G494" s="1"/>
      <c r="H494" s="43"/>
      <c r="I494" s="46"/>
      <c r="J494" s="46"/>
      <c r="K494" s="46"/>
      <c r="L494" s="46"/>
      <c r="M494" s="46"/>
      <c r="N494" s="46"/>
      <c r="O494" s="46"/>
      <c r="P494" s="46"/>
      <c r="Q494" s="46"/>
      <c r="R494" s="46"/>
      <c r="S494" s="46"/>
      <c r="T494" s="46"/>
      <c r="U494" s="46"/>
      <c r="V494" s="46"/>
      <c r="W494" s="62"/>
      <c r="X494" s="67"/>
      <c r="Y494" s="68" t="str" cm="1">
        <f t="array" ref="Y494">CalculerNouvelleDate(I494,X494)</f>
        <v/>
      </c>
      <c r="Z494" s="68" t="str" cm="1">
        <f t="array" ref="Z494">CalculerNouvelleDate(J494,Y494)</f>
        <v/>
      </c>
      <c r="AA494" s="68" t="str" cm="1">
        <f t="array" ref="AA494">CalculerNouvelleDate(K494,Z494)</f>
        <v/>
      </c>
      <c r="AB494" s="68" t="str" cm="1">
        <f t="array" ref="AB494">CalculerNouvelleDate(L494,AA494)</f>
        <v/>
      </c>
      <c r="AC494" s="68" t="str" cm="1">
        <f t="array" ref="AC494">CalculerNouvelleDate(M494,AB494)</f>
        <v/>
      </c>
      <c r="AD494" s="68" t="str" cm="1">
        <f t="array" ref="AD494">CalculerNouvelleDate(N494,AC494)</f>
        <v/>
      </c>
      <c r="AE494" s="68" t="str" cm="1">
        <f t="array" ref="AE494">CalculerNouvelleDate(O494,AD494)</f>
        <v/>
      </c>
      <c r="AF494" s="68" t="str" cm="1">
        <f t="array" ref="AF494">CalculerNouvelleDate(P494,AE494)</f>
        <v/>
      </c>
      <c r="AG494" s="68" t="str" cm="1">
        <f t="array" ref="AG494">CalculerNouvelleDate(Q494,AF494)</f>
        <v/>
      </c>
      <c r="AH494" s="68" t="str" cm="1">
        <f t="array" ref="AH494">CalculerNouvelleDate(R494,AG494)</f>
        <v/>
      </c>
      <c r="AI494" s="68" t="str" cm="1">
        <f t="array" ref="AI494">CalculerNouvelleDate(S494,AH494)</f>
        <v/>
      </c>
      <c r="AJ494" s="68" t="str" cm="1">
        <f t="array" ref="AJ494">CalculerNouvelleDate(T494,AI494)</f>
        <v/>
      </c>
      <c r="AK494" s="68" t="str" cm="1">
        <f t="array" ref="AK494">CalculerNouvelleDate(U494,AJ494)</f>
        <v/>
      </c>
      <c r="AL494" s="68" t="str" cm="1">
        <f t="array" ref="AL494">CalculerNouvelleDate(V494,AK494)</f>
        <v/>
      </c>
      <c r="AM494" s="83" t="str" cm="1">
        <f t="array" ref="AM494">CorrespondanceDAte(X494:AL494,D495)</f>
        <v>0</v>
      </c>
      <c r="AN494" s="1"/>
      <c r="AO494" s="1"/>
      <c r="AP494" s="1"/>
      <c r="AQ494" s="1"/>
      <c r="AR494" s="1"/>
      <c r="AS494" s="1"/>
      <c r="AT494" s="1"/>
      <c r="AU494" s="1"/>
      <c r="AV494" s="1"/>
      <c r="AW494" s="1"/>
      <c r="AX494" s="1"/>
      <c r="AY494" s="1"/>
      <c r="AZ494" s="1"/>
      <c r="BA494" s="1"/>
    </row>
    <row r="495" spans="1:53" x14ac:dyDescent="0.3">
      <c r="A495" s="1"/>
      <c r="B495" s="11"/>
      <c r="C495" s="69" t="s">
        <v>536</v>
      </c>
      <c r="D495" s="1"/>
      <c r="E495" s="1"/>
      <c r="F495" s="1"/>
      <c r="G495" s="1"/>
      <c r="H495" s="43"/>
      <c r="I495" s="46"/>
      <c r="J495" s="46"/>
      <c r="K495" s="46"/>
      <c r="L495" s="46"/>
      <c r="M495" s="46"/>
      <c r="N495" s="46"/>
      <c r="O495" s="46"/>
      <c r="P495" s="46"/>
      <c r="Q495" s="46"/>
      <c r="R495" s="46"/>
      <c r="S495" s="46"/>
      <c r="T495" s="46"/>
      <c r="U495" s="46"/>
      <c r="V495" s="46"/>
      <c r="W495" s="62"/>
      <c r="X495" s="67"/>
      <c r="Y495" s="68" t="str" cm="1">
        <f t="array" ref="Y495">CalculerNouvelleDate(I495,X495)</f>
        <v/>
      </c>
      <c r="Z495" s="68" t="str" cm="1">
        <f t="array" ref="Z495">CalculerNouvelleDate(J495,Y495)</f>
        <v/>
      </c>
      <c r="AA495" s="68" t="str" cm="1">
        <f t="array" ref="AA495">CalculerNouvelleDate(K495,Z495)</f>
        <v/>
      </c>
      <c r="AB495" s="68" t="str" cm="1">
        <f t="array" ref="AB495">CalculerNouvelleDate(L495,AA495)</f>
        <v/>
      </c>
      <c r="AC495" s="68" t="str" cm="1">
        <f t="array" ref="AC495">CalculerNouvelleDate(M495,AB495)</f>
        <v/>
      </c>
      <c r="AD495" s="68" t="str" cm="1">
        <f t="array" ref="AD495">CalculerNouvelleDate(N495,AC495)</f>
        <v/>
      </c>
      <c r="AE495" s="68" t="str" cm="1">
        <f t="array" ref="AE495">CalculerNouvelleDate(O495,AD495)</f>
        <v/>
      </c>
      <c r="AF495" s="68" t="str" cm="1">
        <f t="array" ref="AF495">CalculerNouvelleDate(P495,AE495)</f>
        <v/>
      </c>
      <c r="AG495" s="68" t="str" cm="1">
        <f t="array" ref="AG495">CalculerNouvelleDate(Q495,AF495)</f>
        <v/>
      </c>
      <c r="AH495" s="68" t="str" cm="1">
        <f t="array" ref="AH495">CalculerNouvelleDate(R495,AG495)</f>
        <v/>
      </c>
      <c r="AI495" s="68" t="str" cm="1">
        <f t="array" ref="AI495">CalculerNouvelleDate(S495,AH495)</f>
        <v/>
      </c>
      <c r="AJ495" s="68" t="str" cm="1">
        <f t="array" ref="AJ495">CalculerNouvelleDate(T495,AI495)</f>
        <v/>
      </c>
      <c r="AK495" s="68" t="str" cm="1">
        <f t="array" ref="AK495">CalculerNouvelleDate(U495,AJ495)</f>
        <v/>
      </c>
      <c r="AL495" s="68" t="str" cm="1">
        <f t="array" ref="AL495">CalculerNouvelleDate(V495,AK495)</f>
        <v/>
      </c>
      <c r="AM495" s="83" t="str" cm="1">
        <f t="array" ref="AM495">CorrespondanceDAte(X495:AL495,D496)</f>
        <v>0</v>
      </c>
      <c r="AN495" s="1"/>
      <c r="AO495" s="1"/>
      <c r="AP495" s="1"/>
      <c r="AQ495" s="1"/>
      <c r="AR495" s="1"/>
      <c r="AS495" s="1"/>
      <c r="AT495" s="1"/>
      <c r="AU495" s="1"/>
      <c r="AV495" s="1"/>
      <c r="AW495" s="1"/>
      <c r="AX495" s="1"/>
      <c r="AY495" s="1"/>
      <c r="AZ495" s="1"/>
      <c r="BA495" s="1"/>
    </row>
    <row r="496" spans="1:53" x14ac:dyDescent="0.3">
      <c r="A496" s="1"/>
      <c r="B496" s="11"/>
      <c r="C496" s="69" t="s">
        <v>550</v>
      </c>
      <c r="D496" s="1"/>
      <c r="E496" s="1"/>
      <c r="F496" s="1"/>
      <c r="G496" s="1"/>
      <c r="H496" s="43"/>
      <c r="I496" s="46"/>
      <c r="J496" s="46"/>
      <c r="K496" s="46"/>
      <c r="L496" s="46"/>
      <c r="M496" s="46"/>
      <c r="N496" s="46"/>
      <c r="O496" s="46"/>
      <c r="P496" s="46"/>
      <c r="Q496" s="46"/>
      <c r="R496" s="46"/>
      <c r="S496" s="46"/>
      <c r="T496" s="46"/>
      <c r="U496" s="46"/>
      <c r="V496" s="46"/>
      <c r="W496" s="62"/>
      <c r="X496" s="67"/>
      <c r="Y496" s="68" t="str" cm="1">
        <f t="array" ref="Y496">CalculerNouvelleDate(I496,X496)</f>
        <v/>
      </c>
      <c r="Z496" s="68" t="str" cm="1">
        <f t="array" ref="Z496">CalculerNouvelleDate(J496,Y496)</f>
        <v/>
      </c>
      <c r="AA496" s="68" t="str" cm="1">
        <f t="array" ref="AA496">CalculerNouvelleDate(K496,Z496)</f>
        <v/>
      </c>
      <c r="AB496" s="68" t="str" cm="1">
        <f t="array" ref="AB496">CalculerNouvelleDate(L496,AA496)</f>
        <v/>
      </c>
      <c r="AC496" s="68" t="str" cm="1">
        <f t="array" ref="AC496">CalculerNouvelleDate(M496,AB496)</f>
        <v/>
      </c>
      <c r="AD496" s="68" t="str" cm="1">
        <f t="array" ref="AD496">CalculerNouvelleDate(N496,AC496)</f>
        <v/>
      </c>
      <c r="AE496" s="68" t="str" cm="1">
        <f t="array" ref="AE496">CalculerNouvelleDate(O496,AD496)</f>
        <v/>
      </c>
      <c r="AF496" s="68" t="str" cm="1">
        <f t="array" ref="AF496">CalculerNouvelleDate(P496,AE496)</f>
        <v/>
      </c>
      <c r="AG496" s="68" t="str" cm="1">
        <f t="array" ref="AG496">CalculerNouvelleDate(Q496,AF496)</f>
        <v/>
      </c>
      <c r="AH496" s="68" t="str" cm="1">
        <f t="array" ref="AH496">CalculerNouvelleDate(R496,AG496)</f>
        <v/>
      </c>
      <c r="AI496" s="68" t="str" cm="1">
        <f t="array" ref="AI496">CalculerNouvelleDate(S496,AH496)</f>
        <v/>
      </c>
      <c r="AJ496" s="68" t="str" cm="1">
        <f t="array" ref="AJ496">CalculerNouvelleDate(T496,AI496)</f>
        <v/>
      </c>
      <c r="AK496" s="68" t="str" cm="1">
        <f t="array" ref="AK496">CalculerNouvelleDate(U496,AJ496)</f>
        <v/>
      </c>
      <c r="AL496" s="68" t="str" cm="1">
        <f t="array" ref="AL496">CalculerNouvelleDate(V496,AK496)</f>
        <v/>
      </c>
      <c r="AM496" s="83" t="str" cm="1">
        <f t="array" ref="AM496">CorrespondanceDAte(X496:AL496,D497)</f>
        <v>0</v>
      </c>
      <c r="AN496" s="1"/>
      <c r="AO496" s="1"/>
      <c r="AP496" s="1"/>
      <c r="AQ496" s="1"/>
      <c r="AR496" s="1"/>
      <c r="AS496" s="1"/>
      <c r="AT496" s="1"/>
      <c r="AU496" s="1"/>
      <c r="AV496" s="1"/>
      <c r="AW496" s="1"/>
      <c r="AX496" s="1"/>
      <c r="AY496" s="1"/>
      <c r="AZ496" s="1"/>
      <c r="BA496" s="1"/>
    </row>
    <row r="497" spans="1:53" x14ac:dyDescent="0.3">
      <c r="A497" s="1"/>
      <c r="B497" s="11"/>
      <c r="C497" s="1" t="s">
        <v>551</v>
      </c>
      <c r="D497" s="1"/>
      <c r="E497" s="1"/>
      <c r="F497" s="1"/>
      <c r="G497" s="1"/>
      <c r="H497" s="43"/>
      <c r="I497" s="46"/>
      <c r="J497" s="46"/>
      <c r="K497" s="46"/>
      <c r="L497" s="46"/>
      <c r="M497" s="46"/>
      <c r="N497" s="46"/>
      <c r="O497" s="46"/>
      <c r="P497" s="46"/>
      <c r="Q497" s="46"/>
      <c r="R497" s="46"/>
      <c r="S497" s="46"/>
      <c r="T497" s="46"/>
      <c r="U497" s="46"/>
      <c r="V497" s="46"/>
      <c r="W497" s="62"/>
      <c r="X497" s="67"/>
      <c r="Y497" s="68" t="str" cm="1">
        <f t="array" ref="Y497">CalculerNouvelleDate(I497,X497)</f>
        <v/>
      </c>
      <c r="Z497" s="68" t="str" cm="1">
        <f t="array" ref="Z497">CalculerNouvelleDate(J497,Y497)</f>
        <v/>
      </c>
      <c r="AA497" s="68" t="str" cm="1">
        <f t="array" ref="AA497">CalculerNouvelleDate(K497,Z497)</f>
        <v/>
      </c>
      <c r="AB497" s="68" t="str" cm="1">
        <f t="array" ref="AB497">CalculerNouvelleDate(L497,AA497)</f>
        <v/>
      </c>
      <c r="AC497" s="68" t="str" cm="1">
        <f t="array" ref="AC497">CalculerNouvelleDate(M497,AB497)</f>
        <v/>
      </c>
      <c r="AD497" s="68" t="str" cm="1">
        <f t="array" ref="AD497">CalculerNouvelleDate(N497,AC497)</f>
        <v/>
      </c>
      <c r="AE497" s="68" t="str" cm="1">
        <f t="array" ref="AE497">CalculerNouvelleDate(O497,AD497)</f>
        <v/>
      </c>
      <c r="AF497" s="68" t="str" cm="1">
        <f t="array" ref="AF497">CalculerNouvelleDate(P497,AE497)</f>
        <v/>
      </c>
      <c r="AG497" s="68" t="str" cm="1">
        <f t="array" ref="AG497">CalculerNouvelleDate(Q497,AF497)</f>
        <v/>
      </c>
      <c r="AH497" s="68" t="str" cm="1">
        <f t="array" ref="AH497">CalculerNouvelleDate(R497,AG497)</f>
        <v/>
      </c>
      <c r="AI497" s="68" t="str" cm="1">
        <f t="array" ref="AI497">CalculerNouvelleDate(S497,AH497)</f>
        <v/>
      </c>
      <c r="AJ497" s="68" t="str" cm="1">
        <f t="array" ref="AJ497">CalculerNouvelleDate(T497,AI497)</f>
        <v/>
      </c>
      <c r="AK497" s="68" t="str" cm="1">
        <f t="array" ref="AK497">CalculerNouvelleDate(U497,AJ497)</f>
        <v/>
      </c>
      <c r="AL497" s="68" t="str" cm="1">
        <f t="array" ref="AL497">CalculerNouvelleDate(V497,AK497)</f>
        <v/>
      </c>
      <c r="AM497" s="83" t="str" cm="1">
        <f t="array" ref="AM497">CorrespondanceDAte(X497:AL497,D498)</f>
        <v>0</v>
      </c>
      <c r="AN497" s="1"/>
      <c r="AO497" s="1"/>
      <c r="AP497" s="1"/>
      <c r="AQ497" s="1"/>
      <c r="AR497" s="1"/>
      <c r="AS497" s="1"/>
      <c r="AT497" s="1"/>
      <c r="AU497" s="1"/>
      <c r="AV497" s="1"/>
      <c r="AW497" s="1"/>
      <c r="AX497" s="1"/>
      <c r="AY497" s="1"/>
      <c r="AZ497" s="1"/>
      <c r="BA497" s="1"/>
    </row>
    <row r="498" spans="1:53" x14ac:dyDescent="0.3">
      <c r="A498" s="1"/>
      <c r="B498" s="11">
        <v>4</v>
      </c>
      <c r="C498" s="1" t="s">
        <v>109</v>
      </c>
      <c r="D498" s="1"/>
      <c r="E498" s="1"/>
      <c r="F498" s="1"/>
      <c r="G498" s="1"/>
      <c r="H498" s="43"/>
      <c r="I498" s="1"/>
      <c r="J498" s="1"/>
      <c r="K498" s="1"/>
      <c r="L498" s="1"/>
      <c r="M498" s="1"/>
      <c r="N498" s="1"/>
      <c r="O498" s="1"/>
      <c r="P498" s="1"/>
      <c r="Q498" s="1"/>
      <c r="R498" s="1"/>
      <c r="S498" s="1"/>
      <c r="T498" s="1"/>
      <c r="U498" s="1"/>
      <c r="V498" s="1"/>
      <c r="W498" s="11"/>
      <c r="X498" s="67"/>
      <c r="Y498" s="68" t="str" cm="1">
        <f t="array" ref="Y498">CalculerNouvelleDate(I498,X498)</f>
        <v/>
      </c>
      <c r="Z498" s="68" t="str" cm="1">
        <f t="array" ref="Z498">CalculerNouvelleDate(J498,Y498)</f>
        <v/>
      </c>
      <c r="AA498" s="68" t="str" cm="1">
        <f t="array" ref="AA498">CalculerNouvelleDate(K498,Z498)</f>
        <v/>
      </c>
      <c r="AB498" s="68" t="str" cm="1">
        <f t="array" ref="AB498">CalculerNouvelleDate(L498,AA498)</f>
        <v/>
      </c>
      <c r="AC498" s="68" t="str" cm="1">
        <f t="array" ref="AC498">CalculerNouvelleDate(M498,AB498)</f>
        <v/>
      </c>
      <c r="AD498" s="68" t="str" cm="1">
        <f t="array" ref="AD498">CalculerNouvelleDate(N498,AC498)</f>
        <v/>
      </c>
      <c r="AE498" s="68" t="str" cm="1">
        <f t="array" ref="AE498">CalculerNouvelleDate(O498,AD498)</f>
        <v/>
      </c>
      <c r="AF498" s="68" t="str" cm="1">
        <f t="array" ref="AF498">CalculerNouvelleDate(P498,AE498)</f>
        <v/>
      </c>
      <c r="AG498" s="68" t="str" cm="1">
        <f t="array" ref="AG498">CalculerNouvelleDate(Q498,AF498)</f>
        <v/>
      </c>
      <c r="AH498" s="68" t="str" cm="1">
        <f t="array" ref="AH498">CalculerNouvelleDate(R498,AG498)</f>
        <v/>
      </c>
      <c r="AI498" s="68" t="str" cm="1">
        <f t="array" ref="AI498">CalculerNouvelleDate(S498,AH498)</f>
        <v/>
      </c>
      <c r="AJ498" s="68" t="str" cm="1">
        <f t="array" ref="AJ498">CalculerNouvelleDate(T498,AI498)</f>
        <v/>
      </c>
      <c r="AK498" s="68" t="str" cm="1">
        <f t="array" ref="AK498">CalculerNouvelleDate(U498,AJ498)</f>
        <v/>
      </c>
      <c r="AL498" s="68" t="str" cm="1">
        <f t="array" ref="AL498">CalculerNouvelleDate(V498,AK498)</f>
        <v/>
      </c>
      <c r="AM498" s="83" t="str" cm="1">
        <f t="array" ref="AM498">CorrespondanceDAte(X498:AL498,D499)</f>
        <v>0</v>
      </c>
      <c r="AN498" s="1"/>
      <c r="AO498" s="1"/>
      <c r="AP498" s="1"/>
      <c r="AQ498" s="1"/>
      <c r="AR498" s="1"/>
      <c r="AS498" s="1"/>
      <c r="AT498" s="1"/>
      <c r="AU498" s="1"/>
      <c r="AV498" s="1"/>
      <c r="AW498" s="1"/>
      <c r="AX498" s="1"/>
      <c r="AY498" s="1"/>
      <c r="AZ498" s="1"/>
      <c r="BA498" s="1"/>
    </row>
    <row r="499" spans="1:53" x14ac:dyDescent="0.3">
      <c r="A499" s="1"/>
      <c r="B499" s="11"/>
      <c r="C499" s="69" t="s">
        <v>556</v>
      </c>
      <c r="D499" s="1"/>
      <c r="E499" s="1"/>
      <c r="F499" s="1"/>
      <c r="G499" s="1"/>
      <c r="H499" s="43"/>
      <c r="I499" s="46"/>
      <c r="J499" s="46"/>
      <c r="K499" s="46"/>
      <c r="L499" s="46"/>
      <c r="M499" s="46"/>
      <c r="N499" s="46"/>
      <c r="O499" s="46"/>
      <c r="P499" s="46"/>
      <c r="Q499" s="46"/>
      <c r="R499" s="46"/>
      <c r="S499" s="46"/>
      <c r="T499" s="46"/>
      <c r="U499" s="46"/>
      <c r="V499" s="46"/>
      <c r="W499" s="62"/>
      <c r="X499" s="67"/>
      <c r="Y499" s="68" t="str" cm="1">
        <f t="array" ref="Y499">CalculerNouvelleDate(I499,X499)</f>
        <v/>
      </c>
      <c r="Z499" s="68" t="str" cm="1">
        <f t="array" ref="Z499">CalculerNouvelleDate(J499,Y499)</f>
        <v/>
      </c>
      <c r="AA499" s="68" t="str" cm="1">
        <f t="array" ref="AA499">CalculerNouvelleDate(K499,Z499)</f>
        <v/>
      </c>
      <c r="AB499" s="68" t="str" cm="1">
        <f t="array" ref="AB499">CalculerNouvelleDate(L499,AA499)</f>
        <v/>
      </c>
      <c r="AC499" s="68" t="str" cm="1">
        <f t="array" ref="AC499">CalculerNouvelleDate(M499,AB499)</f>
        <v/>
      </c>
      <c r="AD499" s="68" t="str" cm="1">
        <f t="array" ref="AD499">CalculerNouvelleDate(N499,AC499)</f>
        <v/>
      </c>
      <c r="AE499" s="68" t="str" cm="1">
        <f t="array" ref="AE499">CalculerNouvelleDate(O499,AD499)</f>
        <v/>
      </c>
      <c r="AF499" s="68" t="str" cm="1">
        <f t="array" ref="AF499">CalculerNouvelleDate(P499,AE499)</f>
        <v/>
      </c>
      <c r="AG499" s="68" t="str" cm="1">
        <f t="array" ref="AG499">CalculerNouvelleDate(Q499,AF499)</f>
        <v/>
      </c>
      <c r="AH499" s="68" t="str" cm="1">
        <f t="array" ref="AH499">CalculerNouvelleDate(R499,AG499)</f>
        <v/>
      </c>
      <c r="AI499" s="68" t="str" cm="1">
        <f t="array" ref="AI499">CalculerNouvelleDate(S499,AH499)</f>
        <v/>
      </c>
      <c r="AJ499" s="68" t="str" cm="1">
        <f t="array" ref="AJ499">CalculerNouvelleDate(T499,AI499)</f>
        <v/>
      </c>
      <c r="AK499" s="68" t="str" cm="1">
        <f t="array" ref="AK499">CalculerNouvelleDate(U499,AJ499)</f>
        <v/>
      </c>
      <c r="AL499" s="68" t="str" cm="1">
        <f t="array" ref="AL499">CalculerNouvelleDate(V499,AK499)</f>
        <v/>
      </c>
      <c r="AM499" s="83" t="str" cm="1">
        <f t="array" ref="AM499">CorrespondanceDAte(X499:AL499,D500)</f>
        <v>0</v>
      </c>
      <c r="AN499" s="1"/>
      <c r="AO499" s="1"/>
      <c r="AP499" s="1"/>
      <c r="AQ499" s="1"/>
      <c r="AR499" s="1"/>
      <c r="AS499" s="1"/>
      <c r="AT499" s="1"/>
      <c r="AU499" s="1"/>
      <c r="AV499" s="1"/>
      <c r="AW499" s="1"/>
      <c r="AX499" s="1"/>
      <c r="AY499" s="1"/>
      <c r="AZ499" s="1"/>
      <c r="BA499" s="1"/>
    </row>
    <row r="500" spans="1:53" x14ac:dyDescent="0.3">
      <c r="A500" s="1"/>
      <c r="B500" s="11"/>
      <c r="C500" s="69" t="s">
        <v>537</v>
      </c>
      <c r="D500" s="1"/>
      <c r="E500" s="1"/>
      <c r="F500" s="1"/>
      <c r="G500" s="1"/>
      <c r="H500" s="43"/>
      <c r="I500" s="46"/>
      <c r="J500" s="46"/>
      <c r="K500" s="46"/>
      <c r="L500" s="46"/>
      <c r="M500" s="46"/>
      <c r="N500" s="46"/>
      <c r="O500" s="46"/>
      <c r="P500" s="46"/>
      <c r="Q500" s="46"/>
      <c r="R500" s="46"/>
      <c r="S500" s="46"/>
      <c r="T500" s="46"/>
      <c r="U500" s="46"/>
      <c r="V500" s="46"/>
      <c r="W500" s="62"/>
      <c r="X500" s="67"/>
      <c r="Y500" s="68" t="str" cm="1">
        <f t="array" ref="Y500">CalculerNouvelleDate(I500,X500)</f>
        <v/>
      </c>
      <c r="Z500" s="68" t="str" cm="1">
        <f t="array" ref="Z500">CalculerNouvelleDate(J500,Y500)</f>
        <v/>
      </c>
      <c r="AA500" s="68" t="str" cm="1">
        <f t="array" ref="AA500">CalculerNouvelleDate(K500,Z500)</f>
        <v/>
      </c>
      <c r="AB500" s="68" t="str" cm="1">
        <f t="array" ref="AB500">CalculerNouvelleDate(L500,AA500)</f>
        <v/>
      </c>
      <c r="AC500" s="68" t="str" cm="1">
        <f t="array" ref="AC500">CalculerNouvelleDate(M500,AB500)</f>
        <v/>
      </c>
      <c r="AD500" s="68" t="str" cm="1">
        <f t="array" ref="AD500">CalculerNouvelleDate(N500,AC500)</f>
        <v/>
      </c>
      <c r="AE500" s="68" t="str" cm="1">
        <f t="array" ref="AE500">CalculerNouvelleDate(O500,AD500)</f>
        <v/>
      </c>
      <c r="AF500" s="68" t="str" cm="1">
        <f t="array" ref="AF500">CalculerNouvelleDate(P500,AE500)</f>
        <v/>
      </c>
      <c r="AG500" s="68" t="str" cm="1">
        <f t="array" ref="AG500">CalculerNouvelleDate(Q500,AF500)</f>
        <v/>
      </c>
      <c r="AH500" s="68" t="str" cm="1">
        <f t="array" ref="AH500">CalculerNouvelleDate(R500,AG500)</f>
        <v/>
      </c>
      <c r="AI500" s="68" t="str" cm="1">
        <f t="array" ref="AI500">CalculerNouvelleDate(S500,AH500)</f>
        <v/>
      </c>
      <c r="AJ500" s="68" t="str" cm="1">
        <f t="array" ref="AJ500">CalculerNouvelleDate(T500,AI500)</f>
        <v/>
      </c>
      <c r="AK500" s="68" t="str" cm="1">
        <f t="array" ref="AK500">CalculerNouvelleDate(U500,AJ500)</f>
        <v/>
      </c>
      <c r="AL500" s="68" t="str" cm="1">
        <f t="array" ref="AL500">CalculerNouvelleDate(V500,AK500)</f>
        <v/>
      </c>
      <c r="AM500" s="83" t="str" cm="1">
        <f t="array" ref="AM500">CorrespondanceDAte(X500:AL500,D501)</f>
        <v>0</v>
      </c>
      <c r="AN500" s="1"/>
      <c r="AO500" s="1"/>
      <c r="AP500" s="1"/>
      <c r="AQ500" s="1"/>
      <c r="AR500" s="1"/>
      <c r="AS500" s="1"/>
      <c r="AT500" s="1"/>
      <c r="AU500" s="1"/>
      <c r="AV500" s="1"/>
      <c r="AW500" s="1"/>
      <c r="AX500" s="1"/>
      <c r="AY500" s="1"/>
      <c r="AZ500" s="1"/>
      <c r="BA500" s="1"/>
    </row>
    <row r="501" spans="1:53" x14ac:dyDescent="0.3">
      <c r="A501" s="1"/>
      <c r="B501" s="11"/>
      <c r="C501" s="69" t="s">
        <v>557</v>
      </c>
      <c r="D501" s="1"/>
      <c r="E501" s="1"/>
      <c r="F501" s="1"/>
      <c r="G501" s="1"/>
      <c r="H501" s="43"/>
      <c r="I501" s="46"/>
      <c r="J501" s="46"/>
      <c r="K501" s="46"/>
      <c r="L501" s="46"/>
      <c r="M501" s="46"/>
      <c r="N501" s="46"/>
      <c r="O501" s="46"/>
      <c r="P501" s="46"/>
      <c r="Q501" s="46"/>
      <c r="R501" s="46"/>
      <c r="S501" s="46"/>
      <c r="T501" s="46"/>
      <c r="U501" s="46"/>
      <c r="V501" s="46"/>
      <c r="W501" s="62"/>
      <c r="X501" s="67"/>
      <c r="Y501" s="68" t="str" cm="1">
        <f t="array" ref="Y501">CalculerNouvelleDate(I501,X501)</f>
        <v/>
      </c>
      <c r="Z501" s="68" t="str" cm="1">
        <f t="array" ref="Z501">CalculerNouvelleDate(J501,Y501)</f>
        <v/>
      </c>
      <c r="AA501" s="68" t="str" cm="1">
        <f t="array" ref="AA501">CalculerNouvelleDate(K501,Z501)</f>
        <v/>
      </c>
      <c r="AB501" s="68" t="str" cm="1">
        <f t="array" ref="AB501">CalculerNouvelleDate(L501,AA501)</f>
        <v/>
      </c>
      <c r="AC501" s="68" t="str" cm="1">
        <f t="array" ref="AC501">CalculerNouvelleDate(M501,AB501)</f>
        <v/>
      </c>
      <c r="AD501" s="68" t="str" cm="1">
        <f t="array" ref="AD501">CalculerNouvelleDate(N501,AC501)</f>
        <v/>
      </c>
      <c r="AE501" s="68" t="str" cm="1">
        <f t="array" ref="AE501">CalculerNouvelleDate(O501,AD501)</f>
        <v/>
      </c>
      <c r="AF501" s="68" t="str" cm="1">
        <f t="array" ref="AF501">CalculerNouvelleDate(P501,AE501)</f>
        <v/>
      </c>
      <c r="AG501" s="68" t="str" cm="1">
        <f t="array" ref="AG501">CalculerNouvelleDate(Q501,AF501)</f>
        <v/>
      </c>
      <c r="AH501" s="68" t="str" cm="1">
        <f t="array" ref="AH501">CalculerNouvelleDate(R501,AG501)</f>
        <v/>
      </c>
      <c r="AI501" s="68" t="str" cm="1">
        <f t="array" ref="AI501">CalculerNouvelleDate(S501,AH501)</f>
        <v/>
      </c>
      <c r="AJ501" s="68" t="str" cm="1">
        <f t="array" ref="AJ501">CalculerNouvelleDate(T501,AI501)</f>
        <v/>
      </c>
      <c r="AK501" s="68" t="str" cm="1">
        <f t="array" ref="AK501">CalculerNouvelleDate(U501,AJ501)</f>
        <v/>
      </c>
      <c r="AL501" s="68" t="str" cm="1">
        <f t="array" ref="AL501">CalculerNouvelleDate(V501,AK501)</f>
        <v/>
      </c>
      <c r="AM501" s="83" t="str" cm="1">
        <f t="array" ref="AM501">CorrespondanceDAte(X501:AL501,D502)</f>
        <v>0</v>
      </c>
      <c r="AN501" s="1"/>
      <c r="AO501" s="1"/>
      <c r="AP501" s="1"/>
      <c r="AQ501" s="1"/>
      <c r="AR501" s="1"/>
      <c r="AS501" s="1"/>
      <c r="AT501" s="1"/>
      <c r="AU501" s="1"/>
      <c r="AV501" s="1"/>
      <c r="AW501" s="1"/>
      <c r="AX501" s="1"/>
      <c r="AY501" s="1"/>
      <c r="AZ501" s="1"/>
      <c r="BA501" s="1"/>
    </row>
    <row r="502" spans="1:53" x14ac:dyDescent="0.3">
      <c r="A502" s="1"/>
      <c r="B502" s="11"/>
      <c r="C502" s="1" t="s">
        <v>608</v>
      </c>
      <c r="D502" s="1"/>
      <c r="E502" s="1"/>
      <c r="F502" s="1"/>
      <c r="G502" s="1"/>
      <c r="H502" s="43"/>
      <c r="I502" s="46"/>
      <c r="J502" s="46"/>
      <c r="K502" s="46"/>
      <c r="L502" s="46"/>
      <c r="M502" s="46"/>
      <c r="N502" s="46"/>
      <c r="O502" s="46"/>
      <c r="P502" s="46"/>
      <c r="Q502" s="46"/>
      <c r="R502" s="46"/>
      <c r="S502" s="46"/>
      <c r="T502" s="46"/>
      <c r="U502" s="46"/>
      <c r="V502" s="46"/>
      <c r="W502" s="62"/>
      <c r="X502" s="67"/>
      <c r="Y502" s="68" t="str" cm="1">
        <f t="array" ref="Y502">CalculerNouvelleDate(I502,X502)</f>
        <v/>
      </c>
      <c r="Z502" s="68" t="str" cm="1">
        <f t="array" ref="Z502">CalculerNouvelleDate(J502,Y502)</f>
        <v/>
      </c>
      <c r="AA502" s="68" t="str" cm="1">
        <f t="array" ref="AA502">CalculerNouvelleDate(K502,Z502)</f>
        <v/>
      </c>
      <c r="AB502" s="68" t="str" cm="1">
        <f t="array" ref="AB502">CalculerNouvelleDate(L502,AA502)</f>
        <v/>
      </c>
      <c r="AC502" s="68" t="str" cm="1">
        <f t="array" ref="AC502">CalculerNouvelleDate(M502,AB502)</f>
        <v/>
      </c>
      <c r="AD502" s="68" t="str" cm="1">
        <f t="array" ref="AD502">CalculerNouvelleDate(N502,AC502)</f>
        <v/>
      </c>
      <c r="AE502" s="68" t="str" cm="1">
        <f t="array" ref="AE502">CalculerNouvelleDate(O502,AD502)</f>
        <v/>
      </c>
      <c r="AF502" s="68" t="str" cm="1">
        <f t="array" ref="AF502">CalculerNouvelleDate(P502,AE502)</f>
        <v/>
      </c>
      <c r="AG502" s="68" t="str" cm="1">
        <f t="array" ref="AG502">CalculerNouvelleDate(Q502,AF502)</f>
        <v/>
      </c>
      <c r="AH502" s="68" t="str" cm="1">
        <f t="array" ref="AH502">CalculerNouvelleDate(R502,AG502)</f>
        <v/>
      </c>
      <c r="AI502" s="68" t="str" cm="1">
        <f t="array" ref="AI502">CalculerNouvelleDate(S502,AH502)</f>
        <v/>
      </c>
      <c r="AJ502" s="68" t="str" cm="1">
        <f t="array" ref="AJ502">CalculerNouvelleDate(T502,AI502)</f>
        <v/>
      </c>
      <c r="AK502" s="68" t="str" cm="1">
        <f t="array" ref="AK502">CalculerNouvelleDate(U502,AJ502)</f>
        <v/>
      </c>
      <c r="AL502" s="68" t="str" cm="1">
        <f t="array" ref="AL502">CalculerNouvelleDate(V502,AK502)</f>
        <v/>
      </c>
      <c r="AM502" s="83" t="str" cm="1">
        <f t="array" ref="AM502">CorrespondanceDAte(X502:AL502,D503)</f>
        <v>0</v>
      </c>
      <c r="AN502" s="1"/>
      <c r="AO502" s="1"/>
      <c r="AP502" s="1"/>
      <c r="AQ502" s="1"/>
      <c r="AR502" s="1"/>
      <c r="AS502" s="1"/>
      <c r="AT502" s="1"/>
      <c r="AU502" s="1"/>
      <c r="AV502" s="1"/>
      <c r="AW502" s="1"/>
      <c r="AX502" s="1"/>
      <c r="AY502" s="1"/>
      <c r="AZ502" s="1"/>
      <c r="BA502" s="1"/>
    </row>
    <row r="503" spans="1:53" x14ac:dyDescent="0.3">
      <c r="A503" s="1"/>
      <c r="B503" s="11"/>
      <c r="C503" s="69" t="s">
        <v>707</v>
      </c>
      <c r="D503" s="1"/>
      <c r="E503" s="1"/>
      <c r="F503" s="1"/>
      <c r="G503" s="1"/>
      <c r="H503" s="43"/>
      <c r="I503" s="46"/>
      <c r="J503" s="46"/>
      <c r="K503" s="46"/>
      <c r="L503" s="46"/>
      <c r="M503" s="46"/>
      <c r="N503" s="46"/>
      <c r="O503" s="46"/>
      <c r="P503" s="46"/>
      <c r="Q503" s="46"/>
      <c r="R503" s="46"/>
      <c r="S503" s="46"/>
      <c r="T503" s="46"/>
      <c r="U503" s="46"/>
      <c r="V503" s="46"/>
      <c r="W503" s="62"/>
      <c r="X503" s="67"/>
      <c r="Y503" s="68" t="str" cm="1">
        <f t="array" ref="Y503">CalculerNouvelleDate(I503,X503)</f>
        <v/>
      </c>
      <c r="Z503" s="68" t="str" cm="1">
        <f t="array" ref="Z503">CalculerNouvelleDate(J503,Y503)</f>
        <v/>
      </c>
      <c r="AA503" s="68" t="str" cm="1">
        <f t="array" ref="AA503">CalculerNouvelleDate(K503,Z503)</f>
        <v/>
      </c>
      <c r="AB503" s="68" t="str" cm="1">
        <f t="array" ref="AB503">CalculerNouvelleDate(L503,AA503)</f>
        <v/>
      </c>
      <c r="AC503" s="68" t="str" cm="1">
        <f t="array" ref="AC503">CalculerNouvelleDate(M503,AB503)</f>
        <v/>
      </c>
      <c r="AD503" s="68" t="str" cm="1">
        <f t="array" ref="AD503">CalculerNouvelleDate(N503,AC503)</f>
        <v/>
      </c>
      <c r="AE503" s="68" t="str" cm="1">
        <f t="array" ref="AE503">CalculerNouvelleDate(O503,AD503)</f>
        <v/>
      </c>
      <c r="AF503" s="68" t="str" cm="1">
        <f t="array" ref="AF503">CalculerNouvelleDate(P503,AE503)</f>
        <v/>
      </c>
      <c r="AG503" s="68" t="str" cm="1">
        <f t="array" ref="AG503">CalculerNouvelleDate(Q503,AF503)</f>
        <v/>
      </c>
      <c r="AH503" s="68" t="str" cm="1">
        <f t="array" ref="AH503">CalculerNouvelleDate(R503,AG503)</f>
        <v/>
      </c>
      <c r="AI503" s="68" t="str" cm="1">
        <f t="array" ref="AI503">CalculerNouvelleDate(S503,AH503)</f>
        <v/>
      </c>
      <c r="AJ503" s="68" t="str" cm="1">
        <f t="array" ref="AJ503">CalculerNouvelleDate(T503,AI503)</f>
        <v/>
      </c>
      <c r="AK503" s="68" t="str" cm="1">
        <f t="array" ref="AK503">CalculerNouvelleDate(U503,AJ503)</f>
        <v/>
      </c>
      <c r="AL503" s="68" t="str" cm="1">
        <f t="array" ref="AL503">CalculerNouvelleDate(V503,AK503)</f>
        <v/>
      </c>
      <c r="AM503" s="83" t="str" cm="1">
        <f t="array" ref="AM503">CorrespondanceDAte(X503:AL503,D504)</f>
        <v>0</v>
      </c>
      <c r="AN503" s="1"/>
      <c r="AO503" s="1"/>
      <c r="AP503" s="1"/>
      <c r="AQ503" s="1"/>
      <c r="AR503" s="1"/>
      <c r="AS503" s="1"/>
      <c r="AT503" s="1"/>
      <c r="AU503" s="1"/>
      <c r="AV503" s="1"/>
      <c r="AW503" s="1"/>
      <c r="AX503" s="1"/>
      <c r="AY503" s="1"/>
      <c r="AZ503" s="1"/>
      <c r="BA503" s="1"/>
    </row>
    <row r="504" spans="1:53" x14ac:dyDescent="0.3">
      <c r="A504" s="1"/>
      <c r="B504" s="11"/>
      <c r="C504" s="69" t="s">
        <v>708</v>
      </c>
      <c r="D504" s="1"/>
      <c r="E504" s="1"/>
      <c r="F504" s="1"/>
      <c r="G504" s="1"/>
      <c r="H504" s="43"/>
      <c r="I504" s="46"/>
      <c r="J504" s="46"/>
      <c r="K504" s="46"/>
      <c r="L504" s="46"/>
      <c r="M504" s="46"/>
      <c r="N504" s="46"/>
      <c r="O504" s="46"/>
      <c r="P504" s="46"/>
      <c r="Q504" s="46"/>
      <c r="R504" s="46"/>
      <c r="S504" s="46"/>
      <c r="T504" s="46"/>
      <c r="U504" s="46"/>
      <c r="V504" s="46"/>
      <c r="W504" s="62"/>
      <c r="X504" s="67"/>
      <c r="Y504" s="68" t="str" cm="1">
        <f t="array" ref="Y504">CalculerNouvelleDate(I504,X504)</f>
        <v/>
      </c>
      <c r="Z504" s="68" t="str" cm="1">
        <f t="array" ref="Z504">CalculerNouvelleDate(J504,Y504)</f>
        <v/>
      </c>
      <c r="AA504" s="68" t="str" cm="1">
        <f t="array" ref="AA504">CalculerNouvelleDate(K504,Z504)</f>
        <v/>
      </c>
      <c r="AB504" s="68" t="str" cm="1">
        <f t="array" ref="AB504">CalculerNouvelleDate(L504,AA504)</f>
        <v/>
      </c>
      <c r="AC504" s="68" t="str" cm="1">
        <f t="array" ref="AC504">CalculerNouvelleDate(M504,AB504)</f>
        <v/>
      </c>
      <c r="AD504" s="68" t="str" cm="1">
        <f t="array" ref="AD504">CalculerNouvelleDate(N504,AC504)</f>
        <v/>
      </c>
      <c r="AE504" s="68" t="str" cm="1">
        <f t="array" ref="AE504">CalculerNouvelleDate(O504,AD504)</f>
        <v/>
      </c>
      <c r="AF504" s="68" t="str" cm="1">
        <f t="array" ref="AF504">CalculerNouvelleDate(P504,AE504)</f>
        <v/>
      </c>
      <c r="AG504" s="68" t="str" cm="1">
        <f t="array" ref="AG504">CalculerNouvelleDate(Q504,AF504)</f>
        <v/>
      </c>
      <c r="AH504" s="68" t="str" cm="1">
        <f t="array" ref="AH504">CalculerNouvelleDate(R504,AG504)</f>
        <v/>
      </c>
      <c r="AI504" s="68" t="str" cm="1">
        <f t="array" ref="AI504">CalculerNouvelleDate(S504,AH504)</f>
        <v/>
      </c>
      <c r="AJ504" s="68" t="str" cm="1">
        <f t="array" ref="AJ504">CalculerNouvelleDate(T504,AI504)</f>
        <v/>
      </c>
      <c r="AK504" s="68" t="str" cm="1">
        <f t="array" ref="AK504">CalculerNouvelleDate(U504,AJ504)</f>
        <v/>
      </c>
      <c r="AL504" s="68" t="str" cm="1">
        <f t="array" ref="AL504">CalculerNouvelleDate(V504,AK504)</f>
        <v/>
      </c>
      <c r="AM504" s="83" t="str" cm="1">
        <f t="array" ref="AM504">CorrespondanceDAte(X504:AL504,D505)</f>
        <v>0</v>
      </c>
      <c r="AN504" s="1"/>
      <c r="AO504" s="1"/>
      <c r="AP504" s="1"/>
      <c r="AQ504" s="1"/>
      <c r="AR504" s="1"/>
      <c r="AS504" s="1"/>
      <c r="AT504" s="1"/>
      <c r="AU504" s="1"/>
      <c r="AV504" s="1"/>
      <c r="AW504" s="1"/>
      <c r="AX504" s="1"/>
      <c r="AY504" s="1"/>
      <c r="AZ504" s="1"/>
      <c r="BA504" s="1"/>
    </row>
    <row r="505" spans="1:53" x14ac:dyDescent="0.3">
      <c r="A505" s="1"/>
      <c r="B505" s="11"/>
      <c r="C505" s="69" t="s">
        <v>706</v>
      </c>
      <c r="D505" s="1"/>
      <c r="E505" s="1"/>
      <c r="F505" s="1"/>
      <c r="G505" s="1"/>
      <c r="H505" s="43"/>
      <c r="I505" s="46"/>
      <c r="J505" s="46"/>
      <c r="K505" s="46"/>
      <c r="L505" s="46"/>
      <c r="M505" s="46"/>
      <c r="N505" s="46"/>
      <c r="O505" s="46"/>
      <c r="P505" s="46"/>
      <c r="Q505" s="46"/>
      <c r="R505" s="46"/>
      <c r="S505" s="46"/>
      <c r="T505" s="46"/>
      <c r="U505" s="46"/>
      <c r="V505" s="46"/>
      <c r="W505" s="62"/>
      <c r="X505" s="67"/>
      <c r="Y505" s="68" t="str" cm="1">
        <f t="array" ref="Y505">CalculerNouvelleDate(I505,X505)</f>
        <v/>
      </c>
      <c r="Z505" s="68" t="str" cm="1">
        <f t="array" ref="Z505">CalculerNouvelleDate(J505,Y505)</f>
        <v/>
      </c>
      <c r="AA505" s="68" t="str" cm="1">
        <f t="array" ref="AA505">CalculerNouvelleDate(K505,Z505)</f>
        <v/>
      </c>
      <c r="AB505" s="68" t="str" cm="1">
        <f t="array" ref="AB505">CalculerNouvelleDate(L505,AA505)</f>
        <v/>
      </c>
      <c r="AC505" s="68" t="str" cm="1">
        <f t="array" ref="AC505">CalculerNouvelleDate(M505,AB505)</f>
        <v/>
      </c>
      <c r="AD505" s="68" t="str" cm="1">
        <f t="array" ref="AD505">CalculerNouvelleDate(N505,AC505)</f>
        <v/>
      </c>
      <c r="AE505" s="68" t="str" cm="1">
        <f t="array" ref="AE505">CalculerNouvelleDate(O505,AD505)</f>
        <v/>
      </c>
      <c r="AF505" s="68" t="str" cm="1">
        <f t="array" ref="AF505">CalculerNouvelleDate(P505,AE505)</f>
        <v/>
      </c>
      <c r="AG505" s="68" t="str" cm="1">
        <f t="array" ref="AG505">CalculerNouvelleDate(Q505,AF505)</f>
        <v/>
      </c>
      <c r="AH505" s="68" t="str" cm="1">
        <f t="array" ref="AH505">CalculerNouvelleDate(R505,AG505)</f>
        <v/>
      </c>
      <c r="AI505" s="68" t="str" cm="1">
        <f t="array" ref="AI505">CalculerNouvelleDate(S505,AH505)</f>
        <v/>
      </c>
      <c r="AJ505" s="68" t="str" cm="1">
        <f t="array" ref="AJ505">CalculerNouvelleDate(T505,AI505)</f>
        <v/>
      </c>
      <c r="AK505" s="68" t="str" cm="1">
        <f t="array" ref="AK505">CalculerNouvelleDate(U505,AJ505)</f>
        <v/>
      </c>
      <c r="AL505" s="68" t="str" cm="1">
        <f t="array" ref="AL505">CalculerNouvelleDate(V505,AK505)</f>
        <v/>
      </c>
      <c r="AM505" s="83" t="str" cm="1">
        <f t="array" ref="AM505">CorrespondanceDAte(X505:AL505,D506)</f>
        <v>0</v>
      </c>
      <c r="AN505" s="1"/>
      <c r="AO505" s="1"/>
      <c r="AP505" s="1"/>
      <c r="AQ505" s="1"/>
      <c r="AR505" s="1"/>
      <c r="AS505" s="1"/>
      <c r="AT505" s="1"/>
      <c r="AU505" s="1"/>
      <c r="AV505" s="1"/>
      <c r="AW505" s="1"/>
      <c r="AX505" s="1"/>
      <c r="AY505" s="1"/>
      <c r="AZ505" s="1"/>
      <c r="BA505" s="1"/>
    </row>
    <row r="506" spans="1:53" x14ac:dyDescent="0.3">
      <c r="A506" s="1"/>
      <c r="B506" s="11"/>
      <c r="C506" s="1" t="s">
        <v>768</v>
      </c>
      <c r="D506" s="1"/>
      <c r="E506" s="1"/>
      <c r="F506" s="1"/>
      <c r="G506" s="1"/>
      <c r="H506" s="43"/>
      <c r="I506" s="46"/>
      <c r="J506" s="46"/>
      <c r="K506" s="46"/>
      <c r="L506" s="46"/>
      <c r="M506" s="46"/>
      <c r="N506" s="46"/>
      <c r="O506" s="46"/>
      <c r="P506" s="46"/>
      <c r="Q506" s="46"/>
      <c r="R506" s="46"/>
      <c r="S506" s="46"/>
      <c r="T506" s="46"/>
      <c r="U506" s="46"/>
      <c r="V506" s="46"/>
      <c r="W506" s="62"/>
      <c r="X506" s="67"/>
      <c r="Y506" s="68" t="str" cm="1">
        <f t="array" ref="Y506">CalculerNouvelleDate(I506,X506)</f>
        <v/>
      </c>
      <c r="Z506" s="68" t="str" cm="1">
        <f t="array" ref="Z506">CalculerNouvelleDate(J506,Y506)</f>
        <v/>
      </c>
      <c r="AA506" s="68" t="str" cm="1">
        <f t="array" ref="AA506">CalculerNouvelleDate(K506,Z506)</f>
        <v/>
      </c>
      <c r="AB506" s="68" t="str" cm="1">
        <f t="array" ref="AB506">CalculerNouvelleDate(L506,AA506)</f>
        <v/>
      </c>
      <c r="AC506" s="68" t="str" cm="1">
        <f t="array" ref="AC506">CalculerNouvelleDate(M506,AB506)</f>
        <v/>
      </c>
      <c r="AD506" s="68" t="str" cm="1">
        <f t="array" ref="AD506">CalculerNouvelleDate(N506,AC506)</f>
        <v/>
      </c>
      <c r="AE506" s="68" t="str" cm="1">
        <f t="array" ref="AE506">CalculerNouvelleDate(O506,AD506)</f>
        <v/>
      </c>
      <c r="AF506" s="68" t="str" cm="1">
        <f t="array" ref="AF506">CalculerNouvelleDate(P506,AE506)</f>
        <v/>
      </c>
      <c r="AG506" s="68" t="str" cm="1">
        <f t="array" ref="AG506">CalculerNouvelleDate(Q506,AF506)</f>
        <v/>
      </c>
      <c r="AH506" s="68" t="str" cm="1">
        <f t="array" ref="AH506">CalculerNouvelleDate(R506,AG506)</f>
        <v/>
      </c>
      <c r="AI506" s="68" t="str" cm="1">
        <f t="array" ref="AI506">CalculerNouvelleDate(S506,AH506)</f>
        <v/>
      </c>
      <c r="AJ506" s="68" t="str" cm="1">
        <f t="array" ref="AJ506">CalculerNouvelleDate(T506,AI506)</f>
        <v/>
      </c>
      <c r="AK506" s="68" t="str" cm="1">
        <f t="array" ref="AK506">CalculerNouvelleDate(U506,AJ506)</f>
        <v/>
      </c>
      <c r="AL506" s="68" t="str" cm="1">
        <f t="array" ref="AL506">CalculerNouvelleDate(V506,AK506)</f>
        <v/>
      </c>
      <c r="AM506" s="83" t="str" cm="1">
        <f t="array" ref="AM506">CorrespondanceDAte(X506:AL506,D507)</f>
        <v>0</v>
      </c>
      <c r="AN506" s="1"/>
      <c r="AO506" s="1"/>
      <c r="AP506" s="1"/>
      <c r="AQ506" s="1"/>
      <c r="AR506" s="1"/>
      <c r="AS506" s="1"/>
      <c r="AT506" s="1"/>
      <c r="AU506" s="1"/>
      <c r="AV506" s="1"/>
      <c r="AW506" s="1"/>
      <c r="AX506" s="1"/>
      <c r="AY506" s="1"/>
      <c r="AZ506" s="1"/>
      <c r="BA506" s="1"/>
    </row>
    <row r="507" spans="1:53" x14ac:dyDescent="0.3">
      <c r="A507" s="1"/>
      <c r="B507" s="11"/>
      <c r="C507" s="1" t="s">
        <v>766</v>
      </c>
      <c r="D507" s="1"/>
      <c r="E507" s="1"/>
      <c r="F507" s="1"/>
      <c r="G507" s="1"/>
      <c r="H507" s="43"/>
      <c r="I507" s="46"/>
      <c r="J507" s="46"/>
      <c r="K507" s="46"/>
      <c r="L507" s="46"/>
      <c r="M507" s="46"/>
      <c r="N507" s="46"/>
      <c r="O507" s="46"/>
      <c r="P507" s="46"/>
      <c r="Q507" s="46"/>
      <c r="R507" s="46"/>
      <c r="S507" s="46"/>
      <c r="T507" s="46"/>
      <c r="U507" s="46"/>
      <c r="V507" s="46"/>
      <c r="W507" s="62"/>
      <c r="X507" s="67"/>
      <c r="Y507" s="68" t="str" cm="1">
        <f t="array" ref="Y507">CalculerNouvelleDate(I507,X507)</f>
        <v/>
      </c>
      <c r="Z507" s="68" t="str" cm="1">
        <f t="array" ref="Z507">CalculerNouvelleDate(J507,Y507)</f>
        <v/>
      </c>
      <c r="AA507" s="68" t="str" cm="1">
        <f t="array" ref="AA507">CalculerNouvelleDate(K507,Z507)</f>
        <v/>
      </c>
      <c r="AB507" s="68" t="str" cm="1">
        <f t="array" ref="AB507">CalculerNouvelleDate(L507,AA507)</f>
        <v/>
      </c>
      <c r="AC507" s="68" t="str" cm="1">
        <f t="array" ref="AC507">CalculerNouvelleDate(M507,AB507)</f>
        <v/>
      </c>
      <c r="AD507" s="68" t="str" cm="1">
        <f t="array" ref="AD507">CalculerNouvelleDate(N507,AC507)</f>
        <v/>
      </c>
      <c r="AE507" s="68" t="str" cm="1">
        <f t="array" ref="AE507">CalculerNouvelleDate(O507,AD507)</f>
        <v/>
      </c>
      <c r="AF507" s="68" t="str" cm="1">
        <f t="array" ref="AF507">CalculerNouvelleDate(P507,AE507)</f>
        <v/>
      </c>
      <c r="AG507" s="68" t="str" cm="1">
        <f t="array" ref="AG507">CalculerNouvelleDate(Q507,AF507)</f>
        <v/>
      </c>
      <c r="AH507" s="68" t="str" cm="1">
        <f t="array" ref="AH507">CalculerNouvelleDate(R507,AG507)</f>
        <v/>
      </c>
      <c r="AI507" s="68" t="str" cm="1">
        <f t="array" ref="AI507">CalculerNouvelleDate(S507,AH507)</f>
        <v/>
      </c>
      <c r="AJ507" s="68" t="str" cm="1">
        <f t="array" ref="AJ507">CalculerNouvelleDate(T507,AI507)</f>
        <v/>
      </c>
      <c r="AK507" s="68" t="str" cm="1">
        <f t="array" ref="AK507">CalculerNouvelleDate(U507,AJ507)</f>
        <v/>
      </c>
      <c r="AL507" s="68" t="str" cm="1">
        <f t="array" ref="AL507">CalculerNouvelleDate(V507,AK507)</f>
        <v/>
      </c>
      <c r="AM507" s="83" t="str" cm="1">
        <f t="array" ref="AM507">CorrespondanceDAte(X507:AL507,D508)</f>
        <v>0</v>
      </c>
      <c r="AN507" s="1"/>
      <c r="AO507" s="1"/>
      <c r="AP507" s="1"/>
      <c r="AQ507" s="1"/>
      <c r="AR507" s="1"/>
      <c r="AS507" s="1"/>
      <c r="AT507" s="1"/>
      <c r="AU507" s="1"/>
      <c r="AV507" s="1"/>
      <c r="AW507" s="1"/>
      <c r="AX507" s="1"/>
      <c r="AY507" s="1"/>
      <c r="AZ507" s="1"/>
      <c r="BA507" s="1"/>
    </row>
    <row r="508" spans="1:53" x14ac:dyDescent="0.3">
      <c r="A508" s="1"/>
      <c r="B508" s="11"/>
      <c r="C508" s="1" t="s">
        <v>767</v>
      </c>
      <c r="D508" s="1"/>
      <c r="E508" s="1"/>
      <c r="F508" s="1"/>
      <c r="G508" s="1"/>
      <c r="H508" s="43"/>
      <c r="I508" s="46"/>
      <c r="J508" s="46"/>
      <c r="K508" s="46"/>
      <c r="L508" s="46"/>
      <c r="M508" s="46"/>
      <c r="N508" s="46"/>
      <c r="O508" s="46"/>
      <c r="P508" s="46"/>
      <c r="Q508" s="46"/>
      <c r="R508" s="46"/>
      <c r="S508" s="46"/>
      <c r="T508" s="46"/>
      <c r="U508" s="46"/>
      <c r="V508" s="46"/>
      <c r="W508" s="62"/>
      <c r="X508" s="67"/>
      <c r="Y508" s="68" t="str" cm="1">
        <f t="array" ref="Y508">CalculerNouvelleDate(I508,X508)</f>
        <v/>
      </c>
      <c r="Z508" s="68" t="str" cm="1">
        <f t="array" ref="Z508">CalculerNouvelleDate(J508,Y508)</f>
        <v/>
      </c>
      <c r="AA508" s="68" t="str" cm="1">
        <f t="array" ref="AA508">CalculerNouvelleDate(K508,Z508)</f>
        <v/>
      </c>
      <c r="AB508" s="68" t="str" cm="1">
        <f t="array" ref="AB508">CalculerNouvelleDate(L508,AA508)</f>
        <v/>
      </c>
      <c r="AC508" s="68" t="str" cm="1">
        <f t="array" ref="AC508">CalculerNouvelleDate(M508,AB508)</f>
        <v/>
      </c>
      <c r="AD508" s="68" t="str" cm="1">
        <f t="array" ref="AD508">CalculerNouvelleDate(N508,AC508)</f>
        <v/>
      </c>
      <c r="AE508" s="68" t="str" cm="1">
        <f t="array" ref="AE508">CalculerNouvelleDate(O508,AD508)</f>
        <v/>
      </c>
      <c r="AF508" s="68" t="str" cm="1">
        <f t="array" ref="AF508">CalculerNouvelleDate(P508,AE508)</f>
        <v/>
      </c>
      <c r="AG508" s="68" t="str" cm="1">
        <f t="array" ref="AG508">CalculerNouvelleDate(Q508,AF508)</f>
        <v/>
      </c>
      <c r="AH508" s="68" t="str" cm="1">
        <f t="array" ref="AH508">CalculerNouvelleDate(R508,AG508)</f>
        <v/>
      </c>
      <c r="AI508" s="68" t="str" cm="1">
        <f t="array" ref="AI508">CalculerNouvelleDate(S508,AH508)</f>
        <v/>
      </c>
      <c r="AJ508" s="68" t="str" cm="1">
        <f t="array" ref="AJ508">CalculerNouvelleDate(T508,AI508)</f>
        <v/>
      </c>
      <c r="AK508" s="68" t="str" cm="1">
        <f t="array" ref="AK508">CalculerNouvelleDate(U508,AJ508)</f>
        <v/>
      </c>
      <c r="AL508" s="68" t="str" cm="1">
        <f t="array" ref="AL508">CalculerNouvelleDate(V508,AK508)</f>
        <v/>
      </c>
      <c r="AM508" s="83" t="str" cm="1">
        <f t="array" ref="AM508">CorrespondanceDAte(X508:AL508,D509)</f>
        <v>0</v>
      </c>
      <c r="AN508" s="1"/>
      <c r="AO508" s="1"/>
      <c r="AP508" s="1"/>
      <c r="AQ508" s="1"/>
      <c r="AR508" s="1"/>
      <c r="AS508" s="1"/>
      <c r="AT508" s="1"/>
      <c r="AU508" s="1"/>
      <c r="AV508" s="1"/>
      <c r="AW508" s="1"/>
      <c r="AX508" s="1"/>
      <c r="AY508" s="1"/>
      <c r="AZ508" s="1"/>
      <c r="BA508" s="1"/>
    </row>
    <row r="509" spans="1:53" x14ac:dyDescent="0.3">
      <c r="A509" s="1"/>
      <c r="B509" s="11"/>
      <c r="C509" s="1"/>
      <c r="D509" s="1"/>
      <c r="E509" s="1"/>
      <c r="F509" s="1"/>
      <c r="G509" s="1"/>
      <c r="H509" s="43"/>
      <c r="I509" s="46"/>
      <c r="J509" s="46"/>
      <c r="K509" s="46"/>
      <c r="L509" s="46"/>
      <c r="M509" s="46"/>
      <c r="N509" s="46"/>
      <c r="O509" s="46"/>
      <c r="P509" s="46"/>
      <c r="Q509" s="46"/>
      <c r="R509" s="46"/>
      <c r="S509" s="46"/>
      <c r="T509" s="46"/>
      <c r="U509" s="46"/>
      <c r="V509" s="46"/>
      <c r="W509" s="62"/>
      <c r="X509" s="67"/>
      <c r="Y509" s="68" t="str" cm="1">
        <f t="array" ref="Y509">CalculerNouvelleDate(I509,X509)</f>
        <v/>
      </c>
      <c r="Z509" s="68" t="str" cm="1">
        <f t="array" ref="Z509">CalculerNouvelleDate(J509,Y509)</f>
        <v/>
      </c>
      <c r="AA509" s="68" t="str" cm="1">
        <f t="array" ref="AA509">CalculerNouvelleDate(K509,Z509)</f>
        <v/>
      </c>
      <c r="AB509" s="68" t="str" cm="1">
        <f t="array" ref="AB509">CalculerNouvelleDate(L509,AA509)</f>
        <v/>
      </c>
      <c r="AC509" s="68" t="str" cm="1">
        <f t="array" ref="AC509">CalculerNouvelleDate(M509,AB509)</f>
        <v/>
      </c>
      <c r="AD509" s="68" t="str" cm="1">
        <f t="array" ref="AD509">CalculerNouvelleDate(N509,AC509)</f>
        <v/>
      </c>
      <c r="AE509" s="68" t="str" cm="1">
        <f t="array" ref="AE509">CalculerNouvelleDate(O509,AD509)</f>
        <v/>
      </c>
      <c r="AF509" s="68" t="str" cm="1">
        <f t="array" ref="AF509">CalculerNouvelleDate(P509,AE509)</f>
        <v/>
      </c>
      <c r="AG509" s="68" t="str" cm="1">
        <f t="array" ref="AG509">CalculerNouvelleDate(Q509,AF509)</f>
        <v/>
      </c>
      <c r="AH509" s="68" t="str" cm="1">
        <f t="array" ref="AH509">CalculerNouvelleDate(R509,AG509)</f>
        <v/>
      </c>
      <c r="AI509" s="68" t="str" cm="1">
        <f t="array" ref="AI509">CalculerNouvelleDate(S509,AH509)</f>
        <v/>
      </c>
      <c r="AJ509" s="68" t="str" cm="1">
        <f t="array" ref="AJ509">CalculerNouvelleDate(T509,AI509)</f>
        <v/>
      </c>
      <c r="AK509" s="68" t="str" cm="1">
        <f t="array" ref="AK509">CalculerNouvelleDate(U509,AJ509)</f>
        <v/>
      </c>
      <c r="AL509" s="68" t="str" cm="1">
        <f t="array" ref="AL509">CalculerNouvelleDate(V509,AK509)</f>
        <v/>
      </c>
      <c r="AM509" s="83" t="str" cm="1">
        <f t="array" ref="AM509">CorrespondanceDAte(X509:AL509,D510)</f>
        <v>0</v>
      </c>
      <c r="AN509" s="1"/>
      <c r="AO509" s="1"/>
      <c r="AP509" s="1"/>
      <c r="AQ509" s="1"/>
      <c r="AR509" s="1"/>
      <c r="AS509" s="1"/>
      <c r="AT509" s="1"/>
      <c r="AU509" s="1"/>
      <c r="AV509" s="1"/>
      <c r="AW509" s="1"/>
      <c r="AX509" s="1"/>
      <c r="AY509" s="1"/>
      <c r="AZ509" s="1"/>
      <c r="BA509" s="1"/>
    </row>
    <row r="510" spans="1:53" x14ac:dyDescent="0.3">
      <c r="A510" s="20" t="s">
        <v>113</v>
      </c>
      <c r="B510" s="19"/>
      <c r="C510" s="19"/>
      <c r="D510" s="19"/>
      <c r="E510" s="19"/>
      <c r="F510" s="22"/>
      <c r="G510" s="22"/>
      <c r="H510" s="43"/>
      <c r="I510" s="1"/>
      <c r="J510" s="1"/>
      <c r="K510" s="1"/>
      <c r="L510" s="1"/>
      <c r="M510" s="1"/>
      <c r="N510" s="1"/>
      <c r="O510" s="1"/>
      <c r="P510" s="1"/>
      <c r="Q510" s="1"/>
      <c r="R510" s="1"/>
      <c r="S510" s="1"/>
      <c r="T510" s="1"/>
      <c r="U510" s="1"/>
      <c r="V510" s="1"/>
      <c r="W510" s="11"/>
      <c r="X510" s="67"/>
      <c r="Y510" s="68" t="str" cm="1">
        <f t="array" ref="Y510">CalculerNouvelleDate(I510,X510)</f>
        <v/>
      </c>
      <c r="Z510" s="68" t="str" cm="1">
        <f t="array" ref="Z510">CalculerNouvelleDate(J510,Y510)</f>
        <v/>
      </c>
      <c r="AA510" s="68" t="str" cm="1">
        <f t="array" ref="AA510">CalculerNouvelleDate(K510,Z510)</f>
        <v/>
      </c>
      <c r="AB510" s="68" t="str" cm="1">
        <f t="array" ref="AB510">CalculerNouvelleDate(L510,AA510)</f>
        <v/>
      </c>
      <c r="AC510" s="68" t="str" cm="1">
        <f t="array" ref="AC510">CalculerNouvelleDate(M510,AB510)</f>
        <v/>
      </c>
      <c r="AD510" s="68" t="str" cm="1">
        <f t="array" ref="AD510">CalculerNouvelleDate(N510,AC510)</f>
        <v/>
      </c>
      <c r="AE510" s="68" t="str" cm="1">
        <f t="array" ref="AE510">CalculerNouvelleDate(O510,AD510)</f>
        <v/>
      </c>
      <c r="AF510" s="68" t="str" cm="1">
        <f t="array" ref="AF510">CalculerNouvelleDate(P510,AE510)</f>
        <v/>
      </c>
      <c r="AG510" s="68" t="str" cm="1">
        <f t="array" ref="AG510">CalculerNouvelleDate(Q510,AF510)</f>
        <v/>
      </c>
      <c r="AH510" s="68" t="str" cm="1">
        <f t="array" ref="AH510">CalculerNouvelleDate(R510,AG510)</f>
        <v/>
      </c>
      <c r="AI510" s="68" t="str" cm="1">
        <f t="array" ref="AI510">CalculerNouvelleDate(S510,AH510)</f>
        <v/>
      </c>
      <c r="AJ510" s="68" t="str" cm="1">
        <f t="array" ref="AJ510">CalculerNouvelleDate(T510,AI510)</f>
        <v/>
      </c>
      <c r="AK510" s="68" t="str" cm="1">
        <f t="array" ref="AK510">CalculerNouvelleDate(U510,AJ510)</f>
        <v/>
      </c>
      <c r="AL510" s="68" t="str" cm="1">
        <f t="array" ref="AL510">CalculerNouvelleDate(V510,AK510)</f>
        <v/>
      </c>
      <c r="AM510" s="83" t="str" cm="1">
        <f t="array" ref="AM510">CorrespondanceDAte(X510:AL510,D511)</f>
        <v>0</v>
      </c>
      <c r="AN510" s="1"/>
      <c r="AO510" s="1"/>
      <c r="AP510" s="1"/>
      <c r="AQ510" s="1"/>
      <c r="AR510" s="1"/>
      <c r="AS510" s="1"/>
      <c r="AT510" s="1"/>
      <c r="AU510" s="1"/>
      <c r="AV510" s="1"/>
      <c r="AW510" s="1"/>
      <c r="AX510" s="1"/>
      <c r="AY510" s="1"/>
      <c r="AZ510" s="1"/>
      <c r="BA510" s="1"/>
    </row>
    <row r="511" spans="1:53" x14ac:dyDescent="0.3">
      <c r="A511" s="1"/>
      <c r="B511" s="11">
        <v>1</v>
      </c>
      <c r="C511" s="1" t="s">
        <v>117</v>
      </c>
      <c r="D511" s="1"/>
      <c r="E511" s="1"/>
      <c r="F511" s="1"/>
      <c r="G511" s="1"/>
      <c r="H511" s="43"/>
      <c r="I511" s="1"/>
      <c r="J511" s="1"/>
      <c r="K511" s="1"/>
      <c r="L511" s="1"/>
      <c r="M511" s="1"/>
      <c r="N511" s="1"/>
      <c r="O511" s="1"/>
      <c r="P511" s="1"/>
      <c r="Q511" s="1"/>
      <c r="R511" s="1"/>
      <c r="S511" s="1"/>
      <c r="T511" s="1"/>
      <c r="U511" s="1"/>
      <c r="V511" s="1"/>
      <c r="W511" s="11"/>
      <c r="X511" s="67"/>
      <c r="Y511" s="68" t="str" cm="1">
        <f t="array" ref="Y511">CalculerNouvelleDate(I511,X511)</f>
        <v/>
      </c>
      <c r="Z511" s="68" t="str" cm="1">
        <f t="array" ref="Z511">CalculerNouvelleDate(J511,Y511)</f>
        <v/>
      </c>
      <c r="AA511" s="68" t="str" cm="1">
        <f t="array" ref="AA511">CalculerNouvelleDate(K511,Z511)</f>
        <v/>
      </c>
      <c r="AB511" s="68" t="str" cm="1">
        <f t="array" ref="AB511">CalculerNouvelleDate(L511,AA511)</f>
        <v/>
      </c>
      <c r="AC511" s="68" t="str" cm="1">
        <f t="array" ref="AC511">CalculerNouvelleDate(M511,AB511)</f>
        <v/>
      </c>
      <c r="AD511" s="68" t="str" cm="1">
        <f t="array" ref="AD511">CalculerNouvelleDate(N511,AC511)</f>
        <v/>
      </c>
      <c r="AE511" s="68" t="str" cm="1">
        <f t="array" ref="AE511">CalculerNouvelleDate(O511,AD511)</f>
        <v/>
      </c>
      <c r="AF511" s="68" t="str" cm="1">
        <f t="array" ref="AF511">CalculerNouvelleDate(P511,AE511)</f>
        <v/>
      </c>
      <c r="AG511" s="68" t="str" cm="1">
        <f t="array" ref="AG511">CalculerNouvelleDate(Q511,AF511)</f>
        <v/>
      </c>
      <c r="AH511" s="68" t="str" cm="1">
        <f t="array" ref="AH511">CalculerNouvelleDate(R511,AG511)</f>
        <v/>
      </c>
      <c r="AI511" s="68" t="str" cm="1">
        <f t="array" ref="AI511">CalculerNouvelleDate(S511,AH511)</f>
        <v/>
      </c>
      <c r="AJ511" s="68" t="str" cm="1">
        <f t="array" ref="AJ511">CalculerNouvelleDate(T511,AI511)</f>
        <v/>
      </c>
      <c r="AK511" s="68" t="str" cm="1">
        <f t="array" ref="AK511">CalculerNouvelleDate(U511,AJ511)</f>
        <v/>
      </c>
      <c r="AL511" s="68" t="str" cm="1">
        <f t="array" ref="AL511">CalculerNouvelleDate(V511,AK511)</f>
        <v/>
      </c>
      <c r="AM511" s="83" t="str" cm="1">
        <f t="array" ref="AM511">CorrespondanceDAte(X511:AL511,D512)</f>
        <v>0</v>
      </c>
      <c r="AN511" s="1"/>
      <c r="AO511" s="1"/>
      <c r="AP511" s="1"/>
      <c r="AQ511" s="1"/>
      <c r="AR511" s="1"/>
      <c r="AS511" s="1"/>
      <c r="AT511" s="1"/>
      <c r="AU511" s="1"/>
      <c r="AV511" s="1"/>
      <c r="AW511" s="1"/>
      <c r="AX511" s="1"/>
      <c r="AY511" s="1"/>
      <c r="AZ511" s="1"/>
      <c r="BA511" s="1"/>
    </row>
    <row r="512" spans="1:53" x14ac:dyDescent="0.3">
      <c r="A512" s="1"/>
      <c r="B512" s="11"/>
      <c r="C512" s="69" t="s">
        <v>531</v>
      </c>
      <c r="D512" s="1"/>
      <c r="E512" s="1"/>
      <c r="F512" s="1"/>
      <c r="G512" s="1"/>
      <c r="H512" s="43"/>
      <c r="I512" s="46"/>
      <c r="J512" s="46"/>
      <c r="K512" s="46"/>
      <c r="L512" s="46"/>
      <c r="M512" s="46"/>
      <c r="N512" s="46"/>
      <c r="O512" s="46"/>
      <c r="P512" s="46"/>
      <c r="Q512" s="46"/>
      <c r="R512" s="46"/>
      <c r="S512" s="46"/>
      <c r="T512" s="46"/>
      <c r="U512" s="46"/>
      <c r="V512" s="46"/>
      <c r="W512" s="62"/>
      <c r="X512" s="67"/>
      <c r="Y512" s="68" t="str" cm="1">
        <f t="array" ref="Y512">CalculerNouvelleDate(I512,X512)</f>
        <v/>
      </c>
      <c r="Z512" s="68" t="str" cm="1">
        <f t="array" ref="Z512">CalculerNouvelleDate(J512,Y512)</f>
        <v/>
      </c>
      <c r="AA512" s="68" t="str" cm="1">
        <f t="array" ref="AA512">CalculerNouvelleDate(K512,Z512)</f>
        <v/>
      </c>
      <c r="AB512" s="68" t="str" cm="1">
        <f t="array" ref="AB512">CalculerNouvelleDate(L512,AA512)</f>
        <v/>
      </c>
      <c r="AC512" s="68" t="str" cm="1">
        <f t="array" ref="AC512">CalculerNouvelleDate(M512,AB512)</f>
        <v/>
      </c>
      <c r="AD512" s="68" t="str" cm="1">
        <f t="array" ref="AD512">CalculerNouvelleDate(N512,AC512)</f>
        <v/>
      </c>
      <c r="AE512" s="68" t="str" cm="1">
        <f t="array" ref="AE512">CalculerNouvelleDate(O512,AD512)</f>
        <v/>
      </c>
      <c r="AF512" s="68" t="str" cm="1">
        <f t="array" ref="AF512">CalculerNouvelleDate(P512,AE512)</f>
        <v/>
      </c>
      <c r="AG512" s="68" t="str" cm="1">
        <f t="array" ref="AG512">CalculerNouvelleDate(Q512,AF512)</f>
        <v/>
      </c>
      <c r="AH512" s="68" t="str" cm="1">
        <f t="array" ref="AH512">CalculerNouvelleDate(R512,AG512)</f>
        <v/>
      </c>
      <c r="AI512" s="68" t="str" cm="1">
        <f t="array" ref="AI512">CalculerNouvelleDate(S512,AH512)</f>
        <v/>
      </c>
      <c r="AJ512" s="68" t="str" cm="1">
        <f t="array" ref="AJ512">CalculerNouvelleDate(T512,AI512)</f>
        <v/>
      </c>
      <c r="AK512" s="68" t="str" cm="1">
        <f t="array" ref="AK512">CalculerNouvelleDate(U512,AJ512)</f>
        <v/>
      </c>
      <c r="AL512" s="68" t="str" cm="1">
        <f t="array" ref="AL512">CalculerNouvelleDate(V512,AK512)</f>
        <v/>
      </c>
      <c r="AM512" s="83" t="str" cm="1">
        <f t="array" ref="AM512">CorrespondanceDAte(X512:AL512,D513)</f>
        <v>0</v>
      </c>
      <c r="AN512" s="1"/>
      <c r="AO512" s="1"/>
      <c r="AP512" s="1"/>
      <c r="AQ512" s="1"/>
      <c r="AR512" s="1"/>
      <c r="AS512" s="1"/>
      <c r="AT512" s="1"/>
      <c r="AU512" s="1"/>
      <c r="AV512" s="1"/>
      <c r="AW512" s="1"/>
      <c r="AX512" s="1"/>
      <c r="AY512" s="1"/>
      <c r="AZ512" s="1"/>
      <c r="BA512" s="1"/>
    </row>
    <row r="513" spans="1:53" x14ac:dyDescent="0.3">
      <c r="A513" s="1"/>
      <c r="B513" s="11"/>
      <c r="C513" s="69" t="s">
        <v>534</v>
      </c>
      <c r="D513" s="1"/>
      <c r="E513" s="1"/>
      <c r="F513" s="1"/>
      <c r="G513" s="1"/>
      <c r="H513" s="43"/>
      <c r="I513" s="46"/>
      <c r="J513" s="46"/>
      <c r="K513" s="46"/>
      <c r="L513" s="46"/>
      <c r="M513" s="46"/>
      <c r="N513" s="46"/>
      <c r="O513" s="46"/>
      <c r="P513" s="46"/>
      <c r="Q513" s="46"/>
      <c r="R513" s="46"/>
      <c r="S513" s="46"/>
      <c r="T513" s="46"/>
      <c r="U513" s="46"/>
      <c r="V513" s="46"/>
      <c r="W513" s="62"/>
      <c r="X513" s="67"/>
      <c r="Y513" s="68" t="str" cm="1">
        <f t="array" ref="Y513">CalculerNouvelleDate(I513,X513)</f>
        <v/>
      </c>
      <c r="Z513" s="68" t="str" cm="1">
        <f t="array" ref="Z513">CalculerNouvelleDate(J513,Y513)</f>
        <v/>
      </c>
      <c r="AA513" s="68" t="str" cm="1">
        <f t="array" ref="AA513">CalculerNouvelleDate(K513,Z513)</f>
        <v/>
      </c>
      <c r="AB513" s="68" t="str" cm="1">
        <f t="array" ref="AB513">CalculerNouvelleDate(L513,AA513)</f>
        <v/>
      </c>
      <c r="AC513" s="68" t="str" cm="1">
        <f t="array" ref="AC513">CalculerNouvelleDate(M513,AB513)</f>
        <v/>
      </c>
      <c r="AD513" s="68" t="str" cm="1">
        <f t="array" ref="AD513">CalculerNouvelleDate(N513,AC513)</f>
        <v/>
      </c>
      <c r="AE513" s="68" t="str" cm="1">
        <f t="array" ref="AE513">CalculerNouvelleDate(O513,AD513)</f>
        <v/>
      </c>
      <c r="AF513" s="68" t="str" cm="1">
        <f t="array" ref="AF513">CalculerNouvelleDate(P513,AE513)</f>
        <v/>
      </c>
      <c r="AG513" s="68" t="str" cm="1">
        <f t="array" ref="AG513">CalculerNouvelleDate(Q513,AF513)</f>
        <v/>
      </c>
      <c r="AH513" s="68" t="str" cm="1">
        <f t="array" ref="AH513">CalculerNouvelleDate(R513,AG513)</f>
        <v/>
      </c>
      <c r="AI513" s="68" t="str" cm="1">
        <f t="array" ref="AI513">CalculerNouvelleDate(S513,AH513)</f>
        <v/>
      </c>
      <c r="AJ513" s="68" t="str" cm="1">
        <f t="array" ref="AJ513">CalculerNouvelleDate(T513,AI513)</f>
        <v/>
      </c>
      <c r="AK513" s="68" t="str" cm="1">
        <f t="array" ref="AK513">CalculerNouvelleDate(U513,AJ513)</f>
        <v/>
      </c>
      <c r="AL513" s="68" t="str" cm="1">
        <f t="array" ref="AL513">CalculerNouvelleDate(V513,AK513)</f>
        <v/>
      </c>
      <c r="AM513" s="83" t="str" cm="1">
        <f t="array" ref="AM513">CorrespondanceDAte(X513:AL513,D514)</f>
        <v>0</v>
      </c>
      <c r="AN513" s="1"/>
      <c r="AO513" s="1"/>
      <c r="AP513" s="1"/>
      <c r="AQ513" s="1"/>
      <c r="AR513" s="1"/>
      <c r="AS513" s="1"/>
      <c r="AT513" s="1"/>
      <c r="AU513" s="1"/>
      <c r="AV513" s="1"/>
      <c r="AW513" s="1"/>
      <c r="AX513" s="1"/>
      <c r="AY513" s="1"/>
      <c r="AZ513" s="1"/>
      <c r="BA513" s="1"/>
    </row>
    <row r="514" spans="1:53" x14ac:dyDescent="0.3">
      <c r="A514" s="1"/>
      <c r="B514" s="11"/>
      <c r="C514" s="69" t="s">
        <v>538</v>
      </c>
      <c r="D514" s="1"/>
      <c r="E514" s="1"/>
      <c r="F514" s="1"/>
      <c r="G514" s="1"/>
      <c r="H514" s="43"/>
      <c r="I514" s="46"/>
      <c r="J514" s="46"/>
      <c r="K514" s="46"/>
      <c r="L514" s="46"/>
      <c r="M514" s="46"/>
      <c r="N514" s="46"/>
      <c r="O514" s="46"/>
      <c r="P514" s="46"/>
      <c r="Q514" s="46"/>
      <c r="R514" s="46"/>
      <c r="S514" s="46"/>
      <c r="T514" s="46"/>
      <c r="U514" s="46"/>
      <c r="V514" s="46"/>
      <c r="W514" s="62"/>
      <c r="X514" s="67"/>
      <c r="Y514" s="68" t="str" cm="1">
        <f t="array" ref="Y514">CalculerNouvelleDate(I514,X514)</f>
        <v/>
      </c>
      <c r="Z514" s="68" t="str" cm="1">
        <f t="array" ref="Z514">CalculerNouvelleDate(J514,Y514)</f>
        <v/>
      </c>
      <c r="AA514" s="68" t="str" cm="1">
        <f t="array" ref="AA514">CalculerNouvelleDate(K514,Z514)</f>
        <v/>
      </c>
      <c r="AB514" s="68" t="str" cm="1">
        <f t="array" ref="AB514">CalculerNouvelleDate(L514,AA514)</f>
        <v/>
      </c>
      <c r="AC514" s="68" t="str" cm="1">
        <f t="array" ref="AC514">CalculerNouvelleDate(M514,AB514)</f>
        <v/>
      </c>
      <c r="AD514" s="68" t="str" cm="1">
        <f t="array" ref="AD514">CalculerNouvelleDate(N514,AC514)</f>
        <v/>
      </c>
      <c r="AE514" s="68" t="str" cm="1">
        <f t="array" ref="AE514">CalculerNouvelleDate(O514,AD514)</f>
        <v/>
      </c>
      <c r="AF514" s="68" t="str" cm="1">
        <f t="array" ref="AF514">CalculerNouvelleDate(P514,AE514)</f>
        <v/>
      </c>
      <c r="AG514" s="68" t="str" cm="1">
        <f t="array" ref="AG514">CalculerNouvelleDate(Q514,AF514)</f>
        <v/>
      </c>
      <c r="AH514" s="68" t="str" cm="1">
        <f t="array" ref="AH514">CalculerNouvelleDate(R514,AG514)</f>
        <v/>
      </c>
      <c r="AI514" s="68" t="str" cm="1">
        <f t="array" ref="AI514">CalculerNouvelleDate(S514,AH514)</f>
        <v/>
      </c>
      <c r="AJ514" s="68" t="str" cm="1">
        <f t="array" ref="AJ514">CalculerNouvelleDate(T514,AI514)</f>
        <v/>
      </c>
      <c r="AK514" s="68" t="str" cm="1">
        <f t="array" ref="AK514">CalculerNouvelleDate(U514,AJ514)</f>
        <v/>
      </c>
      <c r="AL514" s="68" t="str" cm="1">
        <f t="array" ref="AL514">CalculerNouvelleDate(V514,AK514)</f>
        <v/>
      </c>
      <c r="AM514" s="83" t="str" cm="1">
        <f t="array" ref="AM514">CorrespondanceDAte(X514:AL514,D515)</f>
        <v>0</v>
      </c>
      <c r="AN514" s="1"/>
      <c r="AO514" s="1"/>
      <c r="AP514" s="1"/>
      <c r="AQ514" s="1"/>
      <c r="AR514" s="1"/>
      <c r="AS514" s="1"/>
      <c r="AT514" s="1"/>
      <c r="AU514" s="1"/>
      <c r="AV514" s="1"/>
      <c r="AW514" s="1"/>
      <c r="AX514" s="1"/>
      <c r="AY514" s="1"/>
      <c r="AZ514" s="1"/>
      <c r="BA514" s="1"/>
    </row>
    <row r="515" spans="1:53" x14ac:dyDescent="0.3">
      <c r="A515" s="1"/>
      <c r="B515" s="11"/>
      <c r="C515" s="69" t="s">
        <v>539</v>
      </c>
      <c r="D515" s="1"/>
      <c r="E515" s="1"/>
      <c r="F515" s="1"/>
      <c r="G515" s="1"/>
      <c r="H515" s="43"/>
      <c r="I515" s="46"/>
      <c r="J515" s="46"/>
      <c r="K515" s="46"/>
      <c r="L515" s="46"/>
      <c r="M515" s="46"/>
      <c r="N515" s="46"/>
      <c r="O515" s="46"/>
      <c r="P515" s="46"/>
      <c r="Q515" s="46"/>
      <c r="R515" s="46"/>
      <c r="S515" s="46"/>
      <c r="T515" s="46"/>
      <c r="U515" s="46"/>
      <c r="V515" s="46"/>
      <c r="W515" s="62"/>
      <c r="X515" s="67"/>
      <c r="Y515" s="68" t="str" cm="1">
        <f t="array" ref="Y515">CalculerNouvelleDate(I515,X515)</f>
        <v/>
      </c>
      <c r="Z515" s="68" t="str" cm="1">
        <f t="array" ref="Z515">CalculerNouvelleDate(J515,Y515)</f>
        <v/>
      </c>
      <c r="AA515" s="68" t="str" cm="1">
        <f t="array" ref="AA515">CalculerNouvelleDate(K515,Z515)</f>
        <v/>
      </c>
      <c r="AB515" s="68" t="str" cm="1">
        <f t="array" ref="AB515">CalculerNouvelleDate(L515,AA515)</f>
        <v/>
      </c>
      <c r="AC515" s="68" t="str" cm="1">
        <f t="array" ref="AC515">CalculerNouvelleDate(M515,AB515)</f>
        <v/>
      </c>
      <c r="AD515" s="68" t="str" cm="1">
        <f t="array" ref="AD515">CalculerNouvelleDate(N515,AC515)</f>
        <v/>
      </c>
      <c r="AE515" s="68" t="str" cm="1">
        <f t="array" ref="AE515">CalculerNouvelleDate(O515,AD515)</f>
        <v/>
      </c>
      <c r="AF515" s="68" t="str" cm="1">
        <f t="array" ref="AF515">CalculerNouvelleDate(P515,AE515)</f>
        <v/>
      </c>
      <c r="AG515" s="68" t="str" cm="1">
        <f t="array" ref="AG515">CalculerNouvelleDate(Q515,AF515)</f>
        <v/>
      </c>
      <c r="AH515" s="68" t="str" cm="1">
        <f t="array" ref="AH515">CalculerNouvelleDate(R515,AG515)</f>
        <v/>
      </c>
      <c r="AI515" s="68" t="str" cm="1">
        <f t="array" ref="AI515">CalculerNouvelleDate(S515,AH515)</f>
        <v/>
      </c>
      <c r="AJ515" s="68" t="str" cm="1">
        <f t="array" ref="AJ515">CalculerNouvelleDate(T515,AI515)</f>
        <v/>
      </c>
      <c r="AK515" s="68" t="str" cm="1">
        <f t="array" ref="AK515">CalculerNouvelleDate(U515,AJ515)</f>
        <v/>
      </c>
      <c r="AL515" s="68" t="str" cm="1">
        <f t="array" ref="AL515">CalculerNouvelleDate(V515,AK515)</f>
        <v/>
      </c>
      <c r="AM515" s="83" t="str" cm="1">
        <f t="array" ref="AM515">CorrespondanceDAte(X515:AL515,D516)</f>
        <v>0</v>
      </c>
      <c r="AN515" s="1"/>
      <c r="AO515" s="1"/>
      <c r="AP515" s="1"/>
      <c r="AQ515" s="1"/>
      <c r="AR515" s="1"/>
      <c r="AS515" s="1"/>
      <c r="AT515" s="1"/>
      <c r="AU515" s="1"/>
      <c r="AV515" s="1"/>
      <c r="AW515" s="1"/>
      <c r="AX515" s="1"/>
      <c r="AY515" s="1"/>
      <c r="AZ515" s="1"/>
      <c r="BA515" s="1"/>
    </row>
    <row r="516" spans="1:53" x14ac:dyDescent="0.3">
      <c r="A516" s="1"/>
      <c r="B516" s="11"/>
      <c r="C516" s="69" t="s">
        <v>540</v>
      </c>
      <c r="D516" s="1"/>
      <c r="E516" s="1"/>
      <c r="F516" s="1"/>
      <c r="G516" s="1"/>
      <c r="H516" s="43"/>
      <c r="I516" s="46"/>
      <c r="J516" s="46"/>
      <c r="K516" s="46"/>
      <c r="L516" s="46"/>
      <c r="M516" s="46"/>
      <c r="N516" s="46"/>
      <c r="O516" s="46"/>
      <c r="P516" s="46"/>
      <c r="Q516" s="46"/>
      <c r="R516" s="46"/>
      <c r="S516" s="46"/>
      <c r="T516" s="46"/>
      <c r="U516" s="46"/>
      <c r="V516" s="46"/>
      <c r="W516" s="62"/>
      <c r="X516" s="67"/>
      <c r="Y516" s="68" t="str" cm="1">
        <f t="array" ref="Y516">CalculerNouvelleDate(I516,X516)</f>
        <v/>
      </c>
      <c r="Z516" s="68" t="str" cm="1">
        <f t="array" ref="Z516">CalculerNouvelleDate(J516,Y516)</f>
        <v/>
      </c>
      <c r="AA516" s="68" t="str" cm="1">
        <f t="array" ref="AA516">CalculerNouvelleDate(K516,Z516)</f>
        <v/>
      </c>
      <c r="AB516" s="68" t="str" cm="1">
        <f t="array" ref="AB516">CalculerNouvelleDate(L516,AA516)</f>
        <v/>
      </c>
      <c r="AC516" s="68" t="str" cm="1">
        <f t="array" ref="AC516">CalculerNouvelleDate(M516,AB516)</f>
        <v/>
      </c>
      <c r="AD516" s="68" t="str" cm="1">
        <f t="array" ref="AD516">CalculerNouvelleDate(N516,AC516)</f>
        <v/>
      </c>
      <c r="AE516" s="68" t="str" cm="1">
        <f t="array" ref="AE516">CalculerNouvelleDate(O516,AD516)</f>
        <v/>
      </c>
      <c r="AF516" s="68" t="str" cm="1">
        <f t="array" ref="AF516">CalculerNouvelleDate(P516,AE516)</f>
        <v/>
      </c>
      <c r="AG516" s="68" t="str" cm="1">
        <f t="array" ref="AG516">CalculerNouvelleDate(Q516,AF516)</f>
        <v/>
      </c>
      <c r="AH516" s="68" t="str" cm="1">
        <f t="array" ref="AH516">CalculerNouvelleDate(R516,AG516)</f>
        <v/>
      </c>
      <c r="AI516" s="68" t="str" cm="1">
        <f t="array" ref="AI516">CalculerNouvelleDate(S516,AH516)</f>
        <v/>
      </c>
      <c r="AJ516" s="68" t="str" cm="1">
        <f t="array" ref="AJ516">CalculerNouvelleDate(T516,AI516)</f>
        <v/>
      </c>
      <c r="AK516" s="68" t="str" cm="1">
        <f t="array" ref="AK516">CalculerNouvelleDate(U516,AJ516)</f>
        <v/>
      </c>
      <c r="AL516" s="68" t="str" cm="1">
        <f t="array" ref="AL516">CalculerNouvelleDate(V516,AK516)</f>
        <v/>
      </c>
      <c r="AM516" s="83" t="str" cm="1">
        <f t="array" ref="AM516">CorrespondanceDAte(X516:AL516,D517)</f>
        <v>0</v>
      </c>
      <c r="AN516" s="1"/>
      <c r="AO516" s="1"/>
      <c r="AP516" s="1"/>
      <c r="AQ516" s="1"/>
      <c r="AR516" s="1"/>
      <c r="AS516" s="1"/>
      <c r="AT516" s="1"/>
      <c r="AU516" s="1"/>
      <c r="AV516" s="1"/>
      <c r="AW516" s="1"/>
      <c r="AX516" s="1"/>
      <c r="AY516" s="1"/>
      <c r="AZ516" s="1"/>
      <c r="BA516" s="1"/>
    </row>
    <row r="517" spans="1:53" x14ac:dyDescent="0.3">
      <c r="A517" s="1"/>
      <c r="B517" s="11"/>
      <c r="C517" s="69" t="s">
        <v>637</v>
      </c>
      <c r="D517" s="1"/>
      <c r="E517" s="1"/>
      <c r="F517" s="1"/>
      <c r="G517" s="1"/>
      <c r="H517" s="43"/>
      <c r="I517" s="46"/>
      <c r="J517" s="46"/>
      <c r="K517" s="46"/>
      <c r="L517" s="46"/>
      <c r="M517" s="46"/>
      <c r="N517" s="46"/>
      <c r="O517" s="46"/>
      <c r="P517" s="46"/>
      <c r="Q517" s="46"/>
      <c r="R517" s="46"/>
      <c r="S517" s="46"/>
      <c r="T517" s="46"/>
      <c r="U517" s="46"/>
      <c r="V517" s="46"/>
      <c r="W517" s="62"/>
      <c r="X517" s="67"/>
      <c r="Y517" s="68" t="str" cm="1">
        <f t="array" ref="Y517">CalculerNouvelleDate(I517,X517)</f>
        <v/>
      </c>
      <c r="Z517" s="68" t="str" cm="1">
        <f t="array" ref="Z517">CalculerNouvelleDate(J517,Y517)</f>
        <v/>
      </c>
      <c r="AA517" s="68" t="str" cm="1">
        <f t="array" ref="AA517">CalculerNouvelleDate(K517,Z517)</f>
        <v/>
      </c>
      <c r="AB517" s="68" t="str" cm="1">
        <f t="array" ref="AB517">CalculerNouvelleDate(L517,AA517)</f>
        <v/>
      </c>
      <c r="AC517" s="68" t="str" cm="1">
        <f t="array" ref="AC517">CalculerNouvelleDate(M517,AB517)</f>
        <v/>
      </c>
      <c r="AD517" s="68" t="str" cm="1">
        <f t="array" ref="AD517">CalculerNouvelleDate(N517,AC517)</f>
        <v/>
      </c>
      <c r="AE517" s="68" t="str" cm="1">
        <f t="array" ref="AE517">CalculerNouvelleDate(O517,AD517)</f>
        <v/>
      </c>
      <c r="AF517" s="68" t="str" cm="1">
        <f t="array" ref="AF517">CalculerNouvelleDate(P517,AE517)</f>
        <v/>
      </c>
      <c r="AG517" s="68" t="str" cm="1">
        <f t="array" ref="AG517">CalculerNouvelleDate(Q517,AF517)</f>
        <v/>
      </c>
      <c r="AH517" s="68" t="str" cm="1">
        <f t="array" ref="AH517">CalculerNouvelleDate(R517,AG517)</f>
        <v/>
      </c>
      <c r="AI517" s="68" t="str" cm="1">
        <f t="array" ref="AI517">CalculerNouvelleDate(S517,AH517)</f>
        <v/>
      </c>
      <c r="AJ517" s="68" t="str" cm="1">
        <f t="array" ref="AJ517">CalculerNouvelleDate(T517,AI517)</f>
        <v/>
      </c>
      <c r="AK517" s="68" t="str" cm="1">
        <f t="array" ref="AK517">CalculerNouvelleDate(U517,AJ517)</f>
        <v/>
      </c>
      <c r="AL517" s="68" t="str" cm="1">
        <f t="array" ref="AL517">CalculerNouvelleDate(V517,AK517)</f>
        <v/>
      </c>
      <c r="AM517" s="83" t="str" cm="1">
        <f t="array" ref="AM517">CorrespondanceDAte(X517:AL517,D518)</f>
        <v>0</v>
      </c>
      <c r="AN517" s="1"/>
      <c r="AO517" s="1"/>
      <c r="AP517" s="1"/>
      <c r="AQ517" s="1"/>
      <c r="AR517" s="1"/>
      <c r="AS517" s="1"/>
      <c r="AT517" s="1"/>
      <c r="AU517" s="1"/>
      <c r="AV517" s="1"/>
      <c r="AW517" s="1"/>
      <c r="AX517" s="1"/>
      <c r="AY517" s="1"/>
      <c r="AZ517" s="1"/>
      <c r="BA517" s="1"/>
    </row>
    <row r="518" spans="1:53" x14ac:dyDescent="0.3">
      <c r="A518" s="1"/>
      <c r="B518" s="11">
        <v>2</v>
      </c>
      <c r="C518" s="1" t="s">
        <v>118</v>
      </c>
      <c r="D518" s="1"/>
      <c r="E518" s="1"/>
      <c r="F518" s="1"/>
      <c r="G518" s="1"/>
      <c r="H518" s="43"/>
      <c r="I518" s="1"/>
      <c r="J518" s="1"/>
      <c r="K518" s="1"/>
      <c r="L518" s="1"/>
      <c r="M518" s="1"/>
      <c r="N518" s="1"/>
      <c r="O518" s="1"/>
      <c r="P518" s="1"/>
      <c r="Q518" s="1"/>
      <c r="R518" s="1"/>
      <c r="S518" s="1"/>
      <c r="T518" s="1"/>
      <c r="U518" s="1"/>
      <c r="V518" s="1"/>
      <c r="W518" s="11"/>
      <c r="X518" s="67"/>
      <c r="Y518" s="68" t="str" cm="1">
        <f t="array" ref="Y518">CalculerNouvelleDate(I518,X518)</f>
        <v/>
      </c>
      <c r="Z518" s="68" t="str" cm="1">
        <f t="array" ref="Z518">CalculerNouvelleDate(J518,Y518)</f>
        <v/>
      </c>
      <c r="AA518" s="68" t="str" cm="1">
        <f t="array" ref="AA518">CalculerNouvelleDate(K518,Z518)</f>
        <v/>
      </c>
      <c r="AB518" s="68" t="str" cm="1">
        <f t="array" ref="AB518">CalculerNouvelleDate(L518,AA518)</f>
        <v/>
      </c>
      <c r="AC518" s="68" t="str" cm="1">
        <f t="array" ref="AC518">CalculerNouvelleDate(M518,AB518)</f>
        <v/>
      </c>
      <c r="AD518" s="68" t="str" cm="1">
        <f t="array" ref="AD518">CalculerNouvelleDate(N518,AC518)</f>
        <v/>
      </c>
      <c r="AE518" s="68" t="str" cm="1">
        <f t="array" ref="AE518">CalculerNouvelleDate(O518,AD518)</f>
        <v/>
      </c>
      <c r="AF518" s="68" t="str" cm="1">
        <f t="array" ref="AF518">CalculerNouvelleDate(P518,AE518)</f>
        <v/>
      </c>
      <c r="AG518" s="68" t="str" cm="1">
        <f t="array" ref="AG518">CalculerNouvelleDate(Q518,AF518)</f>
        <v/>
      </c>
      <c r="AH518" s="68" t="str" cm="1">
        <f t="array" ref="AH518">CalculerNouvelleDate(R518,AG518)</f>
        <v/>
      </c>
      <c r="AI518" s="68" t="str" cm="1">
        <f t="array" ref="AI518">CalculerNouvelleDate(S518,AH518)</f>
        <v/>
      </c>
      <c r="AJ518" s="68" t="str" cm="1">
        <f t="array" ref="AJ518">CalculerNouvelleDate(T518,AI518)</f>
        <v/>
      </c>
      <c r="AK518" s="68" t="str" cm="1">
        <f t="array" ref="AK518">CalculerNouvelleDate(U518,AJ518)</f>
        <v/>
      </c>
      <c r="AL518" s="68" t="str" cm="1">
        <f t="array" ref="AL518">CalculerNouvelleDate(V518,AK518)</f>
        <v/>
      </c>
      <c r="AM518" s="83" t="str" cm="1">
        <f t="array" ref="AM518">CorrespondanceDAte(X518:AL518,D519)</f>
        <v>0</v>
      </c>
      <c r="AN518" s="1"/>
      <c r="AO518" s="1"/>
      <c r="AP518" s="1"/>
      <c r="AQ518" s="1"/>
      <c r="AR518" s="1"/>
      <c r="AS518" s="1"/>
      <c r="AT518" s="1"/>
      <c r="AU518" s="1"/>
      <c r="AV518" s="1"/>
      <c r="AW518" s="1"/>
      <c r="AX518" s="1"/>
      <c r="AY518" s="1"/>
      <c r="AZ518" s="1"/>
      <c r="BA518" s="1"/>
    </row>
    <row r="519" spans="1:53" x14ac:dyDescent="0.3">
      <c r="A519" s="1"/>
      <c r="B519" s="11"/>
      <c r="C519" s="69" t="s">
        <v>533</v>
      </c>
      <c r="D519" s="1"/>
      <c r="E519" s="1"/>
      <c r="F519" s="1"/>
      <c r="G519" s="1"/>
      <c r="H519" s="43"/>
      <c r="I519" s="46"/>
      <c r="J519" s="46"/>
      <c r="K519" s="46"/>
      <c r="L519" s="46"/>
      <c r="M519" s="46"/>
      <c r="N519" s="46"/>
      <c r="O519" s="46"/>
      <c r="P519" s="46"/>
      <c r="Q519" s="46"/>
      <c r="R519" s="46"/>
      <c r="S519" s="46"/>
      <c r="T519" s="46"/>
      <c r="U519" s="46"/>
      <c r="V519" s="46"/>
      <c r="W519" s="62"/>
      <c r="X519" s="67"/>
      <c r="Y519" s="68" t="str" cm="1">
        <f t="array" ref="Y519">CalculerNouvelleDate(I519,X519)</f>
        <v/>
      </c>
      <c r="Z519" s="68" t="str" cm="1">
        <f t="array" ref="Z519">CalculerNouvelleDate(J519,Y519)</f>
        <v/>
      </c>
      <c r="AA519" s="68" t="str" cm="1">
        <f t="array" ref="AA519">CalculerNouvelleDate(K519,Z519)</f>
        <v/>
      </c>
      <c r="AB519" s="68" t="str" cm="1">
        <f t="array" ref="AB519">CalculerNouvelleDate(L519,AA519)</f>
        <v/>
      </c>
      <c r="AC519" s="68" t="str" cm="1">
        <f t="array" ref="AC519">CalculerNouvelleDate(M519,AB519)</f>
        <v/>
      </c>
      <c r="AD519" s="68" t="str" cm="1">
        <f t="array" ref="AD519">CalculerNouvelleDate(N519,AC519)</f>
        <v/>
      </c>
      <c r="AE519" s="68" t="str" cm="1">
        <f t="array" ref="AE519">CalculerNouvelleDate(O519,AD519)</f>
        <v/>
      </c>
      <c r="AF519" s="68" t="str" cm="1">
        <f t="array" ref="AF519">CalculerNouvelleDate(P519,AE519)</f>
        <v/>
      </c>
      <c r="AG519" s="68" t="str" cm="1">
        <f t="array" ref="AG519">CalculerNouvelleDate(Q519,AF519)</f>
        <v/>
      </c>
      <c r="AH519" s="68" t="str" cm="1">
        <f t="array" ref="AH519">CalculerNouvelleDate(R519,AG519)</f>
        <v/>
      </c>
      <c r="AI519" s="68" t="str" cm="1">
        <f t="array" ref="AI519">CalculerNouvelleDate(S519,AH519)</f>
        <v/>
      </c>
      <c r="AJ519" s="68" t="str" cm="1">
        <f t="array" ref="AJ519">CalculerNouvelleDate(T519,AI519)</f>
        <v/>
      </c>
      <c r="AK519" s="68" t="str" cm="1">
        <f t="array" ref="AK519">CalculerNouvelleDate(U519,AJ519)</f>
        <v/>
      </c>
      <c r="AL519" s="68" t="str" cm="1">
        <f t="array" ref="AL519">CalculerNouvelleDate(V519,AK519)</f>
        <v/>
      </c>
      <c r="AM519" s="83" t="str" cm="1">
        <f t="array" ref="AM519">CorrespondanceDAte(X519:AL519,D520)</f>
        <v>0</v>
      </c>
      <c r="AN519" s="1"/>
      <c r="AO519" s="1"/>
      <c r="AP519" s="1"/>
      <c r="AQ519" s="1"/>
      <c r="AR519" s="1"/>
      <c r="AS519" s="1"/>
      <c r="AT519" s="1"/>
      <c r="AU519" s="1"/>
      <c r="AV519" s="1"/>
      <c r="AW519" s="1"/>
      <c r="AX519" s="1"/>
      <c r="AY519" s="1"/>
      <c r="AZ519" s="1"/>
      <c r="BA519" s="1"/>
    </row>
    <row r="520" spans="1:53" x14ac:dyDescent="0.3">
      <c r="A520" s="1"/>
      <c r="B520" s="11"/>
      <c r="C520" s="69" t="s">
        <v>535</v>
      </c>
      <c r="D520" s="1"/>
      <c r="E520" s="1"/>
      <c r="F520" s="1"/>
      <c r="G520" s="1"/>
      <c r="H520" s="43"/>
      <c r="I520" s="46"/>
      <c r="J520" s="46"/>
      <c r="K520" s="46"/>
      <c r="L520" s="46"/>
      <c r="M520" s="46"/>
      <c r="N520" s="46"/>
      <c r="O520" s="46"/>
      <c r="P520" s="46"/>
      <c r="Q520" s="46"/>
      <c r="R520" s="46"/>
      <c r="S520" s="46"/>
      <c r="T520" s="46"/>
      <c r="U520" s="46"/>
      <c r="V520" s="46"/>
      <c r="W520" s="62"/>
      <c r="X520" s="67"/>
      <c r="Y520" s="68" t="str" cm="1">
        <f t="array" ref="Y520">CalculerNouvelleDate(I520,X520)</f>
        <v/>
      </c>
      <c r="Z520" s="68" t="str" cm="1">
        <f t="array" ref="Z520">CalculerNouvelleDate(J520,Y520)</f>
        <v/>
      </c>
      <c r="AA520" s="68" t="str" cm="1">
        <f t="array" ref="AA520">CalculerNouvelleDate(K520,Z520)</f>
        <v/>
      </c>
      <c r="AB520" s="68" t="str" cm="1">
        <f t="array" ref="AB520">CalculerNouvelleDate(L520,AA520)</f>
        <v/>
      </c>
      <c r="AC520" s="68" t="str" cm="1">
        <f t="array" ref="AC520">CalculerNouvelleDate(M520,AB520)</f>
        <v/>
      </c>
      <c r="AD520" s="68" t="str" cm="1">
        <f t="array" ref="AD520">CalculerNouvelleDate(N520,AC520)</f>
        <v/>
      </c>
      <c r="AE520" s="68" t="str" cm="1">
        <f t="array" ref="AE520">CalculerNouvelleDate(O520,AD520)</f>
        <v/>
      </c>
      <c r="AF520" s="68" t="str" cm="1">
        <f t="array" ref="AF520">CalculerNouvelleDate(P520,AE520)</f>
        <v/>
      </c>
      <c r="AG520" s="68" t="str" cm="1">
        <f t="array" ref="AG520">CalculerNouvelleDate(Q520,AF520)</f>
        <v/>
      </c>
      <c r="AH520" s="68" t="str" cm="1">
        <f t="array" ref="AH520">CalculerNouvelleDate(R520,AG520)</f>
        <v/>
      </c>
      <c r="AI520" s="68" t="str" cm="1">
        <f t="array" ref="AI520">CalculerNouvelleDate(S520,AH520)</f>
        <v/>
      </c>
      <c r="AJ520" s="68" t="str" cm="1">
        <f t="array" ref="AJ520">CalculerNouvelleDate(T520,AI520)</f>
        <v/>
      </c>
      <c r="AK520" s="68" t="str" cm="1">
        <f t="array" ref="AK520">CalculerNouvelleDate(U520,AJ520)</f>
        <v/>
      </c>
      <c r="AL520" s="68" t="str" cm="1">
        <f t="array" ref="AL520">CalculerNouvelleDate(V520,AK520)</f>
        <v/>
      </c>
      <c r="AM520" s="83" t="str" cm="1">
        <f t="array" ref="AM520">CorrespondanceDAte(X520:AL520,D521)</f>
        <v>0</v>
      </c>
      <c r="AN520" s="1"/>
      <c r="AO520" s="1"/>
      <c r="AP520" s="1"/>
      <c r="AQ520" s="1"/>
      <c r="AR520" s="1"/>
      <c r="AS520" s="1"/>
      <c r="AT520" s="1"/>
      <c r="AU520" s="1"/>
      <c r="AV520" s="1"/>
      <c r="AW520" s="1"/>
      <c r="AX520" s="1"/>
      <c r="AY520" s="1"/>
      <c r="AZ520" s="1"/>
      <c r="BA520" s="1"/>
    </row>
    <row r="521" spans="1:53" x14ac:dyDescent="0.3">
      <c r="A521" s="1"/>
      <c r="B521" s="11"/>
      <c r="C521" s="69" t="s">
        <v>545</v>
      </c>
      <c r="D521" s="1"/>
      <c r="E521" s="1"/>
      <c r="F521" s="1"/>
      <c r="G521" s="1"/>
      <c r="H521" s="43"/>
      <c r="I521" s="46"/>
      <c r="J521" s="46"/>
      <c r="K521" s="46"/>
      <c r="L521" s="46"/>
      <c r="M521" s="46"/>
      <c r="N521" s="46"/>
      <c r="O521" s="46"/>
      <c r="P521" s="46"/>
      <c r="Q521" s="46"/>
      <c r="R521" s="46"/>
      <c r="S521" s="46"/>
      <c r="T521" s="46"/>
      <c r="U521" s="46"/>
      <c r="V521" s="46"/>
      <c r="W521" s="62"/>
      <c r="X521" s="67"/>
      <c r="Y521" s="68" t="str" cm="1">
        <f t="array" ref="Y521">CalculerNouvelleDate(I521,X521)</f>
        <v/>
      </c>
      <c r="Z521" s="68" t="str" cm="1">
        <f t="array" ref="Z521">CalculerNouvelleDate(J521,Y521)</f>
        <v/>
      </c>
      <c r="AA521" s="68" t="str" cm="1">
        <f t="array" ref="AA521">CalculerNouvelleDate(K521,Z521)</f>
        <v/>
      </c>
      <c r="AB521" s="68" t="str" cm="1">
        <f t="array" ref="AB521">CalculerNouvelleDate(L521,AA521)</f>
        <v/>
      </c>
      <c r="AC521" s="68" t="str" cm="1">
        <f t="array" ref="AC521">CalculerNouvelleDate(M521,AB521)</f>
        <v/>
      </c>
      <c r="AD521" s="68" t="str" cm="1">
        <f t="array" ref="AD521">CalculerNouvelleDate(N521,AC521)</f>
        <v/>
      </c>
      <c r="AE521" s="68" t="str" cm="1">
        <f t="array" ref="AE521">CalculerNouvelleDate(O521,AD521)</f>
        <v/>
      </c>
      <c r="AF521" s="68" t="str" cm="1">
        <f t="array" ref="AF521">CalculerNouvelleDate(P521,AE521)</f>
        <v/>
      </c>
      <c r="AG521" s="68" t="str" cm="1">
        <f t="array" ref="AG521">CalculerNouvelleDate(Q521,AF521)</f>
        <v/>
      </c>
      <c r="AH521" s="68" t="str" cm="1">
        <f t="array" ref="AH521">CalculerNouvelleDate(R521,AG521)</f>
        <v/>
      </c>
      <c r="AI521" s="68" t="str" cm="1">
        <f t="array" ref="AI521">CalculerNouvelleDate(S521,AH521)</f>
        <v/>
      </c>
      <c r="AJ521" s="68" t="str" cm="1">
        <f t="array" ref="AJ521">CalculerNouvelleDate(T521,AI521)</f>
        <v/>
      </c>
      <c r="AK521" s="68" t="str" cm="1">
        <f t="array" ref="AK521">CalculerNouvelleDate(U521,AJ521)</f>
        <v/>
      </c>
      <c r="AL521" s="68" t="str" cm="1">
        <f t="array" ref="AL521">CalculerNouvelleDate(V521,AK521)</f>
        <v/>
      </c>
      <c r="AM521" s="83" t="str" cm="1">
        <f t="array" ref="AM521">CorrespondanceDAte(X521:AL521,D522)</f>
        <v>0</v>
      </c>
      <c r="AN521" s="1"/>
      <c r="AO521" s="1"/>
      <c r="AP521" s="1"/>
      <c r="AQ521" s="1"/>
      <c r="AR521" s="1"/>
      <c r="AS521" s="1"/>
      <c r="AT521" s="1"/>
      <c r="AU521" s="1"/>
      <c r="AV521" s="1"/>
      <c r="AW521" s="1"/>
      <c r="AX521" s="1"/>
      <c r="AY521" s="1"/>
      <c r="AZ521" s="1"/>
      <c r="BA521" s="1"/>
    </row>
    <row r="522" spans="1:53" x14ac:dyDescent="0.3">
      <c r="A522" s="1"/>
      <c r="B522" s="11">
        <v>3</v>
      </c>
      <c r="C522" s="1" t="s">
        <v>116</v>
      </c>
      <c r="D522" s="1"/>
      <c r="E522" s="1"/>
      <c r="F522" s="1"/>
      <c r="G522" s="1"/>
      <c r="H522" s="43"/>
      <c r="I522" s="1"/>
      <c r="J522" s="1"/>
      <c r="K522" s="1"/>
      <c r="L522" s="1"/>
      <c r="M522" s="1"/>
      <c r="N522" s="1"/>
      <c r="O522" s="1"/>
      <c r="P522" s="1"/>
      <c r="Q522" s="1"/>
      <c r="R522" s="1"/>
      <c r="S522" s="1"/>
      <c r="T522" s="1"/>
      <c r="U522" s="1"/>
      <c r="V522" s="1"/>
      <c r="W522" s="11"/>
      <c r="X522" s="67"/>
      <c r="Y522" s="68" t="str" cm="1">
        <f t="array" ref="Y522">CalculerNouvelleDate(I522,X522)</f>
        <v/>
      </c>
      <c r="Z522" s="68" t="str" cm="1">
        <f t="array" ref="Z522">CalculerNouvelleDate(J522,Y522)</f>
        <v/>
      </c>
      <c r="AA522" s="68" t="str" cm="1">
        <f t="array" ref="AA522">CalculerNouvelleDate(K522,Z522)</f>
        <v/>
      </c>
      <c r="AB522" s="68" t="str" cm="1">
        <f t="array" ref="AB522">CalculerNouvelleDate(L522,AA522)</f>
        <v/>
      </c>
      <c r="AC522" s="68" t="str" cm="1">
        <f t="array" ref="AC522">CalculerNouvelleDate(M522,AB522)</f>
        <v/>
      </c>
      <c r="AD522" s="68" t="str" cm="1">
        <f t="array" ref="AD522">CalculerNouvelleDate(N522,AC522)</f>
        <v/>
      </c>
      <c r="AE522" s="68" t="str" cm="1">
        <f t="array" ref="AE522">CalculerNouvelleDate(O522,AD522)</f>
        <v/>
      </c>
      <c r="AF522" s="68" t="str" cm="1">
        <f t="array" ref="AF522">CalculerNouvelleDate(P522,AE522)</f>
        <v/>
      </c>
      <c r="AG522" s="68" t="str" cm="1">
        <f t="array" ref="AG522">CalculerNouvelleDate(Q522,AF522)</f>
        <v/>
      </c>
      <c r="AH522" s="68" t="str" cm="1">
        <f t="array" ref="AH522">CalculerNouvelleDate(R522,AG522)</f>
        <v/>
      </c>
      <c r="AI522" s="68" t="str" cm="1">
        <f t="array" ref="AI522">CalculerNouvelleDate(S522,AH522)</f>
        <v/>
      </c>
      <c r="AJ522" s="68" t="str" cm="1">
        <f t="array" ref="AJ522">CalculerNouvelleDate(T522,AI522)</f>
        <v/>
      </c>
      <c r="AK522" s="68" t="str" cm="1">
        <f t="array" ref="AK522">CalculerNouvelleDate(U522,AJ522)</f>
        <v/>
      </c>
      <c r="AL522" s="68" t="str" cm="1">
        <f t="array" ref="AL522">CalculerNouvelleDate(V522,AK522)</f>
        <v/>
      </c>
      <c r="AM522" s="83" t="str" cm="1">
        <f t="array" ref="AM522">CorrespondanceDAte(X522:AL522,D523)</f>
        <v>0</v>
      </c>
      <c r="AN522" s="1"/>
      <c r="AO522" s="1"/>
      <c r="AP522" s="1"/>
      <c r="AQ522" s="1"/>
      <c r="AR522" s="1"/>
      <c r="AS522" s="1"/>
      <c r="AT522" s="1"/>
      <c r="AU522" s="1"/>
      <c r="AV522" s="1"/>
      <c r="AW522" s="1"/>
      <c r="AX522" s="1"/>
      <c r="AY522" s="1"/>
      <c r="AZ522" s="1"/>
      <c r="BA522" s="1"/>
    </row>
    <row r="523" spans="1:53" x14ac:dyDescent="0.3">
      <c r="A523" s="1"/>
      <c r="B523" s="11"/>
      <c r="C523" s="69" t="s">
        <v>549</v>
      </c>
      <c r="D523" s="1"/>
      <c r="E523" s="1"/>
      <c r="F523" s="1"/>
      <c r="G523" s="1"/>
      <c r="H523" s="43"/>
      <c r="I523" s="46"/>
      <c r="J523" s="46"/>
      <c r="K523" s="46"/>
      <c r="L523" s="46"/>
      <c r="M523" s="46"/>
      <c r="N523" s="46"/>
      <c r="O523" s="46"/>
      <c r="P523" s="46"/>
      <c r="Q523" s="46"/>
      <c r="R523" s="46"/>
      <c r="S523" s="46"/>
      <c r="T523" s="46"/>
      <c r="U523" s="46"/>
      <c r="V523" s="46"/>
      <c r="W523" s="62"/>
      <c r="X523" s="67"/>
      <c r="Y523" s="68" t="str" cm="1">
        <f t="array" ref="Y523">CalculerNouvelleDate(I523,X523)</f>
        <v/>
      </c>
      <c r="Z523" s="68" t="str" cm="1">
        <f t="array" ref="Z523">CalculerNouvelleDate(J523,Y523)</f>
        <v/>
      </c>
      <c r="AA523" s="68" t="str" cm="1">
        <f t="array" ref="AA523">CalculerNouvelleDate(K523,Z523)</f>
        <v/>
      </c>
      <c r="AB523" s="68" t="str" cm="1">
        <f t="array" ref="AB523">CalculerNouvelleDate(L523,AA523)</f>
        <v/>
      </c>
      <c r="AC523" s="68" t="str" cm="1">
        <f t="array" ref="AC523">CalculerNouvelleDate(M523,AB523)</f>
        <v/>
      </c>
      <c r="AD523" s="68" t="str" cm="1">
        <f t="array" ref="AD523">CalculerNouvelleDate(N523,AC523)</f>
        <v/>
      </c>
      <c r="AE523" s="68" t="str" cm="1">
        <f t="array" ref="AE523">CalculerNouvelleDate(O523,AD523)</f>
        <v/>
      </c>
      <c r="AF523" s="68" t="str" cm="1">
        <f t="array" ref="AF523">CalculerNouvelleDate(P523,AE523)</f>
        <v/>
      </c>
      <c r="AG523" s="68" t="str" cm="1">
        <f t="array" ref="AG523">CalculerNouvelleDate(Q523,AF523)</f>
        <v/>
      </c>
      <c r="AH523" s="68" t="str" cm="1">
        <f t="array" ref="AH523">CalculerNouvelleDate(R523,AG523)</f>
        <v/>
      </c>
      <c r="AI523" s="68" t="str" cm="1">
        <f t="array" ref="AI523">CalculerNouvelleDate(S523,AH523)</f>
        <v/>
      </c>
      <c r="AJ523" s="68" t="str" cm="1">
        <f t="array" ref="AJ523">CalculerNouvelleDate(T523,AI523)</f>
        <v/>
      </c>
      <c r="AK523" s="68" t="str" cm="1">
        <f t="array" ref="AK523">CalculerNouvelleDate(U523,AJ523)</f>
        <v/>
      </c>
      <c r="AL523" s="68" t="str" cm="1">
        <f t="array" ref="AL523">CalculerNouvelleDate(V523,AK523)</f>
        <v/>
      </c>
      <c r="AM523" s="83" t="str" cm="1">
        <f t="array" ref="AM523">CorrespondanceDAte(X523:AL523,D524)</f>
        <v>0</v>
      </c>
      <c r="AN523" s="1"/>
      <c r="AO523" s="1"/>
      <c r="AP523" s="1"/>
      <c r="AQ523" s="1"/>
      <c r="AR523" s="1"/>
      <c r="AS523" s="1"/>
      <c r="AT523" s="1"/>
      <c r="AU523" s="1"/>
      <c r="AV523" s="1"/>
      <c r="AW523" s="1"/>
      <c r="AX523" s="1"/>
      <c r="AY523" s="1"/>
      <c r="AZ523" s="1"/>
      <c r="BA523" s="1"/>
    </row>
    <row r="524" spans="1:53" x14ac:dyDescent="0.3">
      <c r="A524" s="1"/>
      <c r="B524" s="11"/>
      <c r="C524" s="69" t="s">
        <v>536</v>
      </c>
      <c r="D524" s="1"/>
      <c r="E524" s="1"/>
      <c r="F524" s="1"/>
      <c r="G524" s="1"/>
      <c r="H524" s="43"/>
      <c r="I524" s="46"/>
      <c r="J524" s="46"/>
      <c r="K524" s="46"/>
      <c r="L524" s="46"/>
      <c r="M524" s="46"/>
      <c r="N524" s="46"/>
      <c r="O524" s="46"/>
      <c r="P524" s="46"/>
      <c r="Q524" s="46"/>
      <c r="R524" s="46"/>
      <c r="S524" s="46"/>
      <c r="T524" s="46"/>
      <c r="U524" s="46"/>
      <c r="V524" s="46"/>
      <c r="W524" s="62"/>
      <c r="X524" s="67"/>
      <c r="Y524" s="68" t="str" cm="1">
        <f t="array" ref="Y524">CalculerNouvelleDate(I524,X524)</f>
        <v/>
      </c>
      <c r="Z524" s="68" t="str" cm="1">
        <f t="array" ref="Z524">CalculerNouvelleDate(J524,Y524)</f>
        <v/>
      </c>
      <c r="AA524" s="68" t="str" cm="1">
        <f t="array" ref="AA524">CalculerNouvelleDate(K524,Z524)</f>
        <v/>
      </c>
      <c r="AB524" s="68" t="str" cm="1">
        <f t="array" ref="AB524">CalculerNouvelleDate(L524,AA524)</f>
        <v/>
      </c>
      <c r="AC524" s="68" t="str" cm="1">
        <f t="array" ref="AC524">CalculerNouvelleDate(M524,AB524)</f>
        <v/>
      </c>
      <c r="AD524" s="68" t="str" cm="1">
        <f t="array" ref="AD524">CalculerNouvelleDate(N524,AC524)</f>
        <v/>
      </c>
      <c r="AE524" s="68" t="str" cm="1">
        <f t="array" ref="AE524">CalculerNouvelleDate(O524,AD524)</f>
        <v/>
      </c>
      <c r="AF524" s="68" t="str" cm="1">
        <f t="array" ref="AF524">CalculerNouvelleDate(P524,AE524)</f>
        <v/>
      </c>
      <c r="AG524" s="68" t="str" cm="1">
        <f t="array" ref="AG524">CalculerNouvelleDate(Q524,AF524)</f>
        <v/>
      </c>
      <c r="AH524" s="68" t="str" cm="1">
        <f t="array" ref="AH524">CalculerNouvelleDate(R524,AG524)</f>
        <v/>
      </c>
      <c r="AI524" s="68" t="str" cm="1">
        <f t="array" ref="AI524">CalculerNouvelleDate(S524,AH524)</f>
        <v/>
      </c>
      <c r="AJ524" s="68" t="str" cm="1">
        <f t="array" ref="AJ524">CalculerNouvelleDate(T524,AI524)</f>
        <v/>
      </c>
      <c r="AK524" s="68" t="str" cm="1">
        <f t="array" ref="AK524">CalculerNouvelleDate(U524,AJ524)</f>
        <v/>
      </c>
      <c r="AL524" s="68" t="str" cm="1">
        <f t="array" ref="AL524">CalculerNouvelleDate(V524,AK524)</f>
        <v/>
      </c>
      <c r="AM524" s="83" t="str" cm="1">
        <f t="array" ref="AM524">CorrespondanceDAte(X524:AL524,D525)</f>
        <v>0</v>
      </c>
      <c r="AN524" s="1"/>
      <c r="AO524" s="1"/>
      <c r="AP524" s="1"/>
      <c r="AQ524" s="1"/>
      <c r="AR524" s="1"/>
      <c r="AS524" s="1"/>
      <c r="AT524" s="1"/>
      <c r="AU524" s="1"/>
      <c r="AV524" s="1"/>
      <c r="AW524" s="1"/>
      <c r="AX524" s="1"/>
      <c r="AY524" s="1"/>
      <c r="AZ524" s="1"/>
      <c r="BA524" s="1"/>
    </row>
    <row r="525" spans="1:53" x14ac:dyDescent="0.3">
      <c r="A525" s="1"/>
      <c r="B525" s="11"/>
      <c r="C525" s="69" t="s">
        <v>550</v>
      </c>
      <c r="D525" s="1"/>
      <c r="E525" s="1"/>
      <c r="F525" s="1"/>
      <c r="G525" s="1"/>
      <c r="H525" s="43"/>
      <c r="I525" s="46"/>
      <c r="J525" s="46"/>
      <c r="K525" s="46"/>
      <c r="L525" s="46"/>
      <c r="M525" s="46"/>
      <c r="N525" s="46"/>
      <c r="O525" s="46"/>
      <c r="P525" s="46"/>
      <c r="Q525" s="46"/>
      <c r="R525" s="46"/>
      <c r="S525" s="46"/>
      <c r="T525" s="46"/>
      <c r="U525" s="46"/>
      <c r="V525" s="46"/>
      <c r="W525" s="62"/>
      <c r="X525" s="67"/>
      <c r="Y525" s="68" t="str" cm="1">
        <f t="array" ref="Y525">CalculerNouvelleDate(I525,X525)</f>
        <v/>
      </c>
      <c r="Z525" s="68" t="str" cm="1">
        <f t="array" ref="Z525">CalculerNouvelleDate(J525,Y525)</f>
        <v/>
      </c>
      <c r="AA525" s="68" t="str" cm="1">
        <f t="array" ref="AA525">CalculerNouvelleDate(K525,Z525)</f>
        <v/>
      </c>
      <c r="AB525" s="68" t="str" cm="1">
        <f t="array" ref="AB525">CalculerNouvelleDate(L525,AA525)</f>
        <v/>
      </c>
      <c r="AC525" s="68" t="str" cm="1">
        <f t="array" ref="AC525">CalculerNouvelleDate(M525,AB525)</f>
        <v/>
      </c>
      <c r="AD525" s="68" t="str" cm="1">
        <f t="array" ref="AD525">CalculerNouvelleDate(N525,AC525)</f>
        <v/>
      </c>
      <c r="AE525" s="68" t="str" cm="1">
        <f t="array" ref="AE525">CalculerNouvelleDate(O525,AD525)</f>
        <v/>
      </c>
      <c r="AF525" s="68" t="str" cm="1">
        <f t="array" ref="AF525">CalculerNouvelleDate(P525,AE525)</f>
        <v/>
      </c>
      <c r="AG525" s="68" t="str" cm="1">
        <f t="array" ref="AG525">CalculerNouvelleDate(Q525,AF525)</f>
        <v/>
      </c>
      <c r="AH525" s="68" t="str" cm="1">
        <f t="array" ref="AH525">CalculerNouvelleDate(R525,AG525)</f>
        <v/>
      </c>
      <c r="AI525" s="68" t="str" cm="1">
        <f t="array" ref="AI525">CalculerNouvelleDate(S525,AH525)</f>
        <v/>
      </c>
      <c r="AJ525" s="68" t="str" cm="1">
        <f t="array" ref="AJ525">CalculerNouvelleDate(T525,AI525)</f>
        <v/>
      </c>
      <c r="AK525" s="68" t="str" cm="1">
        <f t="array" ref="AK525">CalculerNouvelleDate(U525,AJ525)</f>
        <v/>
      </c>
      <c r="AL525" s="68" t="str" cm="1">
        <f t="array" ref="AL525">CalculerNouvelleDate(V525,AK525)</f>
        <v/>
      </c>
      <c r="AM525" s="83" t="str" cm="1">
        <f t="array" ref="AM525">CorrespondanceDAte(X525:AL525,D526)</f>
        <v>0</v>
      </c>
      <c r="AN525" s="1"/>
      <c r="AO525" s="1"/>
      <c r="AP525" s="1"/>
      <c r="AQ525" s="1"/>
      <c r="AR525" s="1"/>
      <c r="AS525" s="1"/>
      <c r="AT525" s="1"/>
      <c r="AU525" s="1"/>
      <c r="AV525" s="1"/>
      <c r="AW525" s="1"/>
      <c r="AX525" s="1"/>
      <c r="AY525" s="1"/>
      <c r="AZ525" s="1"/>
      <c r="BA525" s="1"/>
    </row>
    <row r="526" spans="1:53" x14ac:dyDescent="0.3">
      <c r="A526" s="1"/>
      <c r="B526" s="11"/>
      <c r="C526" s="1" t="s">
        <v>551</v>
      </c>
      <c r="D526" s="1"/>
      <c r="E526" s="1"/>
      <c r="F526" s="1"/>
      <c r="G526" s="1"/>
      <c r="H526" s="43"/>
      <c r="I526" s="46"/>
      <c r="J526" s="46"/>
      <c r="K526" s="46"/>
      <c r="L526" s="46"/>
      <c r="M526" s="46"/>
      <c r="N526" s="46"/>
      <c r="O526" s="46"/>
      <c r="P526" s="46"/>
      <c r="Q526" s="46"/>
      <c r="R526" s="46"/>
      <c r="S526" s="46"/>
      <c r="T526" s="46"/>
      <c r="U526" s="46"/>
      <c r="V526" s="46"/>
      <c r="W526" s="62"/>
      <c r="X526" s="67"/>
      <c r="Y526" s="68" t="str" cm="1">
        <f t="array" ref="Y526">CalculerNouvelleDate(I526,X526)</f>
        <v/>
      </c>
      <c r="Z526" s="68" t="str" cm="1">
        <f t="array" ref="Z526">CalculerNouvelleDate(J526,Y526)</f>
        <v/>
      </c>
      <c r="AA526" s="68" t="str" cm="1">
        <f t="array" ref="AA526">CalculerNouvelleDate(K526,Z526)</f>
        <v/>
      </c>
      <c r="AB526" s="68" t="str" cm="1">
        <f t="array" ref="AB526">CalculerNouvelleDate(L526,AA526)</f>
        <v/>
      </c>
      <c r="AC526" s="68" t="str" cm="1">
        <f t="array" ref="AC526">CalculerNouvelleDate(M526,AB526)</f>
        <v/>
      </c>
      <c r="AD526" s="68" t="str" cm="1">
        <f t="array" ref="AD526">CalculerNouvelleDate(N526,AC526)</f>
        <v/>
      </c>
      <c r="AE526" s="68" t="str" cm="1">
        <f t="array" ref="AE526">CalculerNouvelleDate(O526,AD526)</f>
        <v/>
      </c>
      <c r="AF526" s="68" t="str" cm="1">
        <f t="array" ref="AF526">CalculerNouvelleDate(P526,AE526)</f>
        <v/>
      </c>
      <c r="AG526" s="68" t="str" cm="1">
        <f t="array" ref="AG526">CalculerNouvelleDate(Q526,AF526)</f>
        <v/>
      </c>
      <c r="AH526" s="68" t="str" cm="1">
        <f t="array" ref="AH526">CalculerNouvelleDate(R526,AG526)</f>
        <v/>
      </c>
      <c r="AI526" s="68" t="str" cm="1">
        <f t="array" ref="AI526">CalculerNouvelleDate(S526,AH526)</f>
        <v/>
      </c>
      <c r="AJ526" s="68" t="str" cm="1">
        <f t="array" ref="AJ526">CalculerNouvelleDate(T526,AI526)</f>
        <v/>
      </c>
      <c r="AK526" s="68" t="str" cm="1">
        <f t="array" ref="AK526">CalculerNouvelleDate(U526,AJ526)</f>
        <v/>
      </c>
      <c r="AL526" s="68" t="str" cm="1">
        <f t="array" ref="AL526">CalculerNouvelleDate(V526,AK526)</f>
        <v/>
      </c>
      <c r="AM526" s="83" t="str" cm="1">
        <f t="array" ref="AM526">CorrespondanceDAte(X526:AL526,D527)</f>
        <v>0</v>
      </c>
      <c r="AN526" s="1"/>
      <c r="AO526" s="1"/>
      <c r="AP526" s="1"/>
      <c r="AQ526" s="1"/>
      <c r="AR526" s="1"/>
      <c r="AS526" s="1"/>
      <c r="AT526" s="1"/>
      <c r="AU526" s="1"/>
      <c r="AV526" s="1"/>
      <c r="AW526" s="1"/>
      <c r="AX526" s="1"/>
      <c r="AY526" s="1"/>
      <c r="AZ526" s="1"/>
      <c r="BA526" s="1"/>
    </row>
    <row r="527" spans="1:53" x14ac:dyDescent="0.3">
      <c r="A527" s="1"/>
      <c r="B527" s="11"/>
      <c r="C527" s="69" t="s">
        <v>705</v>
      </c>
      <c r="D527" s="1"/>
      <c r="E527" s="1"/>
      <c r="F527" s="1"/>
      <c r="G527" s="1"/>
      <c r="H527" s="43"/>
      <c r="I527" s="46"/>
      <c r="J527" s="46"/>
      <c r="K527" s="46"/>
      <c r="L527" s="46"/>
      <c r="M527" s="46"/>
      <c r="N527" s="46"/>
      <c r="O527" s="46"/>
      <c r="P527" s="46"/>
      <c r="Q527" s="46"/>
      <c r="R527" s="46"/>
      <c r="S527" s="46"/>
      <c r="T527" s="46"/>
      <c r="U527" s="46"/>
      <c r="V527" s="46"/>
      <c r="W527" s="62"/>
      <c r="X527" s="67"/>
      <c r="Y527" s="68" t="str" cm="1">
        <f t="array" ref="Y527">CalculerNouvelleDate(I527,X527)</f>
        <v/>
      </c>
      <c r="Z527" s="68" t="str" cm="1">
        <f t="array" ref="Z527">CalculerNouvelleDate(J527,Y527)</f>
        <v/>
      </c>
      <c r="AA527" s="68" t="str" cm="1">
        <f t="array" ref="AA527">CalculerNouvelleDate(K527,Z527)</f>
        <v/>
      </c>
      <c r="AB527" s="68" t="str" cm="1">
        <f t="array" ref="AB527">CalculerNouvelleDate(L527,AA527)</f>
        <v/>
      </c>
      <c r="AC527" s="68" t="str" cm="1">
        <f t="array" ref="AC527">CalculerNouvelleDate(M527,AB527)</f>
        <v/>
      </c>
      <c r="AD527" s="68" t="str" cm="1">
        <f t="array" ref="AD527">CalculerNouvelleDate(N527,AC527)</f>
        <v/>
      </c>
      <c r="AE527" s="68" t="str" cm="1">
        <f t="array" ref="AE527">CalculerNouvelleDate(O527,AD527)</f>
        <v/>
      </c>
      <c r="AF527" s="68" t="str" cm="1">
        <f t="array" ref="AF527">CalculerNouvelleDate(P527,AE527)</f>
        <v/>
      </c>
      <c r="AG527" s="68" t="str" cm="1">
        <f t="array" ref="AG527">CalculerNouvelleDate(Q527,AF527)</f>
        <v/>
      </c>
      <c r="AH527" s="68" t="str" cm="1">
        <f t="array" ref="AH527">CalculerNouvelleDate(R527,AG527)</f>
        <v/>
      </c>
      <c r="AI527" s="68" t="str" cm="1">
        <f t="array" ref="AI527">CalculerNouvelleDate(S527,AH527)</f>
        <v/>
      </c>
      <c r="AJ527" s="68" t="str" cm="1">
        <f t="array" ref="AJ527">CalculerNouvelleDate(T527,AI527)</f>
        <v/>
      </c>
      <c r="AK527" s="68" t="str" cm="1">
        <f t="array" ref="AK527">CalculerNouvelleDate(U527,AJ527)</f>
        <v/>
      </c>
      <c r="AL527" s="68" t="str" cm="1">
        <f t="array" ref="AL527">CalculerNouvelleDate(V527,AK527)</f>
        <v/>
      </c>
      <c r="AM527" s="83" t="str" cm="1">
        <f t="array" ref="AM527">CorrespondanceDAte(X527:AL527,D528)</f>
        <v>0</v>
      </c>
      <c r="AN527" s="1"/>
      <c r="AO527" s="1"/>
      <c r="AP527" s="1"/>
      <c r="AQ527" s="1"/>
      <c r="AR527" s="1"/>
      <c r="AS527" s="1"/>
      <c r="AT527" s="1"/>
      <c r="AU527" s="1"/>
      <c r="AV527" s="1"/>
      <c r="AW527" s="1"/>
      <c r="AX527" s="1"/>
      <c r="AY527" s="1"/>
      <c r="AZ527" s="1"/>
      <c r="BA527" s="1"/>
    </row>
    <row r="528" spans="1:53" x14ac:dyDescent="0.3">
      <c r="A528" s="1"/>
      <c r="B528" s="11"/>
      <c r="C528" s="69" t="s">
        <v>711</v>
      </c>
      <c r="D528" s="1"/>
      <c r="E528" s="1"/>
      <c r="F528" s="1"/>
      <c r="G528" s="1"/>
      <c r="H528" s="43"/>
      <c r="I528" s="46"/>
      <c r="J528" s="46"/>
      <c r="K528" s="46"/>
      <c r="L528" s="46"/>
      <c r="M528" s="46"/>
      <c r="N528" s="46"/>
      <c r="O528" s="46"/>
      <c r="P528" s="46"/>
      <c r="Q528" s="46"/>
      <c r="R528" s="46"/>
      <c r="S528" s="46"/>
      <c r="T528" s="46"/>
      <c r="U528" s="46"/>
      <c r="V528" s="46"/>
      <c r="W528" s="62"/>
      <c r="X528" s="67"/>
      <c r="Y528" s="68" t="str" cm="1">
        <f t="array" ref="Y528">CalculerNouvelleDate(I528,X528)</f>
        <v/>
      </c>
      <c r="Z528" s="68" t="str" cm="1">
        <f t="array" ref="Z528">CalculerNouvelleDate(J528,Y528)</f>
        <v/>
      </c>
      <c r="AA528" s="68" t="str" cm="1">
        <f t="array" ref="AA528">CalculerNouvelleDate(K528,Z528)</f>
        <v/>
      </c>
      <c r="AB528" s="68" t="str" cm="1">
        <f t="array" ref="AB528">CalculerNouvelleDate(L528,AA528)</f>
        <v/>
      </c>
      <c r="AC528" s="68" t="str" cm="1">
        <f t="array" ref="AC528">CalculerNouvelleDate(M528,AB528)</f>
        <v/>
      </c>
      <c r="AD528" s="68" t="str" cm="1">
        <f t="array" ref="AD528">CalculerNouvelleDate(N528,AC528)</f>
        <v/>
      </c>
      <c r="AE528" s="68" t="str" cm="1">
        <f t="array" ref="AE528">CalculerNouvelleDate(O528,AD528)</f>
        <v/>
      </c>
      <c r="AF528" s="68" t="str" cm="1">
        <f t="array" ref="AF528">CalculerNouvelleDate(P528,AE528)</f>
        <v/>
      </c>
      <c r="AG528" s="68" t="str" cm="1">
        <f t="array" ref="AG528">CalculerNouvelleDate(Q528,AF528)</f>
        <v/>
      </c>
      <c r="AH528" s="68" t="str" cm="1">
        <f t="array" ref="AH528">CalculerNouvelleDate(R528,AG528)</f>
        <v/>
      </c>
      <c r="AI528" s="68" t="str" cm="1">
        <f t="array" ref="AI528">CalculerNouvelleDate(S528,AH528)</f>
        <v/>
      </c>
      <c r="AJ528" s="68" t="str" cm="1">
        <f t="array" ref="AJ528">CalculerNouvelleDate(T528,AI528)</f>
        <v/>
      </c>
      <c r="AK528" s="68" t="str" cm="1">
        <f t="array" ref="AK528">CalculerNouvelleDate(U528,AJ528)</f>
        <v/>
      </c>
      <c r="AL528" s="68" t="str" cm="1">
        <f t="array" ref="AL528">CalculerNouvelleDate(V528,AK528)</f>
        <v/>
      </c>
      <c r="AM528" s="83" t="str" cm="1">
        <f t="array" ref="AM528">CorrespondanceDAte(X528:AL528,D529)</f>
        <v>0</v>
      </c>
      <c r="AN528" s="1"/>
      <c r="AO528" s="1"/>
      <c r="AP528" s="1"/>
      <c r="AQ528" s="1"/>
      <c r="AR528" s="1"/>
      <c r="AS528" s="1"/>
      <c r="AT528" s="1"/>
      <c r="AU528" s="1"/>
      <c r="AV528" s="1"/>
      <c r="AW528" s="1"/>
      <c r="AX528" s="1"/>
      <c r="AY528" s="1"/>
      <c r="AZ528" s="1"/>
      <c r="BA528" s="1"/>
    </row>
    <row r="529" spans="1:53" x14ac:dyDescent="0.3">
      <c r="A529" s="1"/>
      <c r="B529" s="11"/>
      <c r="C529" s="69" t="s">
        <v>712</v>
      </c>
      <c r="D529" s="1"/>
      <c r="E529" s="1"/>
      <c r="F529" s="1"/>
      <c r="G529" s="1"/>
      <c r="H529" s="43"/>
      <c r="I529" s="46"/>
      <c r="J529" s="46"/>
      <c r="K529" s="46"/>
      <c r="L529" s="46"/>
      <c r="M529" s="46"/>
      <c r="N529" s="46"/>
      <c r="O529" s="46"/>
      <c r="P529" s="46"/>
      <c r="Q529" s="46"/>
      <c r="R529" s="46"/>
      <c r="S529" s="46"/>
      <c r="T529" s="46"/>
      <c r="U529" s="46"/>
      <c r="V529" s="46"/>
      <c r="W529" s="62"/>
      <c r="X529" s="67"/>
      <c r="Y529" s="68" t="str" cm="1">
        <f t="array" ref="Y529">CalculerNouvelleDate(I529,X529)</f>
        <v/>
      </c>
      <c r="Z529" s="68" t="str" cm="1">
        <f t="array" ref="Z529">CalculerNouvelleDate(J529,Y529)</f>
        <v/>
      </c>
      <c r="AA529" s="68" t="str" cm="1">
        <f t="array" ref="AA529">CalculerNouvelleDate(K529,Z529)</f>
        <v/>
      </c>
      <c r="AB529" s="68" t="str" cm="1">
        <f t="array" ref="AB529">CalculerNouvelleDate(L529,AA529)</f>
        <v/>
      </c>
      <c r="AC529" s="68" t="str" cm="1">
        <f t="array" ref="AC529">CalculerNouvelleDate(M529,AB529)</f>
        <v/>
      </c>
      <c r="AD529" s="68" t="str" cm="1">
        <f t="array" ref="AD529">CalculerNouvelleDate(N529,AC529)</f>
        <v/>
      </c>
      <c r="AE529" s="68" t="str" cm="1">
        <f t="array" ref="AE529">CalculerNouvelleDate(O529,AD529)</f>
        <v/>
      </c>
      <c r="AF529" s="68" t="str" cm="1">
        <f t="array" ref="AF529">CalculerNouvelleDate(P529,AE529)</f>
        <v/>
      </c>
      <c r="AG529" s="68" t="str" cm="1">
        <f t="array" ref="AG529">CalculerNouvelleDate(Q529,AF529)</f>
        <v/>
      </c>
      <c r="AH529" s="68" t="str" cm="1">
        <f t="array" ref="AH529">CalculerNouvelleDate(R529,AG529)</f>
        <v/>
      </c>
      <c r="AI529" s="68" t="str" cm="1">
        <f t="array" ref="AI529">CalculerNouvelleDate(S529,AH529)</f>
        <v/>
      </c>
      <c r="AJ529" s="68" t="str" cm="1">
        <f t="array" ref="AJ529">CalculerNouvelleDate(T529,AI529)</f>
        <v/>
      </c>
      <c r="AK529" s="68" t="str" cm="1">
        <f t="array" ref="AK529">CalculerNouvelleDate(U529,AJ529)</f>
        <v/>
      </c>
      <c r="AL529" s="68" t="str" cm="1">
        <f t="array" ref="AL529">CalculerNouvelleDate(V529,AK529)</f>
        <v/>
      </c>
      <c r="AM529" s="83" t="str" cm="1">
        <f t="array" ref="AM529">CorrespondanceDAte(X529:AL529,D530)</f>
        <v>0</v>
      </c>
      <c r="AN529" s="1"/>
      <c r="AO529" s="1"/>
      <c r="AP529" s="1"/>
      <c r="AQ529" s="1"/>
      <c r="AR529" s="1"/>
      <c r="AS529" s="1"/>
      <c r="AT529" s="1"/>
      <c r="AU529" s="1"/>
      <c r="AV529" s="1"/>
      <c r="AW529" s="1"/>
      <c r="AX529" s="1"/>
      <c r="AY529" s="1"/>
      <c r="AZ529" s="1"/>
      <c r="BA529" s="1"/>
    </row>
    <row r="530" spans="1:53" x14ac:dyDescent="0.3">
      <c r="A530" s="1"/>
      <c r="B530" s="11"/>
      <c r="C530" s="1" t="s">
        <v>713</v>
      </c>
      <c r="D530" s="1"/>
      <c r="E530" s="1"/>
      <c r="F530" s="1"/>
      <c r="G530" s="1"/>
      <c r="H530" s="43"/>
      <c r="I530" s="46"/>
      <c r="J530" s="46"/>
      <c r="K530" s="46"/>
      <c r="L530" s="46"/>
      <c r="M530" s="46"/>
      <c r="N530" s="46"/>
      <c r="O530" s="46"/>
      <c r="P530" s="46"/>
      <c r="Q530" s="46"/>
      <c r="R530" s="46"/>
      <c r="S530" s="46"/>
      <c r="T530" s="46"/>
      <c r="U530" s="46"/>
      <c r="V530" s="46"/>
      <c r="W530" s="62"/>
      <c r="X530" s="67"/>
      <c r="Y530" s="68" t="str" cm="1">
        <f t="array" ref="Y530">CalculerNouvelleDate(I530,X530)</f>
        <v/>
      </c>
      <c r="Z530" s="68" t="str" cm="1">
        <f t="array" ref="Z530">CalculerNouvelleDate(J530,Y530)</f>
        <v/>
      </c>
      <c r="AA530" s="68" t="str" cm="1">
        <f t="array" ref="AA530">CalculerNouvelleDate(K530,Z530)</f>
        <v/>
      </c>
      <c r="AB530" s="68" t="str" cm="1">
        <f t="array" ref="AB530">CalculerNouvelleDate(L530,AA530)</f>
        <v/>
      </c>
      <c r="AC530" s="68" t="str" cm="1">
        <f t="array" ref="AC530">CalculerNouvelleDate(M530,AB530)</f>
        <v/>
      </c>
      <c r="AD530" s="68" t="str" cm="1">
        <f t="array" ref="AD530">CalculerNouvelleDate(N530,AC530)</f>
        <v/>
      </c>
      <c r="AE530" s="68" t="str" cm="1">
        <f t="array" ref="AE530">CalculerNouvelleDate(O530,AD530)</f>
        <v/>
      </c>
      <c r="AF530" s="68" t="str" cm="1">
        <f t="array" ref="AF530">CalculerNouvelleDate(P530,AE530)</f>
        <v/>
      </c>
      <c r="AG530" s="68" t="str" cm="1">
        <f t="array" ref="AG530">CalculerNouvelleDate(Q530,AF530)</f>
        <v/>
      </c>
      <c r="AH530" s="68" t="str" cm="1">
        <f t="array" ref="AH530">CalculerNouvelleDate(R530,AG530)</f>
        <v/>
      </c>
      <c r="AI530" s="68" t="str" cm="1">
        <f t="array" ref="AI530">CalculerNouvelleDate(S530,AH530)</f>
        <v/>
      </c>
      <c r="AJ530" s="68" t="str" cm="1">
        <f t="array" ref="AJ530">CalculerNouvelleDate(T530,AI530)</f>
        <v/>
      </c>
      <c r="AK530" s="68" t="str" cm="1">
        <f t="array" ref="AK530">CalculerNouvelleDate(U530,AJ530)</f>
        <v/>
      </c>
      <c r="AL530" s="68" t="str" cm="1">
        <f t="array" ref="AL530">CalculerNouvelleDate(V530,AK530)</f>
        <v/>
      </c>
      <c r="AM530" s="83" t="str" cm="1">
        <f t="array" ref="AM530">CorrespondanceDAte(X530:AL530,D531)</f>
        <v>0</v>
      </c>
      <c r="AN530" s="1"/>
      <c r="AO530" s="1"/>
      <c r="AP530" s="1"/>
      <c r="AQ530" s="1"/>
      <c r="AR530" s="1"/>
      <c r="AS530" s="1"/>
      <c r="AT530" s="1"/>
      <c r="AU530" s="1"/>
      <c r="AV530" s="1"/>
      <c r="AW530" s="1"/>
      <c r="AX530" s="1"/>
      <c r="AY530" s="1"/>
      <c r="AZ530" s="1"/>
      <c r="BA530" s="1"/>
    </row>
    <row r="531" spans="1:53" x14ac:dyDescent="0.3">
      <c r="A531" s="1"/>
      <c r="B531" s="11"/>
      <c r="C531" s="69" t="s">
        <v>714</v>
      </c>
      <c r="D531" s="1"/>
      <c r="E531" s="1"/>
      <c r="F531" s="1"/>
      <c r="G531" s="1"/>
      <c r="H531" s="43"/>
      <c r="I531" s="46"/>
      <c r="J531" s="46"/>
      <c r="K531" s="46"/>
      <c r="L531" s="46"/>
      <c r="M531" s="46"/>
      <c r="N531" s="46"/>
      <c r="O531" s="46"/>
      <c r="P531" s="46"/>
      <c r="Q531" s="46"/>
      <c r="R531" s="46"/>
      <c r="S531" s="46"/>
      <c r="T531" s="46"/>
      <c r="U531" s="46"/>
      <c r="V531" s="46"/>
      <c r="W531" s="62"/>
      <c r="X531" s="67"/>
      <c r="Y531" s="68" t="str" cm="1">
        <f t="array" ref="Y531">CalculerNouvelleDate(I531,X531)</f>
        <v/>
      </c>
      <c r="Z531" s="68" t="str" cm="1">
        <f t="array" ref="Z531">CalculerNouvelleDate(J531,Y531)</f>
        <v/>
      </c>
      <c r="AA531" s="68" t="str" cm="1">
        <f t="array" ref="AA531">CalculerNouvelleDate(K531,Z531)</f>
        <v/>
      </c>
      <c r="AB531" s="68" t="str" cm="1">
        <f t="array" ref="AB531">CalculerNouvelleDate(L531,AA531)</f>
        <v/>
      </c>
      <c r="AC531" s="68" t="str" cm="1">
        <f t="array" ref="AC531">CalculerNouvelleDate(M531,AB531)</f>
        <v/>
      </c>
      <c r="AD531" s="68" t="str" cm="1">
        <f t="array" ref="AD531">CalculerNouvelleDate(N531,AC531)</f>
        <v/>
      </c>
      <c r="AE531" s="68" t="str" cm="1">
        <f t="array" ref="AE531">CalculerNouvelleDate(O531,AD531)</f>
        <v/>
      </c>
      <c r="AF531" s="68" t="str" cm="1">
        <f t="array" ref="AF531">CalculerNouvelleDate(P531,AE531)</f>
        <v/>
      </c>
      <c r="AG531" s="68" t="str" cm="1">
        <f t="array" ref="AG531">CalculerNouvelleDate(Q531,AF531)</f>
        <v/>
      </c>
      <c r="AH531" s="68" t="str" cm="1">
        <f t="array" ref="AH531">CalculerNouvelleDate(R531,AG531)</f>
        <v/>
      </c>
      <c r="AI531" s="68" t="str" cm="1">
        <f t="array" ref="AI531">CalculerNouvelleDate(S531,AH531)</f>
        <v/>
      </c>
      <c r="AJ531" s="68" t="str" cm="1">
        <f t="array" ref="AJ531">CalculerNouvelleDate(T531,AI531)</f>
        <v/>
      </c>
      <c r="AK531" s="68" t="str" cm="1">
        <f t="array" ref="AK531">CalculerNouvelleDate(U531,AJ531)</f>
        <v/>
      </c>
      <c r="AL531" s="68" t="str" cm="1">
        <f t="array" ref="AL531">CalculerNouvelleDate(V531,AK531)</f>
        <v/>
      </c>
      <c r="AM531" s="83" t="str" cm="1">
        <f t="array" ref="AM531">CorrespondanceDAte(X531:AL531,D532)</f>
        <v>0</v>
      </c>
      <c r="AN531" s="1"/>
      <c r="AO531" s="1"/>
      <c r="AP531" s="1"/>
      <c r="AQ531" s="1"/>
      <c r="AR531" s="1"/>
      <c r="AS531" s="1"/>
      <c r="AT531" s="1"/>
      <c r="AU531" s="1"/>
      <c r="AV531" s="1"/>
      <c r="AW531" s="1"/>
      <c r="AX531" s="1"/>
      <c r="AY531" s="1"/>
      <c r="AZ531" s="1"/>
      <c r="BA531" s="1"/>
    </row>
    <row r="532" spans="1:53" x14ac:dyDescent="0.3">
      <c r="A532" s="1"/>
      <c r="B532" s="11"/>
      <c r="C532" s="69" t="s">
        <v>715</v>
      </c>
      <c r="D532" s="1"/>
      <c r="E532" s="1"/>
      <c r="F532" s="1"/>
      <c r="G532" s="1"/>
      <c r="H532" s="43"/>
      <c r="I532" s="46"/>
      <c r="J532" s="46"/>
      <c r="K532" s="46"/>
      <c r="L532" s="46"/>
      <c r="M532" s="46"/>
      <c r="N532" s="46"/>
      <c r="O532" s="46"/>
      <c r="P532" s="46"/>
      <c r="Q532" s="46"/>
      <c r="R532" s="46"/>
      <c r="S532" s="46"/>
      <c r="T532" s="46"/>
      <c r="U532" s="46"/>
      <c r="V532" s="46"/>
      <c r="W532" s="62"/>
      <c r="X532" s="67"/>
      <c r="Y532" s="68" t="str" cm="1">
        <f t="array" ref="Y532">CalculerNouvelleDate(I532,X532)</f>
        <v/>
      </c>
      <c r="Z532" s="68" t="str" cm="1">
        <f t="array" ref="Z532">CalculerNouvelleDate(J532,Y532)</f>
        <v/>
      </c>
      <c r="AA532" s="68" t="str" cm="1">
        <f t="array" ref="AA532">CalculerNouvelleDate(K532,Z532)</f>
        <v/>
      </c>
      <c r="AB532" s="68" t="str" cm="1">
        <f t="array" ref="AB532">CalculerNouvelleDate(L532,AA532)</f>
        <v/>
      </c>
      <c r="AC532" s="68" t="str" cm="1">
        <f t="array" ref="AC532">CalculerNouvelleDate(M532,AB532)</f>
        <v/>
      </c>
      <c r="AD532" s="68" t="str" cm="1">
        <f t="array" ref="AD532">CalculerNouvelleDate(N532,AC532)</f>
        <v/>
      </c>
      <c r="AE532" s="68" t="str" cm="1">
        <f t="array" ref="AE532">CalculerNouvelleDate(O532,AD532)</f>
        <v/>
      </c>
      <c r="AF532" s="68" t="str" cm="1">
        <f t="array" ref="AF532">CalculerNouvelleDate(P532,AE532)</f>
        <v/>
      </c>
      <c r="AG532" s="68" t="str" cm="1">
        <f t="array" ref="AG532">CalculerNouvelleDate(Q532,AF532)</f>
        <v/>
      </c>
      <c r="AH532" s="68" t="str" cm="1">
        <f t="array" ref="AH532">CalculerNouvelleDate(R532,AG532)</f>
        <v/>
      </c>
      <c r="AI532" s="68" t="str" cm="1">
        <f t="array" ref="AI532">CalculerNouvelleDate(S532,AH532)</f>
        <v/>
      </c>
      <c r="AJ532" s="68" t="str" cm="1">
        <f t="array" ref="AJ532">CalculerNouvelleDate(T532,AI532)</f>
        <v/>
      </c>
      <c r="AK532" s="68" t="str" cm="1">
        <f t="array" ref="AK532">CalculerNouvelleDate(U532,AJ532)</f>
        <v/>
      </c>
      <c r="AL532" s="68" t="str" cm="1">
        <f t="array" ref="AL532">CalculerNouvelleDate(V532,AK532)</f>
        <v/>
      </c>
      <c r="AM532" s="83" t="str" cm="1">
        <f t="array" ref="AM532">CorrespondanceDAte(X532:AL532,D533)</f>
        <v>0</v>
      </c>
      <c r="AN532" s="1"/>
      <c r="AO532" s="1"/>
      <c r="AP532" s="1"/>
      <c r="AQ532" s="1"/>
      <c r="AR532" s="1"/>
      <c r="AS532" s="1"/>
      <c r="AT532" s="1"/>
      <c r="AU532" s="1"/>
      <c r="AV532" s="1"/>
      <c r="AW532" s="1"/>
      <c r="AX532" s="1"/>
      <c r="AY532" s="1"/>
      <c r="AZ532" s="1"/>
      <c r="BA532" s="1"/>
    </row>
    <row r="533" spans="1:53" x14ac:dyDescent="0.3">
      <c r="A533" s="1"/>
      <c r="B533" s="11"/>
      <c r="C533" s="69" t="s">
        <v>716</v>
      </c>
      <c r="D533" s="1"/>
      <c r="E533" s="1"/>
      <c r="F533" s="1"/>
      <c r="G533" s="1"/>
      <c r="H533" s="43"/>
      <c r="I533" s="46"/>
      <c r="J533" s="46"/>
      <c r="K533" s="46"/>
      <c r="L533" s="46"/>
      <c r="M533" s="46"/>
      <c r="N533" s="46"/>
      <c r="O533" s="46"/>
      <c r="P533" s="46"/>
      <c r="Q533" s="46"/>
      <c r="R533" s="46"/>
      <c r="S533" s="46"/>
      <c r="T533" s="46"/>
      <c r="U533" s="46"/>
      <c r="V533" s="46"/>
      <c r="W533" s="62"/>
      <c r="X533" s="67"/>
      <c r="Y533" s="68" t="str" cm="1">
        <f t="array" ref="Y533">CalculerNouvelleDate(I533,X533)</f>
        <v/>
      </c>
      <c r="Z533" s="68" t="str" cm="1">
        <f t="array" ref="Z533">CalculerNouvelleDate(J533,Y533)</f>
        <v/>
      </c>
      <c r="AA533" s="68" t="str" cm="1">
        <f t="array" ref="AA533">CalculerNouvelleDate(K533,Z533)</f>
        <v/>
      </c>
      <c r="AB533" s="68" t="str" cm="1">
        <f t="array" ref="AB533">CalculerNouvelleDate(L533,AA533)</f>
        <v/>
      </c>
      <c r="AC533" s="68" t="str" cm="1">
        <f t="array" ref="AC533">CalculerNouvelleDate(M533,AB533)</f>
        <v/>
      </c>
      <c r="AD533" s="68" t="str" cm="1">
        <f t="array" ref="AD533">CalculerNouvelleDate(N533,AC533)</f>
        <v/>
      </c>
      <c r="AE533" s="68" t="str" cm="1">
        <f t="array" ref="AE533">CalculerNouvelleDate(O533,AD533)</f>
        <v/>
      </c>
      <c r="AF533" s="68" t="str" cm="1">
        <f t="array" ref="AF533">CalculerNouvelleDate(P533,AE533)</f>
        <v/>
      </c>
      <c r="AG533" s="68" t="str" cm="1">
        <f t="array" ref="AG533">CalculerNouvelleDate(Q533,AF533)</f>
        <v/>
      </c>
      <c r="AH533" s="68" t="str" cm="1">
        <f t="array" ref="AH533">CalculerNouvelleDate(R533,AG533)</f>
        <v/>
      </c>
      <c r="AI533" s="68" t="str" cm="1">
        <f t="array" ref="AI533">CalculerNouvelleDate(S533,AH533)</f>
        <v/>
      </c>
      <c r="AJ533" s="68" t="str" cm="1">
        <f t="array" ref="AJ533">CalculerNouvelleDate(T533,AI533)</f>
        <v/>
      </c>
      <c r="AK533" s="68" t="str" cm="1">
        <f t="array" ref="AK533">CalculerNouvelleDate(U533,AJ533)</f>
        <v/>
      </c>
      <c r="AL533" s="68" t="str" cm="1">
        <f t="array" ref="AL533">CalculerNouvelleDate(V533,AK533)</f>
        <v/>
      </c>
      <c r="AM533" s="83" t="str" cm="1">
        <f t="array" ref="AM533">CorrespondanceDAte(X533:AL533,D534)</f>
        <v>0</v>
      </c>
      <c r="AN533" s="1"/>
      <c r="AO533" s="1"/>
      <c r="AP533" s="1"/>
      <c r="AQ533" s="1"/>
      <c r="AR533" s="1"/>
      <c r="AS533" s="1"/>
      <c r="AT533" s="1"/>
      <c r="AU533" s="1"/>
      <c r="AV533" s="1"/>
      <c r="AW533" s="1"/>
      <c r="AX533" s="1"/>
      <c r="AY533" s="1"/>
      <c r="AZ533" s="1"/>
      <c r="BA533" s="1"/>
    </row>
    <row r="534" spans="1:53" x14ac:dyDescent="0.3">
      <c r="A534" s="1"/>
      <c r="B534" s="11"/>
      <c r="C534" s="1" t="s">
        <v>717</v>
      </c>
      <c r="D534" s="1"/>
      <c r="E534" s="1"/>
      <c r="F534" s="1"/>
      <c r="G534" s="1"/>
      <c r="H534" s="43"/>
      <c r="I534" s="46"/>
      <c r="J534" s="46"/>
      <c r="K534" s="46"/>
      <c r="L534" s="46"/>
      <c r="M534" s="46"/>
      <c r="N534" s="46"/>
      <c r="O534" s="46"/>
      <c r="P534" s="46"/>
      <c r="Q534" s="46"/>
      <c r="R534" s="46"/>
      <c r="S534" s="46"/>
      <c r="T534" s="46"/>
      <c r="U534" s="46"/>
      <c r="V534" s="46"/>
      <c r="W534" s="62"/>
      <c r="X534" s="67"/>
      <c r="Y534" s="68" t="str" cm="1">
        <f t="array" ref="Y534">CalculerNouvelleDate(I534,X534)</f>
        <v/>
      </c>
      <c r="Z534" s="68" t="str" cm="1">
        <f t="array" ref="Z534">CalculerNouvelleDate(J534,Y534)</f>
        <v/>
      </c>
      <c r="AA534" s="68" t="str" cm="1">
        <f t="array" ref="AA534">CalculerNouvelleDate(K534,Z534)</f>
        <v/>
      </c>
      <c r="AB534" s="68" t="str" cm="1">
        <f t="array" ref="AB534">CalculerNouvelleDate(L534,AA534)</f>
        <v/>
      </c>
      <c r="AC534" s="68" t="str" cm="1">
        <f t="array" ref="AC534">CalculerNouvelleDate(M534,AB534)</f>
        <v/>
      </c>
      <c r="AD534" s="68" t="str" cm="1">
        <f t="array" ref="AD534">CalculerNouvelleDate(N534,AC534)</f>
        <v/>
      </c>
      <c r="AE534" s="68" t="str" cm="1">
        <f t="array" ref="AE534">CalculerNouvelleDate(O534,AD534)</f>
        <v/>
      </c>
      <c r="AF534" s="68" t="str" cm="1">
        <f t="array" ref="AF534">CalculerNouvelleDate(P534,AE534)</f>
        <v/>
      </c>
      <c r="AG534" s="68" t="str" cm="1">
        <f t="array" ref="AG534">CalculerNouvelleDate(Q534,AF534)</f>
        <v/>
      </c>
      <c r="AH534" s="68" t="str" cm="1">
        <f t="array" ref="AH534">CalculerNouvelleDate(R534,AG534)</f>
        <v/>
      </c>
      <c r="AI534" s="68" t="str" cm="1">
        <f t="array" ref="AI534">CalculerNouvelleDate(S534,AH534)</f>
        <v/>
      </c>
      <c r="AJ534" s="68" t="str" cm="1">
        <f t="array" ref="AJ534">CalculerNouvelleDate(T534,AI534)</f>
        <v/>
      </c>
      <c r="AK534" s="68" t="str" cm="1">
        <f t="array" ref="AK534">CalculerNouvelleDate(U534,AJ534)</f>
        <v/>
      </c>
      <c r="AL534" s="68" t="str" cm="1">
        <f t="array" ref="AL534">CalculerNouvelleDate(V534,AK534)</f>
        <v/>
      </c>
      <c r="AM534" s="83" t="str" cm="1">
        <f t="array" ref="AM534">CorrespondanceDAte(X534:AL534,D535)</f>
        <v>0</v>
      </c>
      <c r="AN534" s="1"/>
      <c r="AO534" s="1"/>
      <c r="AP534" s="1"/>
      <c r="AQ534" s="1"/>
      <c r="AR534" s="1"/>
      <c r="AS534" s="1"/>
      <c r="AT534" s="1"/>
      <c r="AU534" s="1"/>
      <c r="AV534" s="1"/>
      <c r="AW534" s="1"/>
      <c r="AX534" s="1"/>
      <c r="AY534" s="1"/>
      <c r="AZ534" s="1"/>
      <c r="BA534" s="1"/>
    </row>
    <row r="535" spans="1:53" x14ac:dyDescent="0.3">
      <c r="A535" s="1"/>
      <c r="B535" s="11"/>
      <c r="C535" s="69" t="s">
        <v>718</v>
      </c>
      <c r="D535" s="1"/>
      <c r="E535" s="1"/>
      <c r="F535" s="1"/>
      <c r="G535" s="1"/>
      <c r="H535" s="43"/>
      <c r="I535" s="46"/>
      <c r="J535" s="46"/>
      <c r="K535" s="46"/>
      <c r="L535" s="46"/>
      <c r="M535" s="46"/>
      <c r="N535" s="46"/>
      <c r="O535" s="46"/>
      <c r="P535" s="46"/>
      <c r="Q535" s="46"/>
      <c r="R535" s="46"/>
      <c r="S535" s="46"/>
      <c r="T535" s="46"/>
      <c r="U535" s="46"/>
      <c r="V535" s="46"/>
      <c r="W535" s="62"/>
      <c r="X535" s="67"/>
      <c r="Y535" s="68" t="str" cm="1">
        <f t="array" ref="Y535">CalculerNouvelleDate(I535,X535)</f>
        <v/>
      </c>
      <c r="Z535" s="68" t="str" cm="1">
        <f t="array" ref="Z535">CalculerNouvelleDate(J535,Y535)</f>
        <v/>
      </c>
      <c r="AA535" s="68" t="str" cm="1">
        <f t="array" ref="AA535">CalculerNouvelleDate(K535,Z535)</f>
        <v/>
      </c>
      <c r="AB535" s="68" t="str" cm="1">
        <f t="array" ref="AB535">CalculerNouvelleDate(L535,AA535)</f>
        <v/>
      </c>
      <c r="AC535" s="68" t="str" cm="1">
        <f t="array" ref="AC535">CalculerNouvelleDate(M535,AB535)</f>
        <v/>
      </c>
      <c r="AD535" s="68" t="str" cm="1">
        <f t="array" ref="AD535">CalculerNouvelleDate(N535,AC535)</f>
        <v/>
      </c>
      <c r="AE535" s="68" t="str" cm="1">
        <f t="array" ref="AE535">CalculerNouvelleDate(O535,AD535)</f>
        <v/>
      </c>
      <c r="AF535" s="68" t="str" cm="1">
        <f t="array" ref="AF535">CalculerNouvelleDate(P535,AE535)</f>
        <v/>
      </c>
      <c r="AG535" s="68" t="str" cm="1">
        <f t="array" ref="AG535">CalculerNouvelleDate(Q535,AF535)</f>
        <v/>
      </c>
      <c r="AH535" s="68" t="str" cm="1">
        <f t="array" ref="AH535">CalculerNouvelleDate(R535,AG535)</f>
        <v/>
      </c>
      <c r="AI535" s="68" t="str" cm="1">
        <f t="array" ref="AI535">CalculerNouvelleDate(S535,AH535)</f>
        <v/>
      </c>
      <c r="AJ535" s="68" t="str" cm="1">
        <f t="array" ref="AJ535">CalculerNouvelleDate(T535,AI535)</f>
        <v/>
      </c>
      <c r="AK535" s="68" t="str" cm="1">
        <f t="array" ref="AK535">CalculerNouvelleDate(U535,AJ535)</f>
        <v/>
      </c>
      <c r="AL535" s="68" t="str" cm="1">
        <f t="array" ref="AL535">CalculerNouvelleDate(V535,AK535)</f>
        <v/>
      </c>
      <c r="AM535" s="83" t="str" cm="1">
        <f t="array" ref="AM535">CorrespondanceDAte(X535:AL535,D536)</f>
        <v>0</v>
      </c>
      <c r="AN535" s="1"/>
      <c r="AO535" s="1"/>
      <c r="AP535" s="1"/>
      <c r="AQ535" s="1"/>
      <c r="AR535" s="1"/>
      <c r="AS535" s="1"/>
      <c r="AT535" s="1"/>
      <c r="AU535" s="1"/>
      <c r="AV535" s="1"/>
      <c r="AW535" s="1"/>
      <c r="AX535" s="1"/>
      <c r="AY535" s="1"/>
      <c r="AZ535" s="1"/>
      <c r="BA535" s="1"/>
    </row>
    <row r="536" spans="1:53" x14ac:dyDescent="0.3">
      <c r="A536" s="1"/>
      <c r="B536" s="11"/>
      <c r="C536" s="69" t="s">
        <v>719</v>
      </c>
      <c r="D536" s="1"/>
      <c r="E536" s="1"/>
      <c r="F536" s="1"/>
      <c r="G536" s="1"/>
      <c r="H536" s="43"/>
      <c r="I536" s="46"/>
      <c r="J536" s="46"/>
      <c r="K536" s="46"/>
      <c r="L536" s="46"/>
      <c r="M536" s="46"/>
      <c r="N536" s="46"/>
      <c r="O536" s="46"/>
      <c r="P536" s="46"/>
      <c r="Q536" s="46"/>
      <c r="R536" s="46"/>
      <c r="S536" s="46"/>
      <c r="T536" s="46"/>
      <c r="U536" s="46"/>
      <c r="V536" s="46"/>
      <c r="W536" s="62"/>
      <c r="X536" s="67"/>
      <c r="Y536" s="68" t="str" cm="1">
        <f t="array" ref="Y536">CalculerNouvelleDate(I536,X536)</f>
        <v/>
      </c>
      <c r="Z536" s="68" t="str" cm="1">
        <f t="array" ref="Z536">CalculerNouvelleDate(J536,Y536)</f>
        <v/>
      </c>
      <c r="AA536" s="68" t="str" cm="1">
        <f t="array" ref="AA536">CalculerNouvelleDate(K536,Z536)</f>
        <v/>
      </c>
      <c r="AB536" s="68" t="str" cm="1">
        <f t="array" ref="AB536">CalculerNouvelleDate(L536,AA536)</f>
        <v/>
      </c>
      <c r="AC536" s="68" t="str" cm="1">
        <f t="array" ref="AC536">CalculerNouvelleDate(M536,AB536)</f>
        <v/>
      </c>
      <c r="AD536" s="68" t="str" cm="1">
        <f t="array" ref="AD536">CalculerNouvelleDate(N536,AC536)</f>
        <v/>
      </c>
      <c r="AE536" s="68" t="str" cm="1">
        <f t="array" ref="AE536">CalculerNouvelleDate(O536,AD536)</f>
        <v/>
      </c>
      <c r="AF536" s="68" t="str" cm="1">
        <f t="array" ref="AF536">CalculerNouvelleDate(P536,AE536)</f>
        <v/>
      </c>
      <c r="AG536" s="68" t="str" cm="1">
        <f t="array" ref="AG536">CalculerNouvelleDate(Q536,AF536)</f>
        <v/>
      </c>
      <c r="AH536" s="68" t="str" cm="1">
        <f t="array" ref="AH536">CalculerNouvelleDate(R536,AG536)</f>
        <v/>
      </c>
      <c r="AI536" s="68" t="str" cm="1">
        <f t="array" ref="AI536">CalculerNouvelleDate(S536,AH536)</f>
        <v/>
      </c>
      <c r="AJ536" s="68" t="str" cm="1">
        <f t="array" ref="AJ536">CalculerNouvelleDate(T536,AI536)</f>
        <v/>
      </c>
      <c r="AK536" s="68" t="str" cm="1">
        <f t="array" ref="AK536">CalculerNouvelleDate(U536,AJ536)</f>
        <v/>
      </c>
      <c r="AL536" s="68" t="str" cm="1">
        <f t="array" ref="AL536">CalculerNouvelleDate(V536,AK536)</f>
        <v/>
      </c>
      <c r="AM536" s="83" t="str" cm="1">
        <f t="array" ref="AM536">CorrespondanceDAte(X536:AL536,D537)</f>
        <v>0</v>
      </c>
      <c r="AN536" s="1"/>
      <c r="AO536" s="1"/>
      <c r="AP536" s="1"/>
      <c r="AQ536" s="1"/>
      <c r="AR536" s="1"/>
      <c r="AS536" s="1"/>
      <c r="AT536" s="1"/>
      <c r="AU536" s="1"/>
      <c r="AV536" s="1"/>
      <c r="AW536" s="1"/>
      <c r="AX536" s="1"/>
      <c r="AY536" s="1"/>
      <c r="AZ536" s="1"/>
      <c r="BA536" s="1"/>
    </row>
    <row r="537" spans="1:53" x14ac:dyDescent="0.3">
      <c r="A537" s="1"/>
      <c r="B537" s="11"/>
      <c r="C537" s="69" t="s">
        <v>720</v>
      </c>
      <c r="D537" s="1"/>
      <c r="E537" s="1"/>
      <c r="F537" s="1"/>
      <c r="G537" s="1"/>
      <c r="H537" s="43"/>
      <c r="I537" s="46"/>
      <c r="J537" s="46"/>
      <c r="K537" s="46"/>
      <c r="L537" s="46"/>
      <c r="M537" s="46"/>
      <c r="N537" s="46"/>
      <c r="O537" s="46"/>
      <c r="P537" s="46"/>
      <c r="Q537" s="46"/>
      <c r="R537" s="46"/>
      <c r="S537" s="46"/>
      <c r="T537" s="46"/>
      <c r="U537" s="46"/>
      <c r="V537" s="46"/>
      <c r="W537" s="62"/>
      <c r="X537" s="67"/>
      <c r="Y537" s="68" t="str" cm="1">
        <f t="array" ref="Y537">CalculerNouvelleDate(I537,X537)</f>
        <v/>
      </c>
      <c r="Z537" s="68" t="str" cm="1">
        <f t="array" ref="Z537">CalculerNouvelleDate(J537,Y537)</f>
        <v/>
      </c>
      <c r="AA537" s="68" t="str" cm="1">
        <f t="array" ref="AA537">CalculerNouvelleDate(K537,Z537)</f>
        <v/>
      </c>
      <c r="AB537" s="68" t="str" cm="1">
        <f t="array" ref="AB537">CalculerNouvelleDate(L537,AA537)</f>
        <v/>
      </c>
      <c r="AC537" s="68" t="str" cm="1">
        <f t="array" ref="AC537">CalculerNouvelleDate(M537,AB537)</f>
        <v/>
      </c>
      <c r="AD537" s="68" t="str" cm="1">
        <f t="array" ref="AD537">CalculerNouvelleDate(N537,AC537)</f>
        <v/>
      </c>
      <c r="AE537" s="68" t="str" cm="1">
        <f t="array" ref="AE537">CalculerNouvelleDate(O537,AD537)</f>
        <v/>
      </c>
      <c r="AF537" s="68" t="str" cm="1">
        <f t="array" ref="AF537">CalculerNouvelleDate(P537,AE537)</f>
        <v/>
      </c>
      <c r="AG537" s="68" t="str" cm="1">
        <f t="array" ref="AG537">CalculerNouvelleDate(Q537,AF537)</f>
        <v/>
      </c>
      <c r="AH537" s="68" t="str" cm="1">
        <f t="array" ref="AH537">CalculerNouvelleDate(R537,AG537)</f>
        <v/>
      </c>
      <c r="AI537" s="68" t="str" cm="1">
        <f t="array" ref="AI537">CalculerNouvelleDate(S537,AH537)</f>
        <v/>
      </c>
      <c r="AJ537" s="68" t="str" cm="1">
        <f t="array" ref="AJ537">CalculerNouvelleDate(T537,AI537)</f>
        <v/>
      </c>
      <c r="AK537" s="68" t="str" cm="1">
        <f t="array" ref="AK537">CalculerNouvelleDate(U537,AJ537)</f>
        <v/>
      </c>
      <c r="AL537" s="68" t="str" cm="1">
        <f t="array" ref="AL537">CalculerNouvelleDate(V537,AK537)</f>
        <v/>
      </c>
      <c r="AM537" s="83" t="str" cm="1">
        <f t="array" ref="AM537">CorrespondanceDAte(X537:AL537,D538)</f>
        <v>0</v>
      </c>
      <c r="AN537" s="1"/>
      <c r="AO537" s="1"/>
      <c r="AP537" s="1"/>
      <c r="AQ537" s="1"/>
      <c r="AR537" s="1"/>
      <c r="AS537" s="1"/>
      <c r="AT537" s="1"/>
      <c r="AU537" s="1"/>
      <c r="AV537" s="1"/>
      <c r="AW537" s="1"/>
      <c r="AX537" s="1"/>
      <c r="AY537" s="1"/>
      <c r="AZ537" s="1"/>
      <c r="BA537" s="1"/>
    </row>
    <row r="538" spans="1:53" x14ac:dyDescent="0.3">
      <c r="A538" s="1"/>
      <c r="B538" s="11"/>
      <c r="C538" s="1" t="s">
        <v>770</v>
      </c>
      <c r="D538" s="1"/>
      <c r="E538" s="1"/>
      <c r="F538" s="1"/>
      <c r="G538" s="1"/>
      <c r="H538" s="43"/>
      <c r="I538" s="46"/>
      <c r="J538" s="46"/>
      <c r="K538" s="46"/>
      <c r="L538" s="46"/>
      <c r="M538" s="46"/>
      <c r="N538" s="46"/>
      <c r="O538" s="46"/>
      <c r="P538" s="46"/>
      <c r="Q538" s="46"/>
      <c r="R538" s="46"/>
      <c r="S538" s="46"/>
      <c r="T538" s="46"/>
      <c r="U538" s="46"/>
      <c r="V538" s="46"/>
      <c r="W538" s="62"/>
      <c r="X538" s="67"/>
      <c r="Y538" s="68" t="str" cm="1">
        <f t="array" ref="Y538">CalculerNouvelleDate(I538,X538)</f>
        <v/>
      </c>
      <c r="Z538" s="68" t="str" cm="1">
        <f t="array" ref="Z538">CalculerNouvelleDate(J538,Y538)</f>
        <v/>
      </c>
      <c r="AA538" s="68" t="str" cm="1">
        <f t="array" ref="AA538">CalculerNouvelleDate(K538,Z538)</f>
        <v/>
      </c>
      <c r="AB538" s="68" t="str" cm="1">
        <f t="array" ref="AB538">CalculerNouvelleDate(L538,AA538)</f>
        <v/>
      </c>
      <c r="AC538" s="68" t="str" cm="1">
        <f t="array" ref="AC538">CalculerNouvelleDate(M538,AB538)</f>
        <v/>
      </c>
      <c r="AD538" s="68" t="str" cm="1">
        <f t="array" ref="AD538">CalculerNouvelleDate(N538,AC538)</f>
        <v/>
      </c>
      <c r="AE538" s="68" t="str" cm="1">
        <f t="array" ref="AE538">CalculerNouvelleDate(O538,AD538)</f>
        <v/>
      </c>
      <c r="AF538" s="68" t="str" cm="1">
        <f t="array" ref="AF538">CalculerNouvelleDate(P538,AE538)</f>
        <v/>
      </c>
      <c r="AG538" s="68" t="str" cm="1">
        <f t="array" ref="AG538">CalculerNouvelleDate(Q538,AF538)</f>
        <v/>
      </c>
      <c r="AH538" s="68" t="str" cm="1">
        <f t="array" ref="AH538">CalculerNouvelleDate(R538,AG538)</f>
        <v/>
      </c>
      <c r="AI538" s="68" t="str" cm="1">
        <f t="array" ref="AI538">CalculerNouvelleDate(S538,AH538)</f>
        <v/>
      </c>
      <c r="AJ538" s="68" t="str" cm="1">
        <f t="array" ref="AJ538">CalculerNouvelleDate(T538,AI538)</f>
        <v/>
      </c>
      <c r="AK538" s="68" t="str" cm="1">
        <f t="array" ref="AK538">CalculerNouvelleDate(U538,AJ538)</f>
        <v/>
      </c>
      <c r="AL538" s="68" t="str" cm="1">
        <f t="array" ref="AL538">CalculerNouvelleDate(V538,AK538)</f>
        <v/>
      </c>
      <c r="AM538" s="83" t="str" cm="1">
        <f t="array" ref="AM538">CorrespondanceDAte(X538:AL538,D539)</f>
        <v>0</v>
      </c>
      <c r="AN538" s="1"/>
      <c r="AO538" s="1"/>
      <c r="AP538" s="1"/>
      <c r="AQ538" s="1"/>
      <c r="AR538" s="1"/>
      <c r="AS538" s="1"/>
      <c r="AT538" s="1"/>
      <c r="AU538" s="1"/>
      <c r="AV538" s="1"/>
      <c r="AW538" s="1"/>
      <c r="AX538" s="1"/>
      <c r="AY538" s="1"/>
      <c r="AZ538" s="1"/>
      <c r="BA538" s="1"/>
    </row>
    <row r="539" spans="1:53" x14ac:dyDescent="0.3">
      <c r="A539" s="1"/>
      <c r="B539" s="11"/>
      <c r="C539" s="69" t="s">
        <v>771</v>
      </c>
      <c r="D539" s="1"/>
      <c r="E539" s="1"/>
      <c r="F539" s="1"/>
      <c r="G539" s="1"/>
      <c r="H539" s="43"/>
      <c r="I539" s="46"/>
      <c r="J539" s="46"/>
      <c r="K539" s="46"/>
      <c r="L539" s="46"/>
      <c r="M539" s="46"/>
      <c r="N539" s="46"/>
      <c r="O539" s="46"/>
      <c r="P539" s="46"/>
      <c r="Q539" s="46"/>
      <c r="R539" s="46"/>
      <c r="S539" s="46"/>
      <c r="T539" s="46"/>
      <c r="U539" s="46"/>
      <c r="V539" s="46"/>
      <c r="W539" s="62"/>
      <c r="X539" s="67"/>
      <c r="Y539" s="68" t="str" cm="1">
        <f t="array" ref="Y539">CalculerNouvelleDate(I539,X539)</f>
        <v/>
      </c>
      <c r="Z539" s="68" t="str" cm="1">
        <f t="array" ref="Z539">CalculerNouvelleDate(J539,Y539)</f>
        <v/>
      </c>
      <c r="AA539" s="68" t="str" cm="1">
        <f t="array" ref="AA539">CalculerNouvelleDate(K539,Z539)</f>
        <v/>
      </c>
      <c r="AB539" s="68" t="str" cm="1">
        <f t="array" ref="AB539">CalculerNouvelleDate(L539,AA539)</f>
        <v/>
      </c>
      <c r="AC539" s="68" t="str" cm="1">
        <f t="array" ref="AC539">CalculerNouvelleDate(M539,AB539)</f>
        <v/>
      </c>
      <c r="AD539" s="68" t="str" cm="1">
        <f t="array" ref="AD539">CalculerNouvelleDate(N539,AC539)</f>
        <v/>
      </c>
      <c r="AE539" s="68" t="str" cm="1">
        <f t="array" ref="AE539">CalculerNouvelleDate(O539,AD539)</f>
        <v/>
      </c>
      <c r="AF539" s="68" t="str" cm="1">
        <f t="array" ref="AF539">CalculerNouvelleDate(P539,AE539)</f>
        <v/>
      </c>
      <c r="AG539" s="68" t="str" cm="1">
        <f t="array" ref="AG539">CalculerNouvelleDate(Q539,AF539)</f>
        <v/>
      </c>
      <c r="AH539" s="68" t="str" cm="1">
        <f t="array" ref="AH539">CalculerNouvelleDate(R539,AG539)</f>
        <v/>
      </c>
      <c r="AI539" s="68" t="str" cm="1">
        <f t="array" ref="AI539">CalculerNouvelleDate(S539,AH539)</f>
        <v/>
      </c>
      <c r="AJ539" s="68" t="str" cm="1">
        <f t="array" ref="AJ539">CalculerNouvelleDate(T539,AI539)</f>
        <v/>
      </c>
      <c r="AK539" s="68" t="str" cm="1">
        <f t="array" ref="AK539">CalculerNouvelleDate(U539,AJ539)</f>
        <v/>
      </c>
      <c r="AL539" s="68" t="str" cm="1">
        <f t="array" ref="AL539">CalculerNouvelleDate(V539,AK539)</f>
        <v/>
      </c>
      <c r="AM539" s="83" t="str" cm="1">
        <f t="array" ref="AM539">CorrespondanceDAte(X539:AL539,D540)</f>
        <v>0</v>
      </c>
      <c r="AN539" s="1"/>
      <c r="AO539" s="1"/>
      <c r="AP539" s="1"/>
      <c r="AQ539" s="1"/>
      <c r="AR539" s="1"/>
      <c r="AS539" s="1"/>
      <c r="AT539" s="1"/>
      <c r="AU539" s="1"/>
      <c r="AV539" s="1"/>
      <c r="AW539" s="1"/>
      <c r="AX539" s="1"/>
      <c r="AY539" s="1"/>
      <c r="AZ539" s="1"/>
      <c r="BA539" s="1"/>
    </row>
    <row r="540" spans="1:53" x14ac:dyDescent="0.3">
      <c r="A540" s="1"/>
      <c r="B540" s="11"/>
      <c r="C540" s="69" t="s">
        <v>772</v>
      </c>
      <c r="D540" s="1"/>
      <c r="E540" s="1"/>
      <c r="F540" s="1"/>
      <c r="G540" s="1"/>
      <c r="H540" s="43"/>
      <c r="I540" s="46"/>
      <c r="J540" s="46"/>
      <c r="K540" s="46"/>
      <c r="L540" s="46"/>
      <c r="M540" s="46"/>
      <c r="N540" s="46"/>
      <c r="O540" s="46"/>
      <c r="P540" s="46"/>
      <c r="Q540" s="46"/>
      <c r="R540" s="46"/>
      <c r="S540" s="46"/>
      <c r="T540" s="46"/>
      <c r="U540" s="46"/>
      <c r="V540" s="46"/>
      <c r="W540" s="62"/>
      <c r="X540" s="67"/>
      <c r="Y540" s="68" t="str" cm="1">
        <f t="array" ref="Y540">CalculerNouvelleDate(I540,X540)</f>
        <v/>
      </c>
      <c r="Z540" s="68" t="str" cm="1">
        <f t="array" ref="Z540">CalculerNouvelleDate(J540,Y540)</f>
        <v/>
      </c>
      <c r="AA540" s="68" t="str" cm="1">
        <f t="array" ref="AA540">CalculerNouvelleDate(K540,Z540)</f>
        <v/>
      </c>
      <c r="AB540" s="68" t="str" cm="1">
        <f t="array" ref="AB540">CalculerNouvelleDate(L540,AA540)</f>
        <v/>
      </c>
      <c r="AC540" s="68" t="str" cm="1">
        <f t="array" ref="AC540">CalculerNouvelleDate(M540,AB540)</f>
        <v/>
      </c>
      <c r="AD540" s="68" t="str" cm="1">
        <f t="array" ref="AD540">CalculerNouvelleDate(N540,AC540)</f>
        <v/>
      </c>
      <c r="AE540" s="68" t="str" cm="1">
        <f t="array" ref="AE540">CalculerNouvelleDate(O540,AD540)</f>
        <v/>
      </c>
      <c r="AF540" s="68" t="str" cm="1">
        <f t="array" ref="AF540">CalculerNouvelleDate(P540,AE540)</f>
        <v/>
      </c>
      <c r="AG540" s="68" t="str" cm="1">
        <f t="array" ref="AG540">CalculerNouvelleDate(Q540,AF540)</f>
        <v/>
      </c>
      <c r="AH540" s="68" t="str" cm="1">
        <f t="array" ref="AH540">CalculerNouvelleDate(R540,AG540)</f>
        <v/>
      </c>
      <c r="AI540" s="68" t="str" cm="1">
        <f t="array" ref="AI540">CalculerNouvelleDate(S540,AH540)</f>
        <v/>
      </c>
      <c r="AJ540" s="68" t="str" cm="1">
        <f t="array" ref="AJ540">CalculerNouvelleDate(T540,AI540)</f>
        <v/>
      </c>
      <c r="AK540" s="68" t="str" cm="1">
        <f t="array" ref="AK540">CalculerNouvelleDate(U540,AJ540)</f>
        <v/>
      </c>
      <c r="AL540" s="68" t="str" cm="1">
        <f t="array" ref="AL540">CalculerNouvelleDate(V540,AK540)</f>
        <v/>
      </c>
      <c r="AM540" s="83" t="str" cm="1">
        <f t="array" ref="AM540">CorrespondanceDAte(X540:AL540,D541)</f>
        <v>0</v>
      </c>
      <c r="AN540" s="1"/>
      <c r="AO540" s="1"/>
      <c r="AP540" s="1"/>
      <c r="AQ540" s="1"/>
      <c r="AR540" s="1"/>
      <c r="AS540" s="1"/>
      <c r="AT540" s="1"/>
      <c r="AU540" s="1"/>
      <c r="AV540" s="1"/>
      <c r="AW540" s="1"/>
      <c r="AX540" s="1"/>
      <c r="AY540" s="1"/>
      <c r="AZ540" s="1"/>
      <c r="BA540" s="1"/>
    </row>
    <row r="541" spans="1:53" x14ac:dyDescent="0.3">
      <c r="A541" s="1"/>
      <c r="B541" s="11"/>
      <c r="C541" s="69" t="s">
        <v>773</v>
      </c>
      <c r="D541" s="1"/>
      <c r="E541" s="1"/>
      <c r="F541" s="1"/>
      <c r="G541" s="1"/>
      <c r="H541" s="43"/>
      <c r="I541" s="46"/>
      <c r="J541" s="46"/>
      <c r="K541" s="46"/>
      <c r="L541" s="46"/>
      <c r="M541" s="46"/>
      <c r="N541" s="46"/>
      <c r="O541" s="46"/>
      <c r="P541" s="46"/>
      <c r="Q541" s="46"/>
      <c r="R541" s="46"/>
      <c r="S541" s="46"/>
      <c r="T541" s="46"/>
      <c r="U541" s="46"/>
      <c r="V541" s="46"/>
      <c r="W541" s="62"/>
      <c r="X541" s="67"/>
      <c r="Y541" s="68" t="str" cm="1">
        <f t="array" ref="Y541">CalculerNouvelleDate(I541,X541)</f>
        <v/>
      </c>
      <c r="Z541" s="68" t="str" cm="1">
        <f t="array" ref="Z541">CalculerNouvelleDate(J541,Y541)</f>
        <v/>
      </c>
      <c r="AA541" s="68" t="str" cm="1">
        <f t="array" ref="AA541">CalculerNouvelleDate(K541,Z541)</f>
        <v/>
      </c>
      <c r="AB541" s="68" t="str" cm="1">
        <f t="array" ref="AB541">CalculerNouvelleDate(L541,AA541)</f>
        <v/>
      </c>
      <c r="AC541" s="68" t="str" cm="1">
        <f t="array" ref="AC541">CalculerNouvelleDate(M541,AB541)</f>
        <v/>
      </c>
      <c r="AD541" s="68" t="str" cm="1">
        <f t="array" ref="AD541">CalculerNouvelleDate(N541,AC541)</f>
        <v/>
      </c>
      <c r="AE541" s="68" t="str" cm="1">
        <f t="array" ref="AE541">CalculerNouvelleDate(O541,AD541)</f>
        <v/>
      </c>
      <c r="AF541" s="68" t="str" cm="1">
        <f t="array" ref="AF541">CalculerNouvelleDate(P541,AE541)</f>
        <v/>
      </c>
      <c r="AG541" s="68" t="str" cm="1">
        <f t="array" ref="AG541">CalculerNouvelleDate(Q541,AF541)</f>
        <v/>
      </c>
      <c r="AH541" s="68" t="str" cm="1">
        <f t="array" ref="AH541">CalculerNouvelleDate(R541,AG541)</f>
        <v/>
      </c>
      <c r="AI541" s="68" t="str" cm="1">
        <f t="array" ref="AI541">CalculerNouvelleDate(S541,AH541)</f>
        <v/>
      </c>
      <c r="AJ541" s="68" t="str" cm="1">
        <f t="array" ref="AJ541">CalculerNouvelleDate(T541,AI541)</f>
        <v/>
      </c>
      <c r="AK541" s="68" t="str" cm="1">
        <f t="array" ref="AK541">CalculerNouvelleDate(U541,AJ541)</f>
        <v/>
      </c>
      <c r="AL541" s="68" t="str" cm="1">
        <f t="array" ref="AL541">CalculerNouvelleDate(V541,AK541)</f>
        <v/>
      </c>
      <c r="AM541" s="83" t="str" cm="1">
        <f t="array" ref="AM541">CorrespondanceDAte(X541:AL541,D542)</f>
        <v>0</v>
      </c>
      <c r="AN541" s="1"/>
      <c r="AO541" s="1"/>
      <c r="AP541" s="1"/>
      <c r="AQ541" s="1"/>
      <c r="AR541" s="1"/>
      <c r="AS541" s="1"/>
      <c r="AT541" s="1"/>
      <c r="AU541" s="1"/>
      <c r="AV541" s="1"/>
      <c r="AW541" s="1"/>
      <c r="AX541" s="1"/>
      <c r="AY541" s="1"/>
      <c r="AZ541" s="1"/>
      <c r="BA541" s="1"/>
    </row>
    <row r="542" spans="1:53" x14ac:dyDescent="0.3">
      <c r="A542" s="1"/>
      <c r="B542" s="11"/>
      <c r="C542" s="1" t="s">
        <v>774</v>
      </c>
      <c r="D542" s="1"/>
      <c r="E542" s="1"/>
      <c r="F542" s="1"/>
      <c r="G542" s="1"/>
      <c r="H542" s="43"/>
      <c r="I542" s="46"/>
      <c r="J542" s="46"/>
      <c r="K542" s="46"/>
      <c r="L542" s="46"/>
      <c r="M542" s="46"/>
      <c r="N542" s="46"/>
      <c r="O542" s="46"/>
      <c r="P542" s="46"/>
      <c r="Q542" s="46"/>
      <c r="R542" s="46"/>
      <c r="S542" s="46"/>
      <c r="T542" s="46"/>
      <c r="U542" s="46"/>
      <c r="V542" s="46"/>
      <c r="W542" s="62"/>
      <c r="X542" s="67"/>
      <c r="Y542" s="68" t="str" cm="1">
        <f t="array" ref="Y542">CalculerNouvelleDate(I542,X542)</f>
        <v/>
      </c>
      <c r="Z542" s="68" t="str" cm="1">
        <f t="array" ref="Z542">CalculerNouvelleDate(J542,Y542)</f>
        <v/>
      </c>
      <c r="AA542" s="68" t="str" cm="1">
        <f t="array" ref="AA542">CalculerNouvelleDate(K542,Z542)</f>
        <v/>
      </c>
      <c r="AB542" s="68" t="str" cm="1">
        <f t="array" ref="AB542">CalculerNouvelleDate(L542,AA542)</f>
        <v/>
      </c>
      <c r="AC542" s="68" t="str" cm="1">
        <f t="array" ref="AC542">CalculerNouvelleDate(M542,AB542)</f>
        <v/>
      </c>
      <c r="AD542" s="68" t="str" cm="1">
        <f t="array" ref="AD542">CalculerNouvelleDate(N542,AC542)</f>
        <v/>
      </c>
      <c r="AE542" s="68" t="str" cm="1">
        <f t="array" ref="AE542">CalculerNouvelleDate(O542,AD542)</f>
        <v/>
      </c>
      <c r="AF542" s="68" t="str" cm="1">
        <f t="array" ref="AF542">CalculerNouvelleDate(P542,AE542)</f>
        <v/>
      </c>
      <c r="AG542" s="68" t="str" cm="1">
        <f t="array" ref="AG542">CalculerNouvelleDate(Q542,AF542)</f>
        <v/>
      </c>
      <c r="AH542" s="68" t="str" cm="1">
        <f t="array" ref="AH542">CalculerNouvelleDate(R542,AG542)</f>
        <v/>
      </c>
      <c r="AI542" s="68" t="str" cm="1">
        <f t="array" ref="AI542">CalculerNouvelleDate(S542,AH542)</f>
        <v/>
      </c>
      <c r="AJ542" s="68" t="str" cm="1">
        <f t="array" ref="AJ542">CalculerNouvelleDate(T542,AI542)</f>
        <v/>
      </c>
      <c r="AK542" s="68" t="str" cm="1">
        <f t="array" ref="AK542">CalculerNouvelleDate(U542,AJ542)</f>
        <v/>
      </c>
      <c r="AL542" s="68" t="str" cm="1">
        <f t="array" ref="AL542">CalculerNouvelleDate(V542,AK542)</f>
        <v/>
      </c>
      <c r="AM542" s="83" t="str" cm="1">
        <f t="array" ref="AM542">CorrespondanceDAte(X542:AL542,D543)</f>
        <v>0</v>
      </c>
      <c r="AN542" s="1"/>
      <c r="AO542" s="1"/>
      <c r="AP542" s="1"/>
      <c r="AQ542" s="1"/>
      <c r="AR542" s="1"/>
      <c r="AS542" s="1"/>
      <c r="AT542" s="1"/>
      <c r="AU542" s="1"/>
      <c r="AV542" s="1"/>
      <c r="AW542" s="1"/>
      <c r="AX542" s="1"/>
      <c r="AY542" s="1"/>
      <c r="AZ542" s="1"/>
      <c r="BA542" s="1"/>
    </row>
    <row r="543" spans="1:53" x14ac:dyDescent="0.3">
      <c r="A543" s="1"/>
      <c r="B543" s="11"/>
      <c r="C543" s="69" t="s">
        <v>775</v>
      </c>
      <c r="D543" s="1"/>
      <c r="E543" s="1"/>
      <c r="F543" s="1"/>
      <c r="G543" s="1"/>
      <c r="H543" s="43"/>
      <c r="I543" s="46"/>
      <c r="J543" s="46"/>
      <c r="K543" s="46"/>
      <c r="L543" s="46"/>
      <c r="M543" s="46"/>
      <c r="N543" s="46"/>
      <c r="O543" s="46"/>
      <c r="P543" s="46"/>
      <c r="Q543" s="46"/>
      <c r="R543" s="46"/>
      <c r="S543" s="46"/>
      <c r="T543" s="46"/>
      <c r="U543" s="46"/>
      <c r="V543" s="46"/>
      <c r="W543" s="62"/>
      <c r="X543" s="67"/>
      <c r="Y543" s="68" t="str" cm="1">
        <f t="array" ref="Y543">CalculerNouvelleDate(I543,X543)</f>
        <v/>
      </c>
      <c r="Z543" s="68" t="str" cm="1">
        <f t="array" ref="Z543">CalculerNouvelleDate(J543,Y543)</f>
        <v/>
      </c>
      <c r="AA543" s="68" t="str" cm="1">
        <f t="array" ref="AA543">CalculerNouvelleDate(K543,Z543)</f>
        <v/>
      </c>
      <c r="AB543" s="68" t="str" cm="1">
        <f t="array" ref="AB543">CalculerNouvelleDate(L543,AA543)</f>
        <v/>
      </c>
      <c r="AC543" s="68" t="str" cm="1">
        <f t="array" ref="AC543">CalculerNouvelleDate(M543,AB543)</f>
        <v/>
      </c>
      <c r="AD543" s="68" t="str" cm="1">
        <f t="array" ref="AD543">CalculerNouvelleDate(N543,AC543)</f>
        <v/>
      </c>
      <c r="AE543" s="68" t="str" cm="1">
        <f t="array" ref="AE543">CalculerNouvelleDate(O543,AD543)</f>
        <v/>
      </c>
      <c r="AF543" s="68" t="str" cm="1">
        <f t="array" ref="AF543">CalculerNouvelleDate(P543,AE543)</f>
        <v/>
      </c>
      <c r="AG543" s="68" t="str" cm="1">
        <f t="array" ref="AG543">CalculerNouvelleDate(Q543,AF543)</f>
        <v/>
      </c>
      <c r="AH543" s="68" t="str" cm="1">
        <f t="array" ref="AH543">CalculerNouvelleDate(R543,AG543)</f>
        <v/>
      </c>
      <c r="AI543" s="68" t="str" cm="1">
        <f t="array" ref="AI543">CalculerNouvelleDate(S543,AH543)</f>
        <v/>
      </c>
      <c r="AJ543" s="68" t="str" cm="1">
        <f t="array" ref="AJ543">CalculerNouvelleDate(T543,AI543)</f>
        <v/>
      </c>
      <c r="AK543" s="68" t="str" cm="1">
        <f t="array" ref="AK543">CalculerNouvelleDate(U543,AJ543)</f>
        <v/>
      </c>
      <c r="AL543" s="68" t="str" cm="1">
        <f t="array" ref="AL543">CalculerNouvelleDate(V543,AK543)</f>
        <v/>
      </c>
      <c r="AM543" s="83" t="str" cm="1">
        <f t="array" ref="AM543">CorrespondanceDAte(X543:AL543,D544)</f>
        <v>0</v>
      </c>
      <c r="AN543" s="1"/>
      <c r="AO543" s="1"/>
      <c r="AP543" s="1"/>
      <c r="AQ543" s="1"/>
      <c r="AR543" s="1"/>
      <c r="AS543" s="1"/>
      <c r="AT543" s="1"/>
      <c r="AU543" s="1"/>
      <c r="AV543" s="1"/>
      <c r="AW543" s="1"/>
      <c r="AX543" s="1"/>
      <c r="AY543" s="1"/>
      <c r="AZ543" s="1"/>
      <c r="BA543" s="1"/>
    </row>
    <row r="544" spans="1:53" x14ac:dyDescent="0.3">
      <c r="A544" s="1"/>
      <c r="B544" s="11"/>
      <c r="C544" s="69" t="s">
        <v>776</v>
      </c>
      <c r="D544" s="1"/>
      <c r="E544" s="1"/>
      <c r="F544" s="1"/>
      <c r="G544" s="1"/>
      <c r="H544" s="43"/>
      <c r="I544" s="46"/>
      <c r="J544" s="46"/>
      <c r="K544" s="46"/>
      <c r="L544" s="46"/>
      <c r="M544" s="46"/>
      <c r="N544" s="46"/>
      <c r="O544" s="46"/>
      <c r="P544" s="46"/>
      <c r="Q544" s="46"/>
      <c r="R544" s="46"/>
      <c r="S544" s="46"/>
      <c r="T544" s="46"/>
      <c r="U544" s="46"/>
      <c r="V544" s="46"/>
      <c r="W544" s="62"/>
      <c r="X544" s="67"/>
      <c r="Y544" s="68" t="str" cm="1">
        <f t="array" ref="Y544">CalculerNouvelleDate(I544,X544)</f>
        <v/>
      </c>
      <c r="Z544" s="68" t="str" cm="1">
        <f t="array" ref="Z544">CalculerNouvelleDate(J544,Y544)</f>
        <v/>
      </c>
      <c r="AA544" s="68" t="str" cm="1">
        <f t="array" ref="AA544">CalculerNouvelleDate(K544,Z544)</f>
        <v/>
      </c>
      <c r="AB544" s="68" t="str" cm="1">
        <f t="array" ref="AB544">CalculerNouvelleDate(L544,AA544)</f>
        <v/>
      </c>
      <c r="AC544" s="68" t="str" cm="1">
        <f t="array" ref="AC544">CalculerNouvelleDate(M544,AB544)</f>
        <v/>
      </c>
      <c r="AD544" s="68" t="str" cm="1">
        <f t="array" ref="AD544">CalculerNouvelleDate(N544,AC544)</f>
        <v/>
      </c>
      <c r="AE544" s="68" t="str" cm="1">
        <f t="array" ref="AE544">CalculerNouvelleDate(O544,AD544)</f>
        <v/>
      </c>
      <c r="AF544" s="68" t="str" cm="1">
        <f t="array" ref="AF544">CalculerNouvelleDate(P544,AE544)</f>
        <v/>
      </c>
      <c r="AG544" s="68" t="str" cm="1">
        <f t="array" ref="AG544">CalculerNouvelleDate(Q544,AF544)</f>
        <v/>
      </c>
      <c r="AH544" s="68" t="str" cm="1">
        <f t="array" ref="AH544">CalculerNouvelleDate(R544,AG544)</f>
        <v/>
      </c>
      <c r="AI544" s="68" t="str" cm="1">
        <f t="array" ref="AI544">CalculerNouvelleDate(S544,AH544)</f>
        <v/>
      </c>
      <c r="AJ544" s="68" t="str" cm="1">
        <f t="array" ref="AJ544">CalculerNouvelleDate(T544,AI544)</f>
        <v/>
      </c>
      <c r="AK544" s="68" t="str" cm="1">
        <f t="array" ref="AK544">CalculerNouvelleDate(U544,AJ544)</f>
        <v/>
      </c>
      <c r="AL544" s="68" t="str" cm="1">
        <f t="array" ref="AL544">CalculerNouvelleDate(V544,AK544)</f>
        <v/>
      </c>
      <c r="AM544" s="83" t="str" cm="1">
        <f t="array" ref="AM544">CorrespondanceDAte(X544:AL544,D545)</f>
        <v>0</v>
      </c>
      <c r="AN544" s="1"/>
      <c r="AO544" s="1"/>
      <c r="AP544" s="1"/>
      <c r="AQ544" s="1"/>
      <c r="AR544" s="1"/>
      <c r="AS544" s="1"/>
      <c r="AT544" s="1"/>
      <c r="AU544" s="1"/>
      <c r="AV544" s="1"/>
      <c r="AW544" s="1"/>
      <c r="AX544" s="1"/>
      <c r="AY544" s="1"/>
      <c r="AZ544" s="1"/>
      <c r="BA544" s="1"/>
    </row>
    <row r="545" spans="1:53" x14ac:dyDescent="0.3">
      <c r="A545" s="1"/>
      <c r="B545" s="11"/>
      <c r="C545" s="69" t="s">
        <v>777</v>
      </c>
      <c r="D545" s="1"/>
      <c r="E545" s="1"/>
      <c r="F545" s="1"/>
      <c r="G545" s="1"/>
      <c r="H545" s="43"/>
      <c r="I545" s="46"/>
      <c r="J545" s="46"/>
      <c r="K545" s="46"/>
      <c r="L545" s="46"/>
      <c r="M545" s="46"/>
      <c r="N545" s="46"/>
      <c r="O545" s="46"/>
      <c r="P545" s="46"/>
      <c r="Q545" s="46"/>
      <c r="R545" s="46"/>
      <c r="S545" s="46"/>
      <c r="T545" s="46"/>
      <c r="U545" s="46"/>
      <c r="V545" s="46"/>
      <c r="W545" s="62"/>
      <c r="X545" s="67"/>
      <c r="Y545" s="68" t="str" cm="1">
        <f t="array" ref="Y545">CalculerNouvelleDate(I545,X545)</f>
        <v/>
      </c>
      <c r="Z545" s="68" t="str" cm="1">
        <f t="array" ref="Z545">CalculerNouvelleDate(J545,Y545)</f>
        <v/>
      </c>
      <c r="AA545" s="68" t="str" cm="1">
        <f t="array" ref="AA545">CalculerNouvelleDate(K545,Z545)</f>
        <v/>
      </c>
      <c r="AB545" s="68" t="str" cm="1">
        <f t="array" ref="AB545">CalculerNouvelleDate(L545,AA545)</f>
        <v/>
      </c>
      <c r="AC545" s="68" t="str" cm="1">
        <f t="array" ref="AC545">CalculerNouvelleDate(M545,AB545)</f>
        <v/>
      </c>
      <c r="AD545" s="68" t="str" cm="1">
        <f t="array" ref="AD545">CalculerNouvelleDate(N545,AC545)</f>
        <v/>
      </c>
      <c r="AE545" s="68" t="str" cm="1">
        <f t="array" ref="AE545">CalculerNouvelleDate(O545,AD545)</f>
        <v/>
      </c>
      <c r="AF545" s="68" t="str" cm="1">
        <f t="array" ref="AF545">CalculerNouvelleDate(P545,AE545)</f>
        <v/>
      </c>
      <c r="AG545" s="68" t="str" cm="1">
        <f t="array" ref="AG545">CalculerNouvelleDate(Q545,AF545)</f>
        <v/>
      </c>
      <c r="AH545" s="68" t="str" cm="1">
        <f t="array" ref="AH545">CalculerNouvelleDate(R545,AG545)</f>
        <v/>
      </c>
      <c r="AI545" s="68" t="str" cm="1">
        <f t="array" ref="AI545">CalculerNouvelleDate(S545,AH545)</f>
        <v/>
      </c>
      <c r="AJ545" s="68" t="str" cm="1">
        <f t="array" ref="AJ545">CalculerNouvelleDate(T545,AI545)</f>
        <v/>
      </c>
      <c r="AK545" s="68" t="str" cm="1">
        <f t="array" ref="AK545">CalculerNouvelleDate(U545,AJ545)</f>
        <v/>
      </c>
      <c r="AL545" s="68" t="str" cm="1">
        <f t="array" ref="AL545">CalculerNouvelleDate(V545,AK545)</f>
        <v/>
      </c>
      <c r="AM545" s="83" t="str" cm="1">
        <f t="array" ref="AM545">CorrespondanceDAte(X545:AL545,D546)</f>
        <v>0</v>
      </c>
      <c r="AN545" s="1"/>
      <c r="AO545" s="1"/>
      <c r="AP545" s="1"/>
      <c r="AQ545" s="1"/>
      <c r="AR545" s="1"/>
      <c r="AS545" s="1"/>
      <c r="AT545" s="1"/>
      <c r="AU545" s="1"/>
      <c r="AV545" s="1"/>
      <c r="AW545" s="1"/>
      <c r="AX545" s="1"/>
      <c r="AY545" s="1"/>
      <c r="AZ545" s="1"/>
      <c r="BA545" s="1"/>
    </row>
    <row r="546" spans="1:53" x14ac:dyDescent="0.3">
      <c r="A546" s="1"/>
      <c r="B546" s="11"/>
      <c r="C546" s="1" t="s">
        <v>778</v>
      </c>
      <c r="D546" s="1"/>
      <c r="E546" s="1"/>
      <c r="F546" s="1"/>
      <c r="G546" s="1"/>
      <c r="H546" s="43"/>
      <c r="I546" s="46"/>
      <c r="J546" s="46"/>
      <c r="K546" s="46"/>
      <c r="L546" s="46"/>
      <c r="M546" s="46"/>
      <c r="N546" s="46"/>
      <c r="O546" s="46"/>
      <c r="P546" s="46"/>
      <c r="Q546" s="46"/>
      <c r="R546" s="46"/>
      <c r="S546" s="46"/>
      <c r="T546" s="46"/>
      <c r="U546" s="46"/>
      <c r="V546" s="46"/>
      <c r="W546" s="62"/>
      <c r="X546" s="67"/>
      <c r="Y546" s="68" t="str" cm="1">
        <f t="array" ref="Y546">CalculerNouvelleDate(I546,X546)</f>
        <v/>
      </c>
      <c r="Z546" s="68" t="str" cm="1">
        <f t="array" ref="Z546">CalculerNouvelleDate(J546,Y546)</f>
        <v/>
      </c>
      <c r="AA546" s="68" t="str" cm="1">
        <f t="array" ref="AA546">CalculerNouvelleDate(K546,Z546)</f>
        <v/>
      </c>
      <c r="AB546" s="68" t="str" cm="1">
        <f t="array" ref="AB546">CalculerNouvelleDate(L546,AA546)</f>
        <v/>
      </c>
      <c r="AC546" s="68" t="str" cm="1">
        <f t="array" ref="AC546">CalculerNouvelleDate(M546,AB546)</f>
        <v/>
      </c>
      <c r="AD546" s="68" t="str" cm="1">
        <f t="array" ref="AD546">CalculerNouvelleDate(N546,AC546)</f>
        <v/>
      </c>
      <c r="AE546" s="68" t="str" cm="1">
        <f t="array" ref="AE546">CalculerNouvelleDate(O546,AD546)</f>
        <v/>
      </c>
      <c r="AF546" s="68" t="str" cm="1">
        <f t="array" ref="AF546">CalculerNouvelleDate(P546,AE546)</f>
        <v/>
      </c>
      <c r="AG546" s="68" t="str" cm="1">
        <f t="array" ref="AG546">CalculerNouvelleDate(Q546,AF546)</f>
        <v/>
      </c>
      <c r="AH546" s="68" t="str" cm="1">
        <f t="array" ref="AH546">CalculerNouvelleDate(R546,AG546)</f>
        <v/>
      </c>
      <c r="AI546" s="68" t="str" cm="1">
        <f t="array" ref="AI546">CalculerNouvelleDate(S546,AH546)</f>
        <v/>
      </c>
      <c r="AJ546" s="68" t="str" cm="1">
        <f t="array" ref="AJ546">CalculerNouvelleDate(T546,AI546)</f>
        <v/>
      </c>
      <c r="AK546" s="68" t="str" cm="1">
        <f t="array" ref="AK546">CalculerNouvelleDate(U546,AJ546)</f>
        <v/>
      </c>
      <c r="AL546" s="68" t="str" cm="1">
        <f t="array" ref="AL546">CalculerNouvelleDate(V546,AK546)</f>
        <v/>
      </c>
      <c r="AM546" s="83" t="str" cm="1">
        <f t="array" ref="AM546">CorrespondanceDAte(X546:AL546,D547)</f>
        <v>0</v>
      </c>
      <c r="AN546" s="1"/>
      <c r="AO546" s="1"/>
      <c r="AP546" s="1"/>
      <c r="AQ546" s="1"/>
      <c r="AR546" s="1"/>
      <c r="AS546" s="1"/>
      <c r="AT546" s="1"/>
      <c r="AU546" s="1"/>
      <c r="AV546" s="1"/>
      <c r="AW546" s="1"/>
      <c r="AX546" s="1"/>
      <c r="AY546" s="1"/>
      <c r="AZ546" s="1"/>
      <c r="BA546" s="1"/>
    </row>
    <row r="547" spans="1:53" x14ac:dyDescent="0.3">
      <c r="A547" s="1"/>
      <c r="B547" s="11"/>
      <c r="C547" s="1" t="s">
        <v>779</v>
      </c>
      <c r="D547" s="1"/>
      <c r="E547" s="1"/>
      <c r="F547" s="1"/>
      <c r="G547" s="1"/>
      <c r="H547" s="43"/>
      <c r="I547" s="46"/>
      <c r="J547" s="46"/>
      <c r="K547" s="46"/>
      <c r="L547" s="46"/>
      <c r="M547" s="46"/>
      <c r="N547" s="46"/>
      <c r="O547" s="46"/>
      <c r="P547" s="46"/>
      <c r="Q547" s="46"/>
      <c r="R547" s="46"/>
      <c r="S547" s="46"/>
      <c r="T547" s="46"/>
      <c r="U547" s="46"/>
      <c r="V547" s="46"/>
      <c r="W547" s="62"/>
      <c r="X547" s="67"/>
      <c r="Y547" s="68" t="str" cm="1">
        <f t="array" ref="Y547">CalculerNouvelleDate(I547,X547)</f>
        <v/>
      </c>
      <c r="Z547" s="68" t="str" cm="1">
        <f t="array" ref="Z547">CalculerNouvelleDate(J547,Y547)</f>
        <v/>
      </c>
      <c r="AA547" s="68" t="str" cm="1">
        <f t="array" ref="AA547">CalculerNouvelleDate(K547,Z547)</f>
        <v/>
      </c>
      <c r="AB547" s="68" t="str" cm="1">
        <f t="array" ref="AB547">CalculerNouvelleDate(L547,AA547)</f>
        <v/>
      </c>
      <c r="AC547" s="68" t="str" cm="1">
        <f t="array" ref="AC547">CalculerNouvelleDate(M547,AB547)</f>
        <v/>
      </c>
      <c r="AD547" s="68" t="str" cm="1">
        <f t="array" ref="AD547">CalculerNouvelleDate(N547,AC547)</f>
        <v/>
      </c>
      <c r="AE547" s="68" t="str" cm="1">
        <f t="array" ref="AE547">CalculerNouvelleDate(O547,AD547)</f>
        <v/>
      </c>
      <c r="AF547" s="68" t="str" cm="1">
        <f t="array" ref="AF547">CalculerNouvelleDate(P547,AE547)</f>
        <v/>
      </c>
      <c r="AG547" s="68" t="str" cm="1">
        <f t="array" ref="AG547">CalculerNouvelleDate(Q547,AF547)</f>
        <v/>
      </c>
      <c r="AH547" s="68" t="str" cm="1">
        <f t="array" ref="AH547">CalculerNouvelleDate(R547,AG547)</f>
        <v/>
      </c>
      <c r="AI547" s="68" t="str" cm="1">
        <f t="array" ref="AI547">CalculerNouvelleDate(S547,AH547)</f>
        <v/>
      </c>
      <c r="AJ547" s="68" t="str" cm="1">
        <f t="array" ref="AJ547">CalculerNouvelleDate(T547,AI547)</f>
        <v/>
      </c>
      <c r="AK547" s="68" t="str" cm="1">
        <f t="array" ref="AK547">CalculerNouvelleDate(U547,AJ547)</f>
        <v/>
      </c>
      <c r="AL547" s="68" t="str" cm="1">
        <f t="array" ref="AL547">CalculerNouvelleDate(V547,AK547)</f>
        <v/>
      </c>
      <c r="AM547" s="83" t="str" cm="1">
        <f t="array" ref="AM547">CorrespondanceDAte(X547:AL547,D548)</f>
        <v>0</v>
      </c>
      <c r="AN547" s="1"/>
      <c r="AO547" s="1"/>
      <c r="AP547" s="1"/>
      <c r="AQ547" s="1"/>
      <c r="AR547" s="1"/>
      <c r="AS547" s="1"/>
      <c r="AT547" s="1"/>
      <c r="AU547" s="1"/>
      <c r="AV547" s="1"/>
      <c r="AW547" s="1"/>
      <c r="AX547" s="1"/>
      <c r="AY547" s="1"/>
      <c r="AZ547" s="1"/>
      <c r="BA547" s="1"/>
    </row>
    <row r="548" spans="1:53" x14ac:dyDescent="0.3">
      <c r="A548" s="1"/>
      <c r="B548" s="11"/>
      <c r="C548" s="69" t="s">
        <v>780</v>
      </c>
      <c r="D548" s="1"/>
      <c r="E548" s="1"/>
      <c r="F548" s="1"/>
      <c r="G548" s="1"/>
      <c r="H548" s="43"/>
      <c r="I548" s="46"/>
      <c r="J548" s="46"/>
      <c r="K548" s="46"/>
      <c r="L548" s="46"/>
      <c r="M548" s="46"/>
      <c r="N548" s="46"/>
      <c r="O548" s="46"/>
      <c r="P548" s="46"/>
      <c r="Q548" s="46"/>
      <c r="R548" s="46"/>
      <c r="S548" s="46"/>
      <c r="T548" s="46"/>
      <c r="U548" s="46"/>
      <c r="V548" s="46"/>
      <c r="W548" s="62"/>
      <c r="X548" s="67"/>
      <c r="Y548" s="68" t="str" cm="1">
        <f t="array" ref="Y548">CalculerNouvelleDate(I548,X548)</f>
        <v/>
      </c>
      <c r="Z548" s="68" t="str" cm="1">
        <f t="array" ref="Z548">CalculerNouvelleDate(J548,Y548)</f>
        <v/>
      </c>
      <c r="AA548" s="68" t="str" cm="1">
        <f t="array" ref="AA548">CalculerNouvelleDate(K548,Z548)</f>
        <v/>
      </c>
      <c r="AB548" s="68" t="str" cm="1">
        <f t="array" ref="AB548">CalculerNouvelleDate(L548,AA548)</f>
        <v/>
      </c>
      <c r="AC548" s="68" t="str" cm="1">
        <f t="array" ref="AC548">CalculerNouvelleDate(M548,AB548)</f>
        <v/>
      </c>
      <c r="AD548" s="68" t="str" cm="1">
        <f t="array" ref="AD548">CalculerNouvelleDate(N548,AC548)</f>
        <v/>
      </c>
      <c r="AE548" s="68" t="str" cm="1">
        <f t="array" ref="AE548">CalculerNouvelleDate(O548,AD548)</f>
        <v/>
      </c>
      <c r="AF548" s="68" t="str" cm="1">
        <f t="array" ref="AF548">CalculerNouvelleDate(P548,AE548)</f>
        <v/>
      </c>
      <c r="AG548" s="68" t="str" cm="1">
        <f t="array" ref="AG548">CalculerNouvelleDate(Q548,AF548)</f>
        <v/>
      </c>
      <c r="AH548" s="68" t="str" cm="1">
        <f t="array" ref="AH548">CalculerNouvelleDate(R548,AG548)</f>
        <v/>
      </c>
      <c r="AI548" s="68" t="str" cm="1">
        <f t="array" ref="AI548">CalculerNouvelleDate(S548,AH548)</f>
        <v/>
      </c>
      <c r="AJ548" s="68" t="str" cm="1">
        <f t="array" ref="AJ548">CalculerNouvelleDate(T548,AI548)</f>
        <v/>
      </c>
      <c r="AK548" s="68" t="str" cm="1">
        <f t="array" ref="AK548">CalculerNouvelleDate(U548,AJ548)</f>
        <v/>
      </c>
      <c r="AL548" s="68" t="str" cm="1">
        <f t="array" ref="AL548">CalculerNouvelleDate(V548,AK548)</f>
        <v/>
      </c>
      <c r="AM548" s="83" t="str" cm="1">
        <f t="array" ref="AM548">CorrespondanceDAte(X548:AL548,D549)</f>
        <v>0</v>
      </c>
      <c r="AN548" s="1"/>
      <c r="AO548" s="1"/>
      <c r="AP548" s="1"/>
      <c r="AQ548" s="1"/>
      <c r="AR548" s="1"/>
      <c r="AS548" s="1"/>
      <c r="AT548" s="1"/>
      <c r="AU548" s="1"/>
      <c r="AV548" s="1"/>
      <c r="AW548" s="1"/>
      <c r="AX548" s="1"/>
      <c r="AY548" s="1"/>
      <c r="AZ548" s="1"/>
      <c r="BA548" s="1"/>
    </row>
    <row r="549" spans="1:53" x14ac:dyDescent="0.3">
      <c r="A549" s="1"/>
      <c r="B549" s="11"/>
      <c r="C549" s="69" t="s">
        <v>781</v>
      </c>
      <c r="D549" s="1"/>
      <c r="E549" s="1"/>
      <c r="F549" s="1"/>
      <c r="G549" s="1"/>
      <c r="H549" s="43"/>
      <c r="I549" s="46"/>
      <c r="J549" s="46"/>
      <c r="K549" s="46"/>
      <c r="L549" s="46"/>
      <c r="M549" s="46"/>
      <c r="N549" s="46"/>
      <c r="O549" s="46"/>
      <c r="P549" s="46"/>
      <c r="Q549" s="46"/>
      <c r="R549" s="46"/>
      <c r="S549" s="46"/>
      <c r="T549" s="46"/>
      <c r="U549" s="46"/>
      <c r="V549" s="46"/>
      <c r="W549" s="62"/>
      <c r="X549" s="67"/>
      <c r="Y549" s="68" t="str" cm="1">
        <f t="array" ref="Y549">CalculerNouvelleDate(I549,X549)</f>
        <v/>
      </c>
      <c r="Z549" s="68" t="str" cm="1">
        <f t="array" ref="Z549">CalculerNouvelleDate(J549,Y549)</f>
        <v/>
      </c>
      <c r="AA549" s="68" t="str" cm="1">
        <f t="array" ref="AA549">CalculerNouvelleDate(K549,Z549)</f>
        <v/>
      </c>
      <c r="AB549" s="68" t="str" cm="1">
        <f t="array" ref="AB549">CalculerNouvelleDate(L549,AA549)</f>
        <v/>
      </c>
      <c r="AC549" s="68" t="str" cm="1">
        <f t="array" ref="AC549">CalculerNouvelleDate(M549,AB549)</f>
        <v/>
      </c>
      <c r="AD549" s="68" t="str" cm="1">
        <f t="array" ref="AD549">CalculerNouvelleDate(N549,AC549)</f>
        <v/>
      </c>
      <c r="AE549" s="68" t="str" cm="1">
        <f t="array" ref="AE549">CalculerNouvelleDate(O549,AD549)</f>
        <v/>
      </c>
      <c r="AF549" s="68" t="str" cm="1">
        <f t="array" ref="AF549">CalculerNouvelleDate(P549,AE549)</f>
        <v/>
      </c>
      <c r="AG549" s="68" t="str" cm="1">
        <f t="array" ref="AG549">CalculerNouvelleDate(Q549,AF549)</f>
        <v/>
      </c>
      <c r="AH549" s="68" t="str" cm="1">
        <f t="array" ref="AH549">CalculerNouvelleDate(R549,AG549)</f>
        <v/>
      </c>
      <c r="AI549" s="68" t="str" cm="1">
        <f t="array" ref="AI549">CalculerNouvelleDate(S549,AH549)</f>
        <v/>
      </c>
      <c r="AJ549" s="68" t="str" cm="1">
        <f t="array" ref="AJ549">CalculerNouvelleDate(T549,AI549)</f>
        <v/>
      </c>
      <c r="AK549" s="68" t="str" cm="1">
        <f t="array" ref="AK549">CalculerNouvelleDate(U549,AJ549)</f>
        <v/>
      </c>
      <c r="AL549" s="68" t="str" cm="1">
        <f t="array" ref="AL549">CalculerNouvelleDate(V549,AK549)</f>
        <v/>
      </c>
      <c r="AM549" s="83" t="str" cm="1">
        <f t="array" ref="AM549">CorrespondanceDAte(X549:AL549,D550)</f>
        <v>0</v>
      </c>
      <c r="AN549" s="1"/>
      <c r="AO549" s="1"/>
      <c r="AP549" s="1"/>
      <c r="AQ549" s="1"/>
      <c r="AR549" s="1"/>
      <c r="AS549" s="1"/>
      <c r="AT549" s="1"/>
      <c r="AU549" s="1"/>
      <c r="AV549" s="1"/>
      <c r="AW549" s="1"/>
      <c r="AX549" s="1"/>
      <c r="AY549" s="1"/>
      <c r="AZ549" s="1"/>
      <c r="BA549" s="1"/>
    </row>
    <row r="550" spans="1:53" x14ac:dyDescent="0.3">
      <c r="A550" s="1"/>
      <c r="B550" s="11"/>
      <c r="C550" s="69" t="s">
        <v>782</v>
      </c>
      <c r="D550" s="1"/>
      <c r="E550" s="1"/>
      <c r="F550" s="1"/>
      <c r="G550" s="1"/>
      <c r="H550" s="43"/>
      <c r="I550" s="46"/>
      <c r="J550" s="46"/>
      <c r="K550" s="46"/>
      <c r="L550" s="46"/>
      <c r="M550" s="46"/>
      <c r="N550" s="46"/>
      <c r="O550" s="46"/>
      <c r="P550" s="46"/>
      <c r="Q550" s="46"/>
      <c r="R550" s="46"/>
      <c r="S550" s="46"/>
      <c r="T550" s="46"/>
      <c r="U550" s="46"/>
      <c r="V550" s="46"/>
      <c r="W550" s="62"/>
      <c r="X550" s="67"/>
      <c r="Y550" s="68" t="str" cm="1">
        <f t="array" ref="Y550">CalculerNouvelleDate(I550,X550)</f>
        <v/>
      </c>
      <c r="Z550" s="68" t="str" cm="1">
        <f t="array" ref="Z550">CalculerNouvelleDate(J550,Y550)</f>
        <v/>
      </c>
      <c r="AA550" s="68" t="str" cm="1">
        <f t="array" ref="AA550">CalculerNouvelleDate(K550,Z550)</f>
        <v/>
      </c>
      <c r="AB550" s="68" t="str" cm="1">
        <f t="array" ref="AB550">CalculerNouvelleDate(L550,AA550)</f>
        <v/>
      </c>
      <c r="AC550" s="68" t="str" cm="1">
        <f t="array" ref="AC550">CalculerNouvelleDate(M550,AB550)</f>
        <v/>
      </c>
      <c r="AD550" s="68" t="str" cm="1">
        <f t="array" ref="AD550">CalculerNouvelleDate(N550,AC550)</f>
        <v/>
      </c>
      <c r="AE550" s="68" t="str" cm="1">
        <f t="array" ref="AE550">CalculerNouvelleDate(O550,AD550)</f>
        <v/>
      </c>
      <c r="AF550" s="68" t="str" cm="1">
        <f t="array" ref="AF550">CalculerNouvelleDate(P550,AE550)</f>
        <v/>
      </c>
      <c r="AG550" s="68" t="str" cm="1">
        <f t="array" ref="AG550">CalculerNouvelleDate(Q550,AF550)</f>
        <v/>
      </c>
      <c r="AH550" s="68" t="str" cm="1">
        <f t="array" ref="AH550">CalculerNouvelleDate(R550,AG550)</f>
        <v/>
      </c>
      <c r="AI550" s="68" t="str" cm="1">
        <f t="array" ref="AI550">CalculerNouvelleDate(S550,AH550)</f>
        <v/>
      </c>
      <c r="AJ550" s="68" t="str" cm="1">
        <f t="array" ref="AJ550">CalculerNouvelleDate(T550,AI550)</f>
        <v/>
      </c>
      <c r="AK550" s="68" t="str" cm="1">
        <f t="array" ref="AK550">CalculerNouvelleDate(U550,AJ550)</f>
        <v/>
      </c>
      <c r="AL550" s="68" t="str" cm="1">
        <f t="array" ref="AL550">CalculerNouvelleDate(V550,AK550)</f>
        <v/>
      </c>
      <c r="AM550" s="83" t="str" cm="1">
        <f t="array" ref="AM550">CorrespondanceDAte(X550:AL550,D551)</f>
        <v>0</v>
      </c>
      <c r="AN550" s="1"/>
      <c r="AO550" s="1"/>
      <c r="AP550" s="1"/>
      <c r="AQ550" s="1"/>
      <c r="AR550" s="1"/>
      <c r="AS550" s="1"/>
      <c r="AT550" s="1"/>
      <c r="AU550" s="1"/>
      <c r="AV550" s="1"/>
      <c r="AW550" s="1"/>
      <c r="AX550" s="1"/>
      <c r="AY550" s="1"/>
      <c r="AZ550" s="1"/>
      <c r="BA550" s="1"/>
    </row>
    <row r="551" spans="1:53" x14ac:dyDescent="0.3">
      <c r="A551" s="1"/>
      <c r="B551" s="11"/>
      <c r="C551" s="1" t="s">
        <v>783</v>
      </c>
      <c r="D551" s="1"/>
      <c r="E551" s="1"/>
      <c r="F551" s="1"/>
      <c r="G551" s="1"/>
      <c r="H551" s="43"/>
      <c r="I551" s="46"/>
      <c r="J551" s="46"/>
      <c r="K551" s="46"/>
      <c r="L551" s="46"/>
      <c r="M551" s="46"/>
      <c r="N551" s="46"/>
      <c r="O551" s="46"/>
      <c r="P551" s="46"/>
      <c r="Q551" s="46"/>
      <c r="R551" s="46"/>
      <c r="S551" s="46"/>
      <c r="T551" s="46"/>
      <c r="U551" s="46"/>
      <c r="V551" s="46"/>
      <c r="W551" s="62"/>
      <c r="X551" s="67"/>
      <c r="Y551" s="68" t="str" cm="1">
        <f t="array" ref="Y551">CalculerNouvelleDate(I551,X551)</f>
        <v/>
      </c>
      <c r="Z551" s="68" t="str" cm="1">
        <f t="array" ref="Z551">CalculerNouvelleDate(J551,Y551)</f>
        <v/>
      </c>
      <c r="AA551" s="68" t="str" cm="1">
        <f t="array" ref="AA551">CalculerNouvelleDate(K551,Z551)</f>
        <v/>
      </c>
      <c r="AB551" s="68" t="str" cm="1">
        <f t="array" ref="AB551">CalculerNouvelleDate(L551,AA551)</f>
        <v/>
      </c>
      <c r="AC551" s="68" t="str" cm="1">
        <f t="array" ref="AC551">CalculerNouvelleDate(M551,AB551)</f>
        <v/>
      </c>
      <c r="AD551" s="68" t="str" cm="1">
        <f t="array" ref="AD551">CalculerNouvelleDate(N551,AC551)</f>
        <v/>
      </c>
      <c r="AE551" s="68" t="str" cm="1">
        <f t="array" ref="AE551">CalculerNouvelleDate(O551,AD551)</f>
        <v/>
      </c>
      <c r="AF551" s="68" t="str" cm="1">
        <f t="array" ref="AF551">CalculerNouvelleDate(P551,AE551)</f>
        <v/>
      </c>
      <c r="AG551" s="68" t="str" cm="1">
        <f t="array" ref="AG551">CalculerNouvelleDate(Q551,AF551)</f>
        <v/>
      </c>
      <c r="AH551" s="68" t="str" cm="1">
        <f t="array" ref="AH551">CalculerNouvelleDate(R551,AG551)</f>
        <v/>
      </c>
      <c r="AI551" s="68" t="str" cm="1">
        <f t="array" ref="AI551">CalculerNouvelleDate(S551,AH551)</f>
        <v/>
      </c>
      <c r="AJ551" s="68" t="str" cm="1">
        <f t="array" ref="AJ551">CalculerNouvelleDate(T551,AI551)</f>
        <v/>
      </c>
      <c r="AK551" s="68" t="str" cm="1">
        <f t="array" ref="AK551">CalculerNouvelleDate(U551,AJ551)</f>
        <v/>
      </c>
      <c r="AL551" s="68" t="str" cm="1">
        <f t="array" ref="AL551">CalculerNouvelleDate(V551,AK551)</f>
        <v/>
      </c>
      <c r="AM551" s="83" t="str" cm="1">
        <f t="array" ref="AM551">CorrespondanceDAte(X551:AL551,D552)</f>
        <v>0</v>
      </c>
      <c r="AN551" s="1"/>
      <c r="AO551" s="1"/>
      <c r="AP551" s="1"/>
      <c r="AQ551" s="1"/>
      <c r="AR551" s="1"/>
      <c r="AS551" s="1"/>
      <c r="AT551" s="1"/>
      <c r="AU551" s="1"/>
      <c r="AV551" s="1"/>
      <c r="AW551" s="1"/>
      <c r="AX551" s="1"/>
      <c r="AY551" s="1"/>
      <c r="AZ551" s="1"/>
      <c r="BA551" s="1"/>
    </row>
    <row r="552" spans="1:53" x14ac:dyDescent="0.3">
      <c r="A552" s="1"/>
      <c r="B552" s="11"/>
      <c r="C552" s="69" t="s">
        <v>784</v>
      </c>
      <c r="D552" s="1"/>
      <c r="E552" s="1"/>
      <c r="F552" s="1"/>
      <c r="G552" s="1"/>
      <c r="H552" s="43"/>
      <c r="I552" s="46"/>
      <c r="J552" s="46"/>
      <c r="K552" s="46"/>
      <c r="L552" s="46"/>
      <c r="M552" s="46"/>
      <c r="N552" s="46"/>
      <c r="O552" s="46"/>
      <c r="P552" s="46"/>
      <c r="Q552" s="46"/>
      <c r="R552" s="46"/>
      <c r="S552" s="46"/>
      <c r="T552" s="46"/>
      <c r="U552" s="46"/>
      <c r="V552" s="46"/>
      <c r="W552" s="62"/>
      <c r="X552" s="67"/>
      <c r="Y552" s="68" t="str" cm="1">
        <f t="array" ref="Y552">CalculerNouvelleDate(I552,X552)</f>
        <v/>
      </c>
      <c r="Z552" s="68" t="str" cm="1">
        <f t="array" ref="Z552">CalculerNouvelleDate(J552,Y552)</f>
        <v/>
      </c>
      <c r="AA552" s="68" t="str" cm="1">
        <f t="array" ref="AA552">CalculerNouvelleDate(K552,Z552)</f>
        <v/>
      </c>
      <c r="AB552" s="68" t="str" cm="1">
        <f t="array" ref="AB552">CalculerNouvelleDate(L552,AA552)</f>
        <v/>
      </c>
      <c r="AC552" s="68" t="str" cm="1">
        <f t="array" ref="AC552">CalculerNouvelleDate(M552,AB552)</f>
        <v/>
      </c>
      <c r="AD552" s="68" t="str" cm="1">
        <f t="array" ref="AD552">CalculerNouvelleDate(N552,AC552)</f>
        <v/>
      </c>
      <c r="AE552" s="68" t="str" cm="1">
        <f t="array" ref="AE552">CalculerNouvelleDate(O552,AD552)</f>
        <v/>
      </c>
      <c r="AF552" s="68" t="str" cm="1">
        <f t="array" ref="AF552">CalculerNouvelleDate(P552,AE552)</f>
        <v/>
      </c>
      <c r="AG552" s="68" t="str" cm="1">
        <f t="array" ref="AG552">CalculerNouvelleDate(Q552,AF552)</f>
        <v/>
      </c>
      <c r="AH552" s="68" t="str" cm="1">
        <f t="array" ref="AH552">CalculerNouvelleDate(R552,AG552)</f>
        <v/>
      </c>
      <c r="AI552" s="68" t="str" cm="1">
        <f t="array" ref="AI552">CalculerNouvelleDate(S552,AH552)</f>
        <v/>
      </c>
      <c r="AJ552" s="68" t="str" cm="1">
        <f t="array" ref="AJ552">CalculerNouvelleDate(T552,AI552)</f>
        <v/>
      </c>
      <c r="AK552" s="68" t="str" cm="1">
        <f t="array" ref="AK552">CalculerNouvelleDate(U552,AJ552)</f>
        <v/>
      </c>
      <c r="AL552" s="68" t="str" cm="1">
        <f t="array" ref="AL552">CalculerNouvelleDate(V552,AK552)</f>
        <v/>
      </c>
      <c r="AM552" s="83" t="str" cm="1">
        <f t="array" ref="AM552">CorrespondanceDAte(X552:AL552,D553)</f>
        <v>0</v>
      </c>
      <c r="AN552" s="1"/>
      <c r="AO552" s="1"/>
      <c r="AP552" s="1"/>
      <c r="AQ552" s="1"/>
      <c r="AR552" s="1"/>
      <c r="AS552" s="1"/>
      <c r="AT552" s="1"/>
      <c r="AU552" s="1"/>
      <c r="AV552" s="1"/>
      <c r="AW552" s="1"/>
      <c r="AX552" s="1"/>
      <c r="AY552" s="1"/>
      <c r="AZ552" s="1"/>
      <c r="BA552" s="1"/>
    </row>
    <row r="553" spans="1:53" x14ac:dyDescent="0.3">
      <c r="A553" s="1"/>
      <c r="B553" s="11"/>
      <c r="C553" s="69" t="s">
        <v>785</v>
      </c>
      <c r="D553" s="1"/>
      <c r="E553" s="1"/>
      <c r="F553" s="1"/>
      <c r="G553" s="1"/>
      <c r="H553" s="43"/>
      <c r="I553" s="46"/>
      <c r="J553" s="46"/>
      <c r="K553" s="46"/>
      <c r="L553" s="46"/>
      <c r="M553" s="46"/>
      <c r="N553" s="46"/>
      <c r="O553" s="46"/>
      <c r="P553" s="46"/>
      <c r="Q553" s="46"/>
      <c r="R553" s="46"/>
      <c r="S553" s="46"/>
      <c r="T553" s="46"/>
      <c r="U553" s="46"/>
      <c r="V553" s="46"/>
      <c r="W553" s="62"/>
      <c r="X553" s="67"/>
      <c r="Y553" s="68" t="str" cm="1">
        <f t="array" ref="Y553">CalculerNouvelleDate(I553,X553)</f>
        <v/>
      </c>
      <c r="Z553" s="68" t="str" cm="1">
        <f t="array" ref="Z553">CalculerNouvelleDate(J553,Y553)</f>
        <v/>
      </c>
      <c r="AA553" s="68" t="str" cm="1">
        <f t="array" ref="AA553">CalculerNouvelleDate(K553,Z553)</f>
        <v/>
      </c>
      <c r="AB553" s="68" t="str" cm="1">
        <f t="array" ref="AB553">CalculerNouvelleDate(L553,AA553)</f>
        <v/>
      </c>
      <c r="AC553" s="68" t="str" cm="1">
        <f t="array" ref="AC553">CalculerNouvelleDate(M553,AB553)</f>
        <v/>
      </c>
      <c r="AD553" s="68" t="str" cm="1">
        <f t="array" ref="AD553">CalculerNouvelleDate(N553,AC553)</f>
        <v/>
      </c>
      <c r="AE553" s="68" t="str" cm="1">
        <f t="array" ref="AE553">CalculerNouvelleDate(O553,AD553)</f>
        <v/>
      </c>
      <c r="AF553" s="68" t="str" cm="1">
        <f t="array" ref="AF553">CalculerNouvelleDate(P553,AE553)</f>
        <v/>
      </c>
      <c r="AG553" s="68" t="str" cm="1">
        <f t="array" ref="AG553">CalculerNouvelleDate(Q553,AF553)</f>
        <v/>
      </c>
      <c r="AH553" s="68" t="str" cm="1">
        <f t="array" ref="AH553">CalculerNouvelleDate(R553,AG553)</f>
        <v/>
      </c>
      <c r="AI553" s="68" t="str" cm="1">
        <f t="array" ref="AI553">CalculerNouvelleDate(S553,AH553)</f>
        <v/>
      </c>
      <c r="AJ553" s="68" t="str" cm="1">
        <f t="array" ref="AJ553">CalculerNouvelleDate(T553,AI553)</f>
        <v/>
      </c>
      <c r="AK553" s="68" t="str" cm="1">
        <f t="array" ref="AK553">CalculerNouvelleDate(U553,AJ553)</f>
        <v/>
      </c>
      <c r="AL553" s="68" t="str" cm="1">
        <f t="array" ref="AL553">CalculerNouvelleDate(V553,AK553)</f>
        <v/>
      </c>
      <c r="AM553" s="83" t="str" cm="1">
        <f t="array" ref="AM553">CorrespondanceDAte(X553:AL553,D554)</f>
        <v>0</v>
      </c>
      <c r="AN553" s="1"/>
      <c r="AO553" s="1"/>
      <c r="AP553" s="1"/>
      <c r="AQ553" s="1"/>
      <c r="AR553" s="1"/>
      <c r="AS553" s="1"/>
      <c r="AT553" s="1"/>
      <c r="AU553" s="1"/>
      <c r="AV553" s="1"/>
      <c r="AW553" s="1"/>
      <c r="AX553" s="1"/>
      <c r="AY553" s="1"/>
      <c r="AZ553" s="1"/>
      <c r="BA553" s="1"/>
    </row>
    <row r="554" spans="1:53" x14ac:dyDescent="0.3">
      <c r="A554" s="1"/>
      <c r="B554" s="11"/>
      <c r="C554" s="69" t="s">
        <v>786</v>
      </c>
      <c r="D554" s="1"/>
      <c r="E554" s="1"/>
      <c r="F554" s="1"/>
      <c r="G554" s="1"/>
      <c r="H554" s="43"/>
      <c r="I554" s="46"/>
      <c r="J554" s="46"/>
      <c r="K554" s="46"/>
      <c r="L554" s="46"/>
      <c r="M554" s="46"/>
      <c r="N554" s="46"/>
      <c r="O554" s="46"/>
      <c r="P554" s="46"/>
      <c r="Q554" s="46"/>
      <c r="R554" s="46"/>
      <c r="S554" s="46"/>
      <c r="T554" s="46"/>
      <c r="U554" s="46"/>
      <c r="V554" s="46"/>
      <c r="W554" s="62"/>
      <c r="X554" s="67"/>
      <c r="Y554" s="68" t="str" cm="1">
        <f t="array" ref="Y554">CalculerNouvelleDate(I554,X554)</f>
        <v/>
      </c>
      <c r="Z554" s="68" t="str" cm="1">
        <f t="array" ref="Z554">CalculerNouvelleDate(J554,Y554)</f>
        <v/>
      </c>
      <c r="AA554" s="68" t="str" cm="1">
        <f t="array" ref="AA554">CalculerNouvelleDate(K554,Z554)</f>
        <v/>
      </c>
      <c r="AB554" s="68" t="str" cm="1">
        <f t="array" ref="AB554">CalculerNouvelleDate(L554,AA554)</f>
        <v/>
      </c>
      <c r="AC554" s="68" t="str" cm="1">
        <f t="array" ref="AC554">CalculerNouvelleDate(M554,AB554)</f>
        <v/>
      </c>
      <c r="AD554" s="68" t="str" cm="1">
        <f t="array" ref="AD554">CalculerNouvelleDate(N554,AC554)</f>
        <v/>
      </c>
      <c r="AE554" s="68" t="str" cm="1">
        <f t="array" ref="AE554">CalculerNouvelleDate(O554,AD554)</f>
        <v/>
      </c>
      <c r="AF554" s="68" t="str" cm="1">
        <f t="array" ref="AF554">CalculerNouvelleDate(P554,AE554)</f>
        <v/>
      </c>
      <c r="AG554" s="68" t="str" cm="1">
        <f t="array" ref="AG554">CalculerNouvelleDate(Q554,AF554)</f>
        <v/>
      </c>
      <c r="AH554" s="68" t="str" cm="1">
        <f t="array" ref="AH554">CalculerNouvelleDate(R554,AG554)</f>
        <v/>
      </c>
      <c r="AI554" s="68" t="str" cm="1">
        <f t="array" ref="AI554">CalculerNouvelleDate(S554,AH554)</f>
        <v/>
      </c>
      <c r="AJ554" s="68" t="str" cm="1">
        <f t="array" ref="AJ554">CalculerNouvelleDate(T554,AI554)</f>
        <v/>
      </c>
      <c r="AK554" s="68" t="str" cm="1">
        <f t="array" ref="AK554">CalculerNouvelleDate(U554,AJ554)</f>
        <v/>
      </c>
      <c r="AL554" s="68" t="str" cm="1">
        <f t="array" ref="AL554">CalculerNouvelleDate(V554,AK554)</f>
        <v/>
      </c>
      <c r="AM554" s="83" t="str" cm="1">
        <f t="array" ref="AM554">CorrespondanceDAte(X554:AL554,D555)</f>
        <v>0</v>
      </c>
      <c r="AN554" s="1"/>
      <c r="AO554" s="1"/>
      <c r="AP554" s="1"/>
      <c r="AQ554" s="1"/>
      <c r="AR554" s="1"/>
      <c r="AS554" s="1"/>
      <c r="AT554" s="1"/>
      <c r="AU554" s="1"/>
      <c r="AV554" s="1"/>
      <c r="AW554" s="1"/>
      <c r="AX554" s="1"/>
      <c r="AY554" s="1"/>
      <c r="AZ554" s="1"/>
      <c r="BA554" s="1"/>
    </row>
    <row r="555" spans="1:53" x14ac:dyDescent="0.3">
      <c r="A555" s="1"/>
      <c r="B555" s="11"/>
      <c r="C555" s="1" t="s">
        <v>787</v>
      </c>
      <c r="D555" s="1"/>
      <c r="E555" s="1"/>
      <c r="F555" s="1"/>
      <c r="G555" s="1"/>
      <c r="H555" s="43"/>
      <c r="I555" s="46"/>
      <c r="J555" s="46"/>
      <c r="K555" s="46"/>
      <c r="L555" s="46"/>
      <c r="M555" s="46"/>
      <c r="N555" s="46"/>
      <c r="O555" s="46"/>
      <c r="P555" s="46"/>
      <c r="Q555" s="46"/>
      <c r="R555" s="46"/>
      <c r="S555" s="46"/>
      <c r="T555" s="46"/>
      <c r="U555" s="46"/>
      <c r="V555" s="46"/>
      <c r="W555" s="62"/>
      <c r="X555" s="67"/>
      <c r="Y555" s="68" t="str" cm="1">
        <f t="array" ref="Y555">CalculerNouvelleDate(I555,X555)</f>
        <v/>
      </c>
      <c r="Z555" s="68" t="str" cm="1">
        <f t="array" ref="Z555">CalculerNouvelleDate(J555,Y555)</f>
        <v/>
      </c>
      <c r="AA555" s="68" t="str" cm="1">
        <f t="array" ref="AA555">CalculerNouvelleDate(K555,Z555)</f>
        <v/>
      </c>
      <c r="AB555" s="68" t="str" cm="1">
        <f t="array" ref="AB555">CalculerNouvelleDate(L555,AA555)</f>
        <v/>
      </c>
      <c r="AC555" s="68" t="str" cm="1">
        <f t="array" ref="AC555">CalculerNouvelleDate(M555,AB555)</f>
        <v/>
      </c>
      <c r="AD555" s="68" t="str" cm="1">
        <f t="array" ref="AD555">CalculerNouvelleDate(N555,AC555)</f>
        <v/>
      </c>
      <c r="AE555" s="68" t="str" cm="1">
        <f t="array" ref="AE555">CalculerNouvelleDate(O555,AD555)</f>
        <v/>
      </c>
      <c r="AF555" s="68" t="str" cm="1">
        <f t="array" ref="AF555">CalculerNouvelleDate(P555,AE555)</f>
        <v/>
      </c>
      <c r="AG555" s="68" t="str" cm="1">
        <f t="array" ref="AG555">CalculerNouvelleDate(Q555,AF555)</f>
        <v/>
      </c>
      <c r="AH555" s="68" t="str" cm="1">
        <f t="array" ref="AH555">CalculerNouvelleDate(R555,AG555)</f>
        <v/>
      </c>
      <c r="AI555" s="68" t="str" cm="1">
        <f t="array" ref="AI555">CalculerNouvelleDate(S555,AH555)</f>
        <v/>
      </c>
      <c r="AJ555" s="68" t="str" cm="1">
        <f t="array" ref="AJ555">CalculerNouvelleDate(T555,AI555)</f>
        <v/>
      </c>
      <c r="AK555" s="68" t="str" cm="1">
        <f t="array" ref="AK555">CalculerNouvelleDate(U555,AJ555)</f>
        <v/>
      </c>
      <c r="AL555" s="68" t="str" cm="1">
        <f t="array" ref="AL555">CalculerNouvelleDate(V555,AK555)</f>
        <v/>
      </c>
      <c r="AM555" s="83" t="str" cm="1">
        <f t="array" ref="AM555">CorrespondanceDAte(X555:AL555,D556)</f>
        <v>0</v>
      </c>
      <c r="AN555" s="1"/>
      <c r="AO555" s="1"/>
      <c r="AP555" s="1"/>
      <c r="AQ555" s="1"/>
      <c r="AR555" s="1"/>
      <c r="AS555" s="1"/>
      <c r="AT555" s="1"/>
      <c r="AU555" s="1"/>
      <c r="AV555" s="1"/>
      <c r="AW555" s="1"/>
      <c r="AX555" s="1"/>
      <c r="AY555" s="1"/>
      <c r="AZ555" s="1"/>
      <c r="BA555" s="1"/>
    </row>
    <row r="556" spans="1:53" x14ac:dyDescent="0.3">
      <c r="A556" s="1"/>
      <c r="B556" s="11"/>
      <c r="C556" s="69" t="s">
        <v>788</v>
      </c>
      <c r="D556" s="1"/>
      <c r="E556" s="1"/>
      <c r="F556" s="1"/>
      <c r="G556" s="1"/>
      <c r="H556" s="43"/>
      <c r="I556" s="46"/>
      <c r="J556" s="46"/>
      <c r="K556" s="46"/>
      <c r="L556" s="46"/>
      <c r="M556" s="46"/>
      <c r="N556" s="46"/>
      <c r="O556" s="46"/>
      <c r="P556" s="46"/>
      <c r="Q556" s="46"/>
      <c r="R556" s="46"/>
      <c r="S556" s="46"/>
      <c r="T556" s="46"/>
      <c r="U556" s="46"/>
      <c r="V556" s="46"/>
      <c r="W556" s="62"/>
      <c r="X556" s="67"/>
      <c r="Y556" s="68" t="str" cm="1">
        <f t="array" ref="Y556">CalculerNouvelleDate(I556,X556)</f>
        <v/>
      </c>
      <c r="Z556" s="68" t="str" cm="1">
        <f t="array" ref="Z556">CalculerNouvelleDate(J556,Y556)</f>
        <v/>
      </c>
      <c r="AA556" s="68" t="str" cm="1">
        <f t="array" ref="AA556">CalculerNouvelleDate(K556,Z556)</f>
        <v/>
      </c>
      <c r="AB556" s="68" t="str" cm="1">
        <f t="array" ref="AB556">CalculerNouvelleDate(L556,AA556)</f>
        <v/>
      </c>
      <c r="AC556" s="68" t="str" cm="1">
        <f t="array" ref="AC556">CalculerNouvelleDate(M556,AB556)</f>
        <v/>
      </c>
      <c r="AD556" s="68" t="str" cm="1">
        <f t="array" ref="AD556">CalculerNouvelleDate(N556,AC556)</f>
        <v/>
      </c>
      <c r="AE556" s="68" t="str" cm="1">
        <f t="array" ref="AE556">CalculerNouvelleDate(O556,AD556)</f>
        <v/>
      </c>
      <c r="AF556" s="68" t="str" cm="1">
        <f t="array" ref="AF556">CalculerNouvelleDate(P556,AE556)</f>
        <v/>
      </c>
      <c r="AG556" s="68" t="str" cm="1">
        <f t="array" ref="AG556">CalculerNouvelleDate(Q556,AF556)</f>
        <v/>
      </c>
      <c r="AH556" s="68" t="str" cm="1">
        <f t="array" ref="AH556">CalculerNouvelleDate(R556,AG556)</f>
        <v/>
      </c>
      <c r="AI556" s="68" t="str" cm="1">
        <f t="array" ref="AI556">CalculerNouvelleDate(S556,AH556)</f>
        <v/>
      </c>
      <c r="AJ556" s="68" t="str" cm="1">
        <f t="array" ref="AJ556">CalculerNouvelleDate(T556,AI556)</f>
        <v/>
      </c>
      <c r="AK556" s="68" t="str" cm="1">
        <f t="array" ref="AK556">CalculerNouvelleDate(U556,AJ556)</f>
        <v/>
      </c>
      <c r="AL556" s="68" t="str" cm="1">
        <f t="array" ref="AL556">CalculerNouvelleDate(V556,AK556)</f>
        <v/>
      </c>
      <c r="AM556" s="83" t="str" cm="1">
        <f t="array" ref="AM556">CorrespondanceDAte(X556:AL556,D557)</f>
        <v>0</v>
      </c>
      <c r="AN556" s="1"/>
      <c r="AO556" s="1"/>
      <c r="AP556" s="1"/>
      <c r="AQ556" s="1"/>
      <c r="AR556" s="1"/>
      <c r="AS556" s="1"/>
      <c r="AT556" s="1"/>
      <c r="AU556" s="1"/>
      <c r="AV556" s="1"/>
      <c r="AW556" s="1"/>
      <c r="AX556" s="1"/>
      <c r="AY556" s="1"/>
      <c r="AZ556" s="1"/>
      <c r="BA556" s="1"/>
    </row>
    <row r="557" spans="1:53" x14ac:dyDescent="0.3">
      <c r="A557" s="1"/>
      <c r="B557" s="11"/>
      <c r="C557" s="69" t="s">
        <v>789</v>
      </c>
      <c r="D557" s="1"/>
      <c r="E557" s="1"/>
      <c r="F557" s="1"/>
      <c r="G557" s="1"/>
      <c r="H557" s="43"/>
      <c r="I557" s="46"/>
      <c r="J557" s="46"/>
      <c r="K557" s="46"/>
      <c r="L557" s="46"/>
      <c r="M557" s="46"/>
      <c r="N557" s="46"/>
      <c r="O557" s="46"/>
      <c r="P557" s="46"/>
      <c r="Q557" s="46"/>
      <c r="R557" s="46"/>
      <c r="S557" s="46"/>
      <c r="T557" s="46"/>
      <c r="U557" s="46"/>
      <c r="V557" s="46"/>
      <c r="W557" s="62"/>
      <c r="X557" s="67"/>
      <c r="Y557" s="68" t="str" cm="1">
        <f t="array" ref="Y557">CalculerNouvelleDate(I557,X557)</f>
        <v/>
      </c>
      <c r="Z557" s="68" t="str" cm="1">
        <f t="array" ref="Z557">CalculerNouvelleDate(J557,Y557)</f>
        <v/>
      </c>
      <c r="AA557" s="68" t="str" cm="1">
        <f t="array" ref="AA557">CalculerNouvelleDate(K557,Z557)</f>
        <v/>
      </c>
      <c r="AB557" s="68" t="str" cm="1">
        <f t="array" ref="AB557">CalculerNouvelleDate(L557,AA557)</f>
        <v/>
      </c>
      <c r="AC557" s="68" t="str" cm="1">
        <f t="array" ref="AC557">CalculerNouvelleDate(M557,AB557)</f>
        <v/>
      </c>
      <c r="AD557" s="68" t="str" cm="1">
        <f t="array" ref="AD557">CalculerNouvelleDate(N557,AC557)</f>
        <v/>
      </c>
      <c r="AE557" s="68" t="str" cm="1">
        <f t="array" ref="AE557">CalculerNouvelleDate(O557,AD557)</f>
        <v/>
      </c>
      <c r="AF557" s="68" t="str" cm="1">
        <f t="array" ref="AF557">CalculerNouvelleDate(P557,AE557)</f>
        <v/>
      </c>
      <c r="AG557" s="68" t="str" cm="1">
        <f t="array" ref="AG557">CalculerNouvelleDate(Q557,AF557)</f>
        <v/>
      </c>
      <c r="AH557" s="68" t="str" cm="1">
        <f t="array" ref="AH557">CalculerNouvelleDate(R557,AG557)</f>
        <v/>
      </c>
      <c r="AI557" s="68" t="str" cm="1">
        <f t="array" ref="AI557">CalculerNouvelleDate(S557,AH557)</f>
        <v/>
      </c>
      <c r="AJ557" s="68" t="str" cm="1">
        <f t="array" ref="AJ557">CalculerNouvelleDate(T557,AI557)</f>
        <v/>
      </c>
      <c r="AK557" s="68" t="str" cm="1">
        <f t="array" ref="AK557">CalculerNouvelleDate(U557,AJ557)</f>
        <v/>
      </c>
      <c r="AL557" s="68" t="str" cm="1">
        <f t="array" ref="AL557">CalculerNouvelleDate(V557,AK557)</f>
        <v/>
      </c>
      <c r="AM557" s="83" t="str" cm="1">
        <f t="array" ref="AM557">CorrespondanceDAte(X557:AL557,D558)</f>
        <v>0</v>
      </c>
      <c r="AN557" s="1"/>
      <c r="AO557" s="1"/>
      <c r="AP557" s="1"/>
      <c r="AQ557" s="1"/>
      <c r="AR557" s="1"/>
      <c r="AS557" s="1"/>
      <c r="AT557" s="1"/>
      <c r="AU557" s="1"/>
      <c r="AV557" s="1"/>
      <c r="AW557" s="1"/>
      <c r="AX557" s="1"/>
      <c r="AY557" s="1"/>
      <c r="AZ557" s="1"/>
      <c r="BA557" s="1"/>
    </row>
    <row r="558" spans="1:53" x14ac:dyDescent="0.3">
      <c r="A558" s="1"/>
      <c r="B558" s="11"/>
      <c r="C558" s="69" t="s">
        <v>790</v>
      </c>
      <c r="D558" s="1"/>
      <c r="E558" s="1"/>
      <c r="F558" s="1"/>
      <c r="G558" s="1"/>
      <c r="H558" s="43"/>
      <c r="I558" s="46"/>
      <c r="J558" s="46"/>
      <c r="K558" s="46"/>
      <c r="L558" s="46"/>
      <c r="M558" s="46"/>
      <c r="N558" s="46"/>
      <c r="O558" s="46"/>
      <c r="P558" s="46"/>
      <c r="Q558" s="46"/>
      <c r="R558" s="46"/>
      <c r="S558" s="46"/>
      <c r="T558" s="46"/>
      <c r="U558" s="46"/>
      <c r="V558" s="46"/>
      <c r="W558" s="62"/>
      <c r="X558" s="67"/>
      <c r="Y558" s="68" t="str" cm="1">
        <f t="array" ref="Y558">CalculerNouvelleDate(I558,X558)</f>
        <v/>
      </c>
      <c r="Z558" s="68" t="str" cm="1">
        <f t="array" ref="Z558">CalculerNouvelleDate(J558,Y558)</f>
        <v/>
      </c>
      <c r="AA558" s="68" t="str" cm="1">
        <f t="array" ref="AA558">CalculerNouvelleDate(K558,Z558)</f>
        <v/>
      </c>
      <c r="AB558" s="68" t="str" cm="1">
        <f t="array" ref="AB558">CalculerNouvelleDate(L558,AA558)</f>
        <v/>
      </c>
      <c r="AC558" s="68" t="str" cm="1">
        <f t="array" ref="AC558">CalculerNouvelleDate(M558,AB558)</f>
        <v/>
      </c>
      <c r="AD558" s="68" t="str" cm="1">
        <f t="array" ref="AD558">CalculerNouvelleDate(N558,AC558)</f>
        <v/>
      </c>
      <c r="AE558" s="68" t="str" cm="1">
        <f t="array" ref="AE558">CalculerNouvelleDate(O558,AD558)</f>
        <v/>
      </c>
      <c r="AF558" s="68" t="str" cm="1">
        <f t="array" ref="AF558">CalculerNouvelleDate(P558,AE558)</f>
        <v/>
      </c>
      <c r="AG558" s="68" t="str" cm="1">
        <f t="array" ref="AG558">CalculerNouvelleDate(Q558,AF558)</f>
        <v/>
      </c>
      <c r="AH558" s="68" t="str" cm="1">
        <f t="array" ref="AH558">CalculerNouvelleDate(R558,AG558)</f>
        <v/>
      </c>
      <c r="AI558" s="68" t="str" cm="1">
        <f t="array" ref="AI558">CalculerNouvelleDate(S558,AH558)</f>
        <v/>
      </c>
      <c r="AJ558" s="68" t="str" cm="1">
        <f t="array" ref="AJ558">CalculerNouvelleDate(T558,AI558)</f>
        <v/>
      </c>
      <c r="AK558" s="68" t="str" cm="1">
        <f t="array" ref="AK558">CalculerNouvelleDate(U558,AJ558)</f>
        <v/>
      </c>
      <c r="AL558" s="68" t="str" cm="1">
        <f t="array" ref="AL558">CalculerNouvelleDate(V558,AK558)</f>
        <v/>
      </c>
      <c r="AM558" s="83" t="str" cm="1">
        <f t="array" ref="AM558">CorrespondanceDAte(X558:AL558,D559)</f>
        <v>0</v>
      </c>
      <c r="AN558" s="1"/>
      <c r="AO558" s="1"/>
      <c r="AP558" s="1"/>
      <c r="AQ558" s="1"/>
      <c r="AR558" s="1"/>
      <c r="AS558" s="1"/>
      <c r="AT558" s="1"/>
      <c r="AU558" s="1"/>
      <c r="AV558" s="1"/>
      <c r="AW558" s="1"/>
      <c r="AX558" s="1"/>
      <c r="AY558" s="1"/>
      <c r="AZ558" s="1"/>
      <c r="BA558" s="1"/>
    </row>
    <row r="559" spans="1:53" x14ac:dyDescent="0.3">
      <c r="A559" s="1"/>
      <c r="B559" s="11"/>
      <c r="C559" s="1" t="s">
        <v>791</v>
      </c>
      <c r="D559" s="1"/>
      <c r="E559" s="1"/>
      <c r="F559" s="1"/>
      <c r="G559" s="1"/>
      <c r="H559" s="43"/>
      <c r="I559" s="46"/>
      <c r="J559" s="46"/>
      <c r="K559" s="46"/>
      <c r="L559" s="46"/>
      <c r="M559" s="46"/>
      <c r="N559" s="46"/>
      <c r="O559" s="46"/>
      <c r="P559" s="46"/>
      <c r="Q559" s="46"/>
      <c r="R559" s="46"/>
      <c r="S559" s="46"/>
      <c r="T559" s="46"/>
      <c r="U559" s="46"/>
      <c r="V559" s="46"/>
      <c r="W559" s="62"/>
      <c r="X559" s="67"/>
      <c r="Y559" s="68" t="str" cm="1">
        <f t="array" ref="Y559">CalculerNouvelleDate(I559,X559)</f>
        <v/>
      </c>
      <c r="Z559" s="68" t="str" cm="1">
        <f t="array" ref="Z559">CalculerNouvelleDate(J559,Y559)</f>
        <v/>
      </c>
      <c r="AA559" s="68" t="str" cm="1">
        <f t="array" ref="AA559">CalculerNouvelleDate(K559,Z559)</f>
        <v/>
      </c>
      <c r="AB559" s="68" t="str" cm="1">
        <f t="array" ref="AB559">CalculerNouvelleDate(L559,AA559)</f>
        <v/>
      </c>
      <c r="AC559" s="68" t="str" cm="1">
        <f t="array" ref="AC559">CalculerNouvelleDate(M559,AB559)</f>
        <v/>
      </c>
      <c r="AD559" s="68" t="str" cm="1">
        <f t="array" ref="AD559">CalculerNouvelleDate(N559,AC559)</f>
        <v/>
      </c>
      <c r="AE559" s="68" t="str" cm="1">
        <f t="array" ref="AE559">CalculerNouvelleDate(O559,AD559)</f>
        <v/>
      </c>
      <c r="AF559" s="68" t="str" cm="1">
        <f t="array" ref="AF559">CalculerNouvelleDate(P559,AE559)</f>
        <v/>
      </c>
      <c r="AG559" s="68" t="str" cm="1">
        <f t="array" ref="AG559">CalculerNouvelleDate(Q559,AF559)</f>
        <v/>
      </c>
      <c r="AH559" s="68" t="str" cm="1">
        <f t="array" ref="AH559">CalculerNouvelleDate(R559,AG559)</f>
        <v/>
      </c>
      <c r="AI559" s="68" t="str" cm="1">
        <f t="array" ref="AI559">CalculerNouvelleDate(S559,AH559)</f>
        <v/>
      </c>
      <c r="AJ559" s="68" t="str" cm="1">
        <f t="array" ref="AJ559">CalculerNouvelleDate(T559,AI559)</f>
        <v/>
      </c>
      <c r="AK559" s="68" t="str" cm="1">
        <f t="array" ref="AK559">CalculerNouvelleDate(U559,AJ559)</f>
        <v/>
      </c>
      <c r="AL559" s="68" t="str" cm="1">
        <f t="array" ref="AL559">CalculerNouvelleDate(V559,AK559)</f>
        <v/>
      </c>
      <c r="AM559" s="83" t="str" cm="1">
        <f t="array" ref="AM559">CorrespondanceDAte(X559:AL559,D560)</f>
        <v>0</v>
      </c>
      <c r="AN559" s="1"/>
      <c r="AO559" s="1"/>
      <c r="AP559" s="1"/>
      <c r="AQ559" s="1"/>
      <c r="AR559" s="1"/>
      <c r="AS559" s="1"/>
      <c r="AT559" s="1"/>
      <c r="AU559" s="1"/>
      <c r="AV559" s="1"/>
      <c r="AW559" s="1"/>
      <c r="AX559" s="1"/>
      <c r="AY559" s="1"/>
      <c r="AZ559" s="1"/>
      <c r="BA559" s="1"/>
    </row>
    <row r="560" spans="1:53" x14ac:dyDescent="0.3">
      <c r="A560" s="1"/>
      <c r="B560" s="11"/>
      <c r="C560" s="69" t="s">
        <v>792</v>
      </c>
      <c r="D560" s="1"/>
      <c r="E560" s="1"/>
      <c r="F560" s="1"/>
      <c r="G560" s="1"/>
      <c r="H560" s="43"/>
      <c r="I560" s="46"/>
      <c r="J560" s="46"/>
      <c r="K560" s="46"/>
      <c r="L560" s="46"/>
      <c r="M560" s="46"/>
      <c r="N560" s="46"/>
      <c r="O560" s="46"/>
      <c r="P560" s="46"/>
      <c r="Q560" s="46"/>
      <c r="R560" s="46"/>
      <c r="S560" s="46"/>
      <c r="T560" s="46"/>
      <c r="U560" s="46"/>
      <c r="V560" s="46"/>
      <c r="W560" s="62"/>
      <c r="X560" s="67"/>
      <c r="Y560" s="68" t="str" cm="1">
        <f t="array" ref="Y560">CalculerNouvelleDate(I560,X560)</f>
        <v/>
      </c>
      <c r="Z560" s="68" t="str" cm="1">
        <f t="array" ref="Z560">CalculerNouvelleDate(J560,Y560)</f>
        <v/>
      </c>
      <c r="AA560" s="68" t="str" cm="1">
        <f t="array" ref="AA560">CalculerNouvelleDate(K560,Z560)</f>
        <v/>
      </c>
      <c r="AB560" s="68" t="str" cm="1">
        <f t="array" ref="AB560">CalculerNouvelleDate(L560,AA560)</f>
        <v/>
      </c>
      <c r="AC560" s="68" t="str" cm="1">
        <f t="array" ref="AC560">CalculerNouvelleDate(M560,AB560)</f>
        <v/>
      </c>
      <c r="AD560" s="68" t="str" cm="1">
        <f t="array" ref="AD560">CalculerNouvelleDate(N560,AC560)</f>
        <v/>
      </c>
      <c r="AE560" s="68" t="str" cm="1">
        <f t="array" ref="AE560">CalculerNouvelleDate(O560,AD560)</f>
        <v/>
      </c>
      <c r="AF560" s="68" t="str" cm="1">
        <f t="array" ref="AF560">CalculerNouvelleDate(P560,AE560)</f>
        <v/>
      </c>
      <c r="AG560" s="68" t="str" cm="1">
        <f t="array" ref="AG560">CalculerNouvelleDate(Q560,AF560)</f>
        <v/>
      </c>
      <c r="AH560" s="68" t="str" cm="1">
        <f t="array" ref="AH560">CalculerNouvelleDate(R560,AG560)</f>
        <v/>
      </c>
      <c r="AI560" s="68" t="str" cm="1">
        <f t="array" ref="AI560">CalculerNouvelleDate(S560,AH560)</f>
        <v/>
      </c>
      <c r="AJ560" s="68" t="str" cm="1">
        <f t="array" ref="AJ560">CalculerNouvelleDate(T560,AI560)</f>
        <v/>
      </c>
      <c r="AK560" s="68" t="str" cm="1">
        <f t="array" ref="AK560">CalculerNouvelleDate(U560,AJ560)</f>
        <v/>
      </c>
      <c r="AL560" s="68" t="str" cm="1">
        <f t="array" ref="AL560">CalculerNouvelleDate(V560,AK560)</f>
        <v/>
      </c>
      <c r="AM560" s="83" t="str" cm="1">
        <f t="array" ref="AM560">CorrespondanceDAte(X560:AL560,D561)</f>
        <v>0</v>
      </c>
      <c r="AN560" s="1"/>
      <c r="AO560" s="1"/>
      <c r="AP560" s="1"/>
      <c r="AQ560" s="1"/>
      <c r="AR560" s="1"/>
      <c r="AS560" s="1"/>
      <c r="AT560" s="1"/>
      <c r="AU560" s="1"/>
      <c r="AV560" s="1"/>
      <c r="AW560" s="1"/>
      <c r="AX560" s="1"/>
      <c r="AY560" s="1"/>
      <c r="AZ560" s="1"/>
      <c r="BA560" s="1"/>
    </row>
    <row r="561" spans="1:53" x14ac:dyDescent="0.3">
      <c r="A561" s="1"/>
      <c r="B561" s="11"/>
      <c r="C561" s="69" t="s">
        <v>793</v>
      </c>
      <c r="D561" s="1"/>
      <c r="E561" s="1"/>
      <c r="F561" s="1"/>
      <c r="G561" s="1"/>
      <c r="H561" s="43"/>
      <c r="I561" s="46"/>
      <c r="J561" s="46"/>
      <c r="K561" s="46"/>
      <c r="L561" s="46"/>
      <c r="M561" s="46"/>
      <c r="N561" s="46"/>
      <c r="O561" s="46"/>
      <c r="P561" s="46"/>
      <c r="Q561" s="46"/>
      <c r="R561" s="46"/>
      <c r="S561" s="46"/>
      <c r="T561" s="46"/>
      <c r="U561" s="46"/>
      <c r="V561" s="46"/>
      <c r="W561" s="62"/>
      <c r="X561" s="67"/>
      <c r="Y561" s="68" t="str" cm="1">
        <f t="array" ref="Y561">CalculerNouvelleDate(I561,X561)</f>
        <v/>
      </c>
      <c r="Z561" s="68" t="str" cm="1">
        <f t="array" ref="Z561">CalculerNouvelleDate(J561,Y561)</f>
        <v/>
      </c>
      <c r="AA561" s="68" t="str" cm="1">
        <f t="array" ref="AA561">CalculerNouvelleDate(K561,Z561)</f>
        <v/>
      </c>
      <c r="AB561" s="68" t="str" cm="1">
        <f t="array" ref="AB561">CalculerNouvelleDate(L561,AA561)</f>
        <v/>
      </c>
      <c r="AC561" s="68" t="str" cm="1">
        <f t="array" ref="AC561">CalculerNouvelleDate(M561,AB561)</f>
        <v/>
      </c>
      <c r="AD561" s="68" t="str" cm="1">
        <f t="array" ref="AD561">CalculerNouvelleDate(N561,AC561)</f>
        <v/>
      </c>
      <c r="AE561" s="68" t="str" cm="1">
        <f t="array" ref="AE561">CalculerNouvelleDate(O561,AD561)</f>
        <v/>
      </c>
      <c r="AF561" s="68" t="str" cm="1">
        <f t="array" ref="AF561">CalculerNouvelleDate(P561,AE561)</f>
        <v/>
      </c>
      <c r="AG561" s="68" t="str" cm="1">
        <f t="array" ref="AG561">CalculerNouvelleDate(Q561,AF561)</f>
        <v/>
      </c>
      <c r="AH561" s="68" t="str" cm="1">
        <f t="array" ref="AH561">CalculerNouvelleDate(R561,AG561)</f>
        <v/>
      </c>
      <c r="AI561" s="68" t="str" cm="1">
        <f t="array" ref="AI561">CalculerNouvelleDate(S561,AH561)</f>
        <v/>
      </c>
      <c r="AJ561" s="68" t="str" cm="1">
        <f t="array" ref="AJ561">CalculerNouvelleDate(T561,AI561)</f>
        <v/>
      </c>
      <c r="AK561" s="68" t="str" cm="1">
        <f t="array" ref="AK561">CalculerNouvelleDate(U561,AJ561)</f>
        <v/>
      </c>
      <c r="AL561" s="68" t="str" cm="1">
        <f t="array" ref="AL561">CalculerNouvelleDate(V561,AK561)</f>
        <v/>
      </c>
      <c r="AM561" s="83" t="str" cm="1">
        <f t="array" ref="AM561">CorrespondanceDAte(X561:AL561,D562)</f>
        <v>0</v>
      </c>
      <c r="AN561" s="1"/>
      <c r="AO561" s="1"/>
      <c r="AP561" s="1"/>
      <c r="AQ561" s="1"/>
      <c r="AR561" s="1"/>
      <c r="AS561" s="1"/>
      <c r="AT561" s="1"/>
      <c r="AU561" s="1"/>
      <c r="AV561" s="1"/>
      <c r="AW561" s="1"/>
      <c r="AX561" s="1"/>
      <c r="AY561" s="1"/>
      <c r="AZ561" s="1"/>
      <c r="BA561" s="1"/>
    </row>
    <row r="562" spans="1:53" x14ac:dyDescent="0.3">
      <c r="A562" s="1"/>
      <c r="B562" s="11"/>
      <c r="C562" s="69" t="s">
        <v>794</v>
      </c>
      <c r="D562" s="1"/>
      <c r="E562" s="1"/>
      <c r="F562" s="1"/>
      <c r="G562" s="1"/>
      <c r="H562" s="43"/>
      <c r="I562" s="46"/>
      <c r="J562" s="46"/>
      <c r="K562" s="46"/>
      <c r="L562" s="46"/>
      <c r="M562" s="46"/>
      <c r="N562" s="46"/>
      <c r="O562" s="46"/>
      <c r="P562" s="46"/>
      <c r="Q562" s="46"/>
      <c r="R562" s="46"/>
      <c r="S562" s="46"/>
      <c r="T562" s="46"/>
      <c r="U562" s="46"/>
      <c r="V562" s="46"/>
      <c r="W562" s="62"/>
      <c r="X562" s="67"/>
      <c r="Y562" s="68" t="str" cm="1">
        <f t="array" ref="Y562">CalculerNouvelleDate(I562,X562)</f>
        <v/>
      </c>
      <c r="Z562" s="68" t="str" cm="1">
        <f t="array" ref="Z562">CalculerNouvelleDate(J562,Y562)</f>
        <v/>
      </c>
      <c r="AA562" s="68" t="str" cm="1">
        <f t="array" ref="AA562">CalculerNouvelleDate(K562,Z562)</f>
        <v/>
      </c>
      <c r="AB562" s="68" t="str" cm="1">
        <f t="array" ref="AB562">CalculerNouvelleDate(L562,AA562)</f>
        <v/>
      </c>
      <c r="AC562" s="68" t="str" cm="1">
        <f t="array" ref="AC562">CalculerNouvelleDate(M562,AB562)</f>
        <v/>
      </c>
      <c r="AD562" s="68" t="str" cm="1">
        <f t="array" ref="AD562">CalculerNouvelleDate(N562,AC562)</f>
        <v/>
      </c>
      <c r="AE562" s="68" t="str" cm="1">
        <f t="array" ref="AE562">CalculerNouvelleDate(O562,AD562)</f>
        <v/>
      </c>
      <c r="AF562" s="68" t="str" cm="1">
        <f t="array" ref="AF562">CalculerNouvelleDate(P562,AE562)</f>
        <v/>
      </c>
      <c r="AG562" s="68" t="str" cm="1">
        <f t="array" ref="AG562">CalculerNouvelleDate(Q562,AF562)</f>
        <v/>
      </c>
      <c r="AH562" s="68" t="str" cm="1">
        <f t="array" ref="AH562">CalculerNouvelleDate(R562,AG562)</f>
        <v/>
      </c>
      <c r="AI562" s="68" t="str" cm="1">
        <f t="array" ref="AI562">CalculerNouvelleDate(S562,AH562)</f>
        <v/>
      </c>
      <c r="AJ562" s="68" t="str" cm="1">
        <f t="array" ref="AJ562">CalculerNouvelleDate(T562,AI562)</f>
        <v/>
      </c>
      <c r="AK562" s="68" t="str" cm="1">
        <f t="array" ref="AK562">CalculerNouvelleDate(U562,AJ562)</f>
        <v/>
      </c>
      <c r="AL562" s="68" t="str" cm="1">
        <f t="array" ref="AL562">CalculerNouvelleDate(V562,AK562)</f>
        <v/>
      </c>
      <c r="AM562" s="83" t="str" cm="1">
        <f t="array" ref="AM562">CorrespondanceDAte(X562:AL562,D563)</f>
        <v>0</v>
      </c>
      <c r="AN562" s="1"/>
      <c r="AO562" s="1"/>
      <c r="AP562" s="1"/>
      <c r="AQ562" s="1"/>
      <c r="AR562" s="1"/>
      <c r="AS562" s="1"/>
      <c r="AT562" s="1"/>
      <c r="AU562" s="1"/>
      <c r="AV562" s="1"/>
      <c r="AW562" s="1"/>
      <c r="AX562" s="1"/>
      <c r="AY562" s="1"/>
      <c r="AZ562" s="1"/>
      <c r="BA562" s="1"/>
    </row>
    <row r="563" spans="1:53" x14ac:dyDescent="0.3">
      <c r="A563" s="1"/>
      <c r="B563" s="11"/>
      <c r="C563" s="1" t="s">
        <v>795</v>
      </c>
      <c r="D563" s="1"/>
      <c r="E563" s="1"/>
      <c r="F563" s="1"/>
      <c r="G563" s="1"/>
      <c r="H563" s="43"/>
      <c r="I563" s="46"/>
      <c r="J563" s="46"/>
      <c r="K563" s="46"/>
      <c r="L563" s="46"/>
      <c r="M563" s="46"/>
      <c r="N563" s="46"/>
      <c r="O563" s="46"/>
      <c r="P563" s="46"/>
      <c r="Q563" s="46"/>
      <c r="R563" s="46"/>
      <c r="S563" s="46"/>
      <c r="T563" s="46"/>
      <c r="U563" s="46"/>
      <c r="V563" s="46"/>
      <c r="W563" s="62"/>
      <c r="X563" s="67"/>
      <c r="Y563" s="68" t="str" cm="1">
        <f t="array" ref="Y563">CalculerNouvelleDate(I563,X563)</f>
        <v/>
      </c>
      <c r="Z563" s="68" t="str" cm="1">
        <f t="array" ref="Z563">CalculerNouvelleDate(J563,Y563)</f>
        <v/>
      </c>
      <c r="AA563" s="68" t="str" cm="1">
        <f t="array" ref="AA563">CalculerNouvelleDate(K563,Z563)</f>
        <v/>
      </c>
      <c r="AB563" s="68" t="str" cm="1">
        <f t="array" ref="AB563">CalculerNouvelleDate(L563,AA563)</f>
        <v/>
      </c>
      <c r="AC563" s="68" t="str" cm="1">
        <f t="array" ref="AC563">CalculerNouvelleDate(M563,AB563)</f>
        <v/>
      </c>
      <c r="AD563" s="68" t="str" cm="1">
        <f t="array" ref="AD563">CalculerNouvelleDate(N563,AC563)</f>
        <v/>
      </c>
      <c r="AE563" s="68" t="str" cm="1">
        <f t="array" ref="AE563">CalculerNouvelleDate(O563,AD563)</f>
        <v/>
      </c>
      <c r="AF563" s="68" t="str" cm="1">
        <f t="array" ref="AF563">CalculerNouvelleDate(P563,AE563)</f>
        <v/>
      </c>
      <c r="AG563" s="68" t="str" cm="1">
        <f t="array" ref="AG563">CalculerNouvelleDate(Q563,AF563)</f>
        <v/>
      </c>
      <c r="AH563" s="68" t="str" cm="1">
        <f t="array" ref="AH563">CalculerNouvelleDate(R563,AG563)</f>
        <v/>
      </c>
      <c r="AI563" s="68" t="str" cm="1">
        <f t="array" ref="AI563">CalculerNouvelleDate(S563,AH563)</f>
        <v/>
      </c>
      <c r="AJ563" s="68" t="str" cm="1">
        <f t="array" ref="AJ563">CalculerNouvelleDate(T563,AI563)</f>
        <v/>
      </c>
      <c r="AK563" s="68" t="str" cm="1">
        <f t="array" ref="AK563">CalculerNouvelleDate(U563,AJ563)</f>
        <v/>
      </c>
      <c r="AL563" s="68" t="str" cm="1">
        <f t="array" ref="AL563">CalculerNouvelleDate(V563,AK563)</f>
        <v/>
      </c>
      <c r="AM563" s="83" t="str" cm="1">
        <f t="array" ref="AM563">CorrespondanceDAte(X563:AL563,D564)</f>
        <v>0</v>
      </c>
      <c r="AN563" s="1"/>
      <c r="AO563" s="1"/>
      <c r="AP563" s="1"/>
      <c r="AQ563" s="1"/>
      <c r="AR563" s="1"/>
      <c r="AS563" s="1"/>
      <c r="AT563" s="1"/>
      <c r="AU563" s="1"/>
      <c r="AV563" s="1"/>
      <c r="AW563" s="1"/>
      <c r="AX563" s="1"/>
      <c r="AY563" s="1"/>
      <c r="AZ563" s="1"/>
      <c r="BA563" s="1"/>
    </row>
    <row r="564" spans="1:53" x14ac:dyDescent="0.3">
      <c r="A564" s="1"/>
      <c r="B564" s="11"/>
      <c r="C564" s="69" t="s">
        <v>796</v>
      </c>
      <c r="D564" s="1"/>
      <c r="E564" s="1"/>
      <c r="F564" s="1"/>
      <c r="G564" s="1"/>
      <c r="H564" s="43"/>
      <c r="I564" s="46"/>
      <c r="J564" s="46"/>
      <c r="K564" s="46"/>
      <c r="L564" s="46"/>
      <c r="M564" s="46"/>
      <c r="N564" s="46"/>
      <c r="O564" s="46"/>
      <c r="P564" s="46"/>
      <c r="Q564" s="46"/>
      <c r="R564" s="46"/>
      <c r="S564" s="46"/>
      <c r="T564" s="46"/>
      <c r="U564" s="46"/>
      <c r="V564" s="46"/>
      <c r="W564" s="62"/>
      <c r="X564" s="67"/>
      <c r="Y564" s="68" t="str" cm="1">
        <f t="array" ref="Y564">CalculerNouvelleDate(I564,X564)</f>
        <v/>
      </c>
      <c r="Z564" s="68" t="str" cm="1">
        <f t="array" ref="Z564">CalculerNouvelleDate(J564,Y564)</f>
        <v/>
      </c>
      <c r="AA564" s="68" t="str" cm="1">
        <f t="array" ref="AA564">CalculerNouvelleDate(K564,Z564)</f>
        <v/>
      </c>
      <c r="AB564" s="68" t="str" cm="1">
        <f t="array" ref="AB564">CalculerNouvelleDate(L564,AA564)</f>
        <v/>
      </c>
      <c r="AC564" s="68" t="str" cm="1">
        <f t="array" ref="AC564">CalculerNouvelleDate(M564,AB564)</f>
        <v/>
      </c>
      <c r="AD564" s="68" t="str" cm="1">
        <f t="array" ref="AD564">CalculerNouvelleDate(N564,AC564)</f>
        <v/>
      </c>
      <c r="AE564" s="68" t="str" cm="1">
        <f t="array" ref="AE564">CalculerNouvelleDate(O564,AD564)</f>
        <v/>
      </c>
      <c r="AF564" s="68" t="str" cm="1">
        <f t="array" ref="AF564">CalculerNouvelleDate(P564,AE564)</f>
        <v/>
      </c>
      <c r="AG564" s="68" t="str" cm="1">
        <f t="array" ref="AG564">CalculerNouvelleDate(Q564,AF564)</f>
        <v/>
      </c>
      <c r="AH564" s="68" t="str" cm="1">
        <f t="array" ref="AH564">CalculerNouvelleDate(R564,AG564)</f>
        <v/>
      </c>
      <c r="AI564" s="68" t="str" cm="1">
        <f t="array" ref="AI564">CalculerNouvelleDate(S564,AH564)</f>
        <v/>
      </c>
      <c r="AJ564" s="68" t="str" cm="1">
        <f t="array" ref="AJ564">CalculerNouvelleDate(T564,AI564)</f>
        <v/>
      </c>
      <c r="AK564" s="68" t="str" cm="1">
        <f t="array" ref="AK564">CalculerNouvelleDate(U564,AJ564)</f>
        <v/>
      </c>
      <c r="AL564" s="68" t="str" cm="1">
        <f t="array" ref="AL564">CalculerNouvelleDate(V564,AK564)</f>
        <v/>
      </c>
      <c r="AM564" s="83" t="str" cm="1">
        <f t="array" ref="AM564">CorrespondanceDAte(X564:AL564,D565)</f>
        <v>0</v>
      </c>
      <c r="AN564" s="1"/>
      <c r="AO564" s="1"/>
      <c r="AP564" s="1"/>
      <c r="AQ564" s="1"/>
      <c r="AR564" s="1"/>
      <c r="AS564" s="1"/>
      <c r="AT564" s="1"/>
      <c r="AU564" s="1"/>
      <c r="AV564" s="1"/>
      <c r="AW564" s="1"/>
      <c r="AX564" s="1"/>
      <c r="AY564" s="1"/>
      <c r="AZ564" s="1"/>
      <c r="BA564" s="1"/>
    </row>
    <row r="565" spans="1:53" x14ac:dyDescent="0.3">
      <c r="A565" s="1"/>
      <c r="B565" s="11"/>
      <c r="C565" s="69" t="s">
        <v>797</v>
      </c>
      <c r="D565" s="1"/>
      <c r="E565" s="1"/>
      <c r="F565" s="1"/>
      <c r="G565" s="1"/>
      <c r="H565" s="43"/>
      <c r="I565" s="46"/>
      <c r="J565" s="46"/>
      <c r="K565" s="46"/>
      <c r="L565" s="46"/>
      <c r="M565" s="46"/>
      <c r="N565" s="46"/>
      <c r="O565" s="46"/>
      <c r="P565" s="46"/>
      <c r="Q565" s="46"/>
      <c r="R565" s="46"/>
      <c r="S565" s="46"/>
      <c r="T565" s="46"/>
      <c r="U565" s="46"/>
      <c r="V565" s="46"/>
      <c r="W565" s="62"/>
      <c r="X565" s="67"/>
      <c r="Y565" s="68" t="str" cm="1">
        <f t="array" ref="Y565">CalculerNouvelleDate(I565,X565)</f>
        <v/>
      </c>
      <c r="Z565" s="68" t="str" cm="1">
        <f t="array" ref="Z565">CalculerNouvelleDate(J565,Y565)</f>
        <v/>
      </c>
      <c r="AA565" s="68" t="str" cm="1">
        <f t="array" ref="AA565">CalculerNouvelleDate(K565,Z565)</f>
        <v/>
      </c>
      <c r="AB565" s="68" t="str" cm="1">
        <f t="array" ref="AB565">CalculerNouvelleDate(L565,AA565)</f>
        <v/>
      </c>
      <c r="AC565" s="68" t="str" cm="1">
        <f t="array" ref="AC565">CalculerNouvelleDate(M565,AB565)</f>
        <v/>
      </c>
      <c r="AD565" s="68" t="str" cm="1">
        <f t="array" ref="AD565">CalculerNouvelleDate(N565,AC565)</f>
        <v/>
      </c>
      <c r="AE565" s="68" t="str" cm="1">
        <f t="array" ref="AE565">CalculerNouvelleDate(O565,AD565)</f>
        <v/>
      </c>
      <c r="AF565" s="68" t="str" cm="1">
        <f t="array" ref="AF565">CalculerNouvelleDate(P565,AE565)</f>
        <v/>
      </c>
      <c r="AG565" s="68" t="str" cm="1">
        <f t="array" ref="AG565">CalculerNouvelleDate(Q565,AF565)</f>
        <v/>
      </c>
      <c r="AH565" s="68" t="str" cm="1">
        <f t="array" ref="AH565">CalculerNouvelleDate(R565,AG565)</f>
        <v/>
      </c>
      <c r="AI565" s="68" t="str" cm="1">
        <f t="array" ref="AI565">CalculerNouvelleDate(S565,AH565)</f>
        <v/>
      </c>
      <c r="AJ565" s="68" t="str" cm="1">
        <f t="array" ref="AJ565">CalculerNouvelleDate(T565,AI565)</f>
        <v/>
      </c>
      <c r="AK565" s="68" t="str" cm="1">
        <f t="array" ref="AK565">CalculerNouvelleDate(U565,AJ565)</f>
        <v/>
      </c>
      <c r="AL565" s="68" t="str" cm="1">
        <f t="array" ref="AL565">CalculerNouvelleDate(V565,AK565)</f>
        <v/>
      </c>
      <c r="AM565" s="83" t="str" cm="1">
        <f t="array" ref="AM565">CorrespondanceDAte(X565:AL565,D566)</f>
        <v>0</v>
      </c>
      <c r="AN565" s="1"/>
      <c r="AO565" s="1"/>
      <c r="AP565" s="1"/>
      <c r="AQ565" s="1"/>
      <c r="AR565" s="1"/>
      <c r="AS565" s="1"/>
      <c r="AT565" s="1"/>
      <c r="AU565" s="1"/>
      <c r="AV565" s="1"/>
      <c r="AW565" s="1"/>
      <c r="AX565" s="1"/>
      <c r="AY565" s="1"/>
      <c r="AZ565" s="1"/>
      <c r="BA565" s="1"/>
    </row>
    <row r="566" spans="1:53" x14ac:dyDescent="0.3">
      <c r="A566" s="1"/>
      <c r="B566" s="11"/>
      <c r="C566" s="69" t="s">
        <v>798</v>
      </c>
      <c r="D566" s="1"/>
      <c r="E566" s="1"/>
      <c r="F566" s="1"/>
      <c r="G566" s="1"/>
      <c r="H566" s="43"/>
      <c r="I566" s="46"/>
      <c r="J566" s="46"/>
      <c r="K566" s="46"/>
      <c r="L566" s="46"/>
      <c r="M566" s="46"/>
      <c r="N566" s="46"/>
      <c r="O566" s="46"/>
      <c r="P566" s="46"/>
      <c r="Q566" s="46"/>
      <c r="R566" s="46"/>
      <c r="S566" s="46"/>
      <c r="T566" s="46"/>
      <c r="U566" s="46"/>
      <c r="V566" s="46"/>
      <c r="W566" s="62"/>
      <c r="X566" s="67"/>
      <c r="Y566" s="68" t="str" cm="1">
        <f t="array" ref="Y566">CalculerNouvelleDate(I566,X566)</f>
        <v/>
      </c>
      <c r="Z566" s="68" t="str" cm="1">
        <f t="array" ref="Z566">CalculerNouvelleDate(J566,Y566)</f>
        <v/>
      </c>
      <c r="AA566" s="68" t="str" cm="1">
        <f t="array" ref="AA566">CalculerNouvelleDate(K566,Z566)</f>
        <v/>
      </c>
      <c r="AB566" s="68" t="str" cm="1">
        <f t="array" ref="AB566">CalculerNouvelleDate(L566,AA566)</f>
        <v/>
      </c>
      <c r="AC566" s="68" t="str" cm="1">
        <f t="array" ref="AC566">CalculerNouvelleDate(M566,AB566)</f>
        <v/>
      </c>
      <c r="AD566" s="68" t="str" cm="1">
        <f t="array" ref="AD566">CalculerNouvelleDate(N566,AC566)</f>
        <v/>
      </c>
      <c r="AE566" s="68" t="str" cm="1">
        <f t="array" ref="AE566">CalculerNouvelleDate(O566,AD566)</f>
        <v/>
      </c>
      <c r="AF566" s="68" t="str" cm="1">
        <f t="array" ref="AF566">CalculerNouvelleDate(P566,AE566)</f>
        <v/>
      </c>
      <c r="AG566" s="68" t="str" cm="1">
        <f t="array" ref="AG566">CalculerNouvelleDate(Q566,AF566)</f>
        <v/>
      </c>
      <c r="AH566" s="68" t="str" cm="1">
        <f t="array" ref="AH566">CalculerNouvelleDate(R566,AG566)</f>
        <v/>
      </c>
      <c r="AI566" s="68" t="str" cm="1">
        <f t="array" ref="AI566">CalculerNouvelleDate(S566,AH566)</f>
        <v/>
      </c>
      <c r="AJ566" s="68" t="str" cm="1">
        <f t="array" ref="AJ566">CalculerNouvelleDate(T566,AI566)</f>
        <v/>
      </c>
      <c r="AK566" s="68" t="str" cm="1">
        <f t="array" ref="AK566">CalculerNouvelleDate(U566,AJ566)</f>
        <v/>
      </c>
      <c r="AL566" s="68" t="str" cm="1">
        <f t="array" ref="AL566">CalculerNouvelleDate(V566,AK566)</f>
        <v/>
      </c>
      <c r="AM566" s="83" t="str" cm="1">
        <f t="array" ref="AM566">CorrespondanceDAte(X566:AL566,D567)</f>
        <v>0</v>
      </c>
      <c r="AN566" s="1"/>
      <c r="AO566" s="1"/>
      <c r="AP566" s="1"/>
      <c r="AQ566" s="1"/>
      <c r="AR566" s="1"/>
      <c r="AS566" s="1"/>
      <c r="AT566" s="1"/>
      <c r="AU566" s="1"/>
      <c r="AV566" s="1"/>
      <c r="AW566" s="1"/>
      <c r="AX566" s="1"/>
      <c r="AY566" s="1"/>
      <c r="AZ566" s="1"/>
      <c r="BA566" s="1"/>
    </row>
    <row r="567" spans="1:53" x14ac:dyDescent="0.3">
      <c r="A567" s="1"/>
      <c r="B567" s="11"/>
      <c r="C567" s="1" t="s">
        <v>799</v>
      </c>
      <c r="D567" s="1"/>
      <c r="E567" s="1"/>
      <c r="F567" s="1"/>
      <c r="G567" s="1"/>
      <c r="H567" s="43"/>
      <c r="I567" s="46"/>
      <c r="J567" s="46"/>
      <c r="K567" s="46"/>
      <c r="L567" s="46"/>
      <c r="M567" s="46"/>
      <c r="N567" s="46"/>
      <c r="O567" s="46"/>
      <c r="P567" s="46"/>
      <c r="Q567" s="46"/>
      <c r="R567" s="46"/>
      <c r="S567" s="46"/>
      <c r="T567" s="46"/>
      <c r="U567" s="46"/>
      <c r="V567" s="46"/>
      <c r="W567" s="62"/>
      <c r="X567" s="67"/>
      <c r="Y567" s="68" t="str" cm="1">
        <f t="array" ref="Y567">CalculerNouvelleDate(I567,X567)</f>
        <v/>
      </c>
      <c r="Z567" s="68" t="str" cm="1">
        <f t="array" ref="Z567">CalculerNouvelleDate(J567,Y567)</f>
        <v/>
      </c>
      <c r="AA567" s="68" t="str" cm="1">
        <f t="array" ref="AA567">CalculerNouvelleDate(K567,Z567)</f>
        <v/>
      </c>
      <c r="AB567" s="68" t="str" cm="1">
        <f t="array" ref="AB567">CalculerNouvelleDate(L567,AA567)</f>
        <v/>
      </c>
      <c r="AC567" s="68" t="str" cm="1">
        <f t="array" ref="AC567">CalculerNouvelleDate(M567,AB567)</f>
        <v/>
      </c>
      <c r="AD567" s="68" t="str" cm="1">
        <f t="array" ref="AD567">CalculerNouvelleDate(N567,AC567)</f>
        <v/>
      </c>
      <c r="AE567" s="68" t="str" cm="1">
        <f t="array" ref="AE567">CalculerNouvelleDate(O567,AD567)</f>
        <v/>
      </c>
      <c r="AF567" s="68" t="str" cm="1">
        <f t="array" ref="AF567">CalculerNouvelleDate(P567,AE567)</f>
        <v/>
      </c>
      <c r="AG567" s="68" t="str" cm="1">
        <f t="array" ref="AG567">CalculerNouvelleDate(Q567,AF567)</f>
        <v/>
      </c>
      <c r="AH567" s="68" t="str" cm="1">
        <f t="array" ref="AH567">CalculerNouvelleDate(R567,AG567)</f>
        <v/>
      </c>
      <c r="AI567" s="68" t="str" cm="1">
        <f t="array" ref="AI567">CalculerNouvelleDate(S567,AH567)</f>
        <v/>
      </c>
      <c r="AJ567" s="68" t="str" cm="1">
        <f t="array" ref="AJ567">CalculerNouvelleDate(T567,AI567)</f>
        <v/>
      </c>
      <c r="AK567" s="68" t="str" cm="1">
        <f t="array" ref="AK567">CalculerNouvelleDate(U567,AJ567)</f>
        <v/>
      </c>
      <c r="AL567" s="68" t="str" cm="1">
        <f t="array" ref="AL567">CalculerNouvelleDate(V567,AK567)</f>
        <v/>
      </c>
      <c r="AM567" s="83" t="str" cm="1">
        <f t="array" ref="AM567">CorrespondanceDAte(X567:AL567,D568)</f>
        <v>0</v>
      </c>
      <c r="AN567" s="1"/>
      <c r="AO567" s="1"/>
      <c r="AP567" s="1"/>
      <c r="AQ567" s="1"/>
      <c r="AR567" s="1"/>
      <c r="AS567" s="1"/>
      <c r="AT567" s="1"/>
      <c r="AU567" s="1"/>
      <c r="AV567" s="1"/>
      <c r="AW567" s="1"/>
      <c r="AX567" s="1"/>
      <c r="AY567" s="1"/>
      <c r="AZ567" s="1"/>
      <c r="BA567" s="1"/>
    </row>
    <row r="568" spans="1:53" x14ac:dyDescent="0.3">
      <c r="A568" s="1"/>
      <c r="B568" s="11"/>
      <c r="C568" s="69" t="s">
        <v>800</v>
      </c>
      <c r="D568" s="1"/>
      <c r="E568" s="1"/>
      <c r="F568" s="1"/>
      <c r="G568" s="1"/>
      <c r="H568" s="43"/>
      <c r="I568" s="46"/>
      <c r="J568" s="46"/>
      <c r="K568" s="46"/>
      <c r="L568" s="46"/>
      <c r="M568" s="46"/>
      <c r="N568" s="46"/>
      <c r="O568" s="46"/>
      <c r="P568" s="46"/>
      <c r="Q568" s="46"/>
      <c r="R568" s="46"/>
      <c r="S568" s="46"/>
      <c r="T568" s="46"/>
      <c r="U568" s="46"/>
      <c r="V568" s="46"/>
      <c r="W568" s="62"/>
      <c r="X568" s="67"/>
      <c r="Y568" s="68" t="str" cm="1">
        <f t="array" ref="Y568">CalculerNouvelleDate(I568,X568)</f>
        <v/>
      </c>
      <c r="Z568" s="68" t="str" cm="1">
        <f t="array" ref="Z568">CalculerNouvelleDate(J568,Y568)</f>
        <v/>
      </c>
      <c r="AA568" s="68" t="str" cm="1">
        <f t="array" ref="AA568">CalculerNouvelleDate(K568,Z568)</f>
        <v/>
      </c>
      <c r="AB568" s="68" t="str" cm="1">
        <f t="array" ref="AB568">CalculerNouvelleDate(L568,AA568)</f>
        <v/>
      </c>
      <c r="AC568" s="68" t="str" cm="1">
        <f t="array" ref="AC568">CalculerNouvelleDate(M568,AB568)</f>
        <v/>
      </c>
      <c r="AD568" s="68" t="str" cm="1">
        <f t="array" ref="AD568">CalculerNouvelleDate(N568,AC568)</f>
        <v/>
      </c>
      <c r="AE568" s="68" t="str" cm="1">
        <f t="array" ref="AE568">CalculerNouvelleDate(O568,AD568)</f>
        <v/>
      </c>
      <c r="AF568" s="68" t="str" cm="1">
        <f t="array" ref="AF568">CalculerNouvelleDate(P568,AE568)</f>
        <v/>
      </c>
      <c r="AG568" s="68" t="str" cm="1">
        <f t="array" ref="AG568">CalculerNouvelleDate(Q568,AF568)</f>
        <v/>
      </c>
      <c r="AH568" s="68" t="str" cm="1">
        <f t="array" ref="AH568">CalculerNouvelleDate(R568,AG568)</f>
        <v/>
      </c>
      <c r="AI568" s="68" t="str" cm="1">
        <f t="array" ref="AI568">CalculerNouvelleDate(S568,AH568)</f>
        <v/>
      </c>
      <c r="AJ568" s="68" t="str" cm="1">
        <f t="array" ref="AJ568">CalculerNouvelleDate(T568,AI568)</f>
        <v/>
      </c>
      <c r="AK568" s="68" t="str" cm="1">
        <f t="array" ref="AK568">CalculerNouvelleDate(U568,AJ568)</f>
        <v/>
      </c>
      <c r="AL568" s="68" t="str" cm="1">
        <f t="array" ref="AL568">CalculerNouvelleDate(V568,AK568)</f>
        <v/>
      </c>
      <c r="AM568" s="83" t="str" cm="1">
        <f t="array" ref="AM568">CorrespondanceDAte(X568:AL568,D569)</f>
        <v>0</v>
      </c>
      <c r="AN568" s="1"/>
      <c r="AO568" s="1"/>
      <c r="AP568" s="1"/>
      <c r="AQ568" s="1"/>
      <c r="AR568" s="1"/>
      <c r="AS568" s="1"/>
      <c r="AT568" s="1"/>
      <c r="AU568" s="1"/>
      <c r="AV568" s="1"/>
      <c r="AW568" s="1"/>
      <c r="AX568" s="1"/>
      <c r="AY568" s="1"/>
      <c r="AZ568" s="1"/>
      <c r="BA568" s="1"/>
    </row>
    <row r="569" spans="1:53" x14ac:dyDescent="0.3">
      <c r="A569" s="1"/>
      <c r="B569" s="11"/>
      <c r="C569" s="69" t="s">
        <v>801</v>
      </c>
      <c r="D569" s="1"/>
      <c r="E569" s="1"/>
      <c r="F569" s="1"/>
      <c r="G569" s="1"/>
      <c r="H569" s="43"/>
      <c r="I569" s="46"/>
      <c r="J569" s="46"/>
      <c r="K569" s="46"/>
      <c r="L569" s="46"/>
      <c r="M569" s="46"/>
      <c r="N569" s="46"/>
      <c r="O569" s="46"/>
      <c r="P569" s="46"/>
      <c r="Q569" s="46"/>
      <c r="R569" s="46"/>
      <c r="S569" s="46"/>
      <c r="T569" s="46"/>
      <c r="U569" s="46"/>
      <c r="V569" s="46"/>
      <c r="W569" s="62"/>
      <c r="X569" s="67"/>
      <c r="Y569" s="68" t="str" cm="1">
        <f t="array" ref="Y569">CalculerNouvelleDate(I569,X569)</f>
        <v/>
      </c>
      <c r="Z569" s="68" t="str" cm="1">
        <f t="array" ref="Z569">CalculerNouvelleDate(J569,Y569)</f>
        <v/>
      </c>
      <c r="AA569" s="68" t="str" cm="1">
        <f t="array" ref="AA569">CalculerNouvelleDate(K569,Z569)</f>
        <v/>
      </c>
      <c r="AB569" s="68" t="str" cm="1">
        <f t="array" ref="AB569">CalculerNouvelleDate(L569,AA569)</f>
        <v/>
      </c>
      <c r="AC569" s="68" t="str" cm="1">
        <f t="array" ref="AC569">CalculerNouvelleDate(M569,AB569)</f>
        <v/>
      </c>
      <c r="AD569" s="68" t="str" cm="1">
        <f t="array" ref="AD569">CalculerNouvelleDate(N569,AC569)</f>
        <v/>
      </c>
      <c r="AE569" s="68" t="str" cm="1">
        <f t="array" ref="AE569">CalculerNouvelleDate(O569,AD569)</f>
        <v/>
      </c>
      <c r="AF569" s="68" t="str" cm="1">
        <f t="array" ref="AF569">CalculerNouvelleDate(P569,AE569)</f>
        <v/>
      </c>
      <c r="AG569" s="68" t="str" cm="1">
        <f t="array" ref="AG569">CalculerNouvelleDate(Q569,AF569)</f>
        <v/>
      </c>
      <c r="AH569" s="68" t="str" cm="1">
        <f t="array" ref="AH569">CalculerNouvelleDate(R569,AG569)</f>
        <v/>
      </c>
      <c r="AI569" s="68" t="str" cm="1">
        <f t="array" ref="AI569">CalculerNouvelleDate(S569,AH569)</f>
        <v/>
      </c>
      <c r="AJ569" s="68" t="str" cm="1">
        <f t="array" ref="AJ569">CalculerNouvelleDate(T569,AI569)</f>
        <v/>
      </c>
      <c r="AK569" s="68" t="str" cm="1">
        <f t="array" ref="AK569">CalculerNouvelleDate(U569,AJ569)</f>
        <v/>
      </c>
      <c r="AL569" s="68" t="str" cm="1">
        <f t="array" ref="AL569">CalculerNouvelleDate(V569,AK569)</f>
        <v/>
      </c>
      <c r="AM569" s="83" t="str" cm="1">
        <f t="array" ref="AM569">CorrespondanceDAte(X569:AL569,D570)</f>
        <v>0</v>
      </c>
      <c r="AN569" s="1"/>
      <c r="AO569" s="1"/>
      <c r="AP569" s="1"/>
      <c r="AQ569" s="1"/>
      <c r="AR569" s="1"/>
      <c r="AS569" s="1"/>
      <c r="AT569" s="1"/>
      <c r="AU569" s="1"/>
      <c r="AV569" s="1"/>
      <c r="AW569" s="1"/>
      <c r="AX569" s="1"/>
      <c r="AY569" s="1"/>
      <c r="AZ569" s="1"/>
      <c r="BA569" s="1"/>
    </row>
    <row r="570" spans="1:53" x14ac:dyDescent="0.3">
      <c r="A570" s="1"/>
      <c r="B570" s="11"/>
      <c r="C570" s="69" t="s">
        <v>802</v>
      </c>
      <c r="D570" s="1"/>
      <c r="E570" s="1"/>
      <c r="F570" s="1"/>
      <c r="G570" s="1"/>
      <c r="H570" s="43"/>
      <c r="I570" s="46"/>
      <c r="J570" s="46"/>
      <c r="K570" s="46"/>
      <c r="L570" s="46"/>
      <c r="M570" s="46"/>
      <c r="N570" s="46"/>
      <c r="O570" s="46"/>
      <c r="P570" s="46"/>
      <c r="Q570" s="46"/>
      <c r="R570" s="46"/>
      <c r="S570" s="46"/>
      <c r="T570" s="46"/>
      <c r="U570" s="46"/>
      <c r="V570" s="46"/>
      <c r="W570" s="62"/>
      <c r="X570" s="67"/>
      <c r="Y570" s="68" t="str" cm="1">
        <f t="array" ref="Y570">CalculerNouvelleDate(I570,X570)</f>
        <v/>
      </c>
      <c r="Z570" s="68" t="str" cm="1">
        <f t="array" ref="Z570">CalculerNouvelleDate(J570,Y570)</f>
        <v/>
      </c>
      <c r="AA570" s="68" t="str" cm="1">
        <f t="array" ref="AA570">CalculerNouvelleDate(K570,Z570)</f>
        <v/>
      </c>
      <c r="AB570" s="68" t="str" cm="1">
        <f t="array" ref="AB570">CalculerNouvelleDate(L570,AA570)</f>
        <v/>
      </c>
      <c r="AC570" s="68" t="str" cm="1">
        <f t="array" ref="AC570">CalculerNouvelleDate(M570,AB570)</f>
        <v/>
      </c>
      <c r="AD570" s="68" t="str" cm="1">
        <f t="array" ref="AD570">CalculerNouvelleDate(N570,AC570)</f>
        <v/>
      </c>
      <c r="AE570" s="68" t="str" cm="1">
        <f t="array" ref="AE570">CalculerNouvelleDate(O570,AD570)</f>
        <v/>
      </c>
      <c r="AF570" s="68" t="str" cm="1">
        <f t="array" ref="AF570">CalculerNouvelleDate(P570,AE570)</f>
        <v/>
      </c>
      <c r="AG570" s="68" t="str" cm="1">
        <f t="array" ref="AG570">CalculerNouvelleDate(Q570,AF570)</f>
        <v/>
      </c>
      <c r="AH570" s="68" t="str" cm="1">
        <f t="array" ref="AH570">CalculerNouvelleDate(R570,AG570)</f>
        <v/>
      </c>
      <c r="AI570" s="68" t="str" cm="1">
        <f t="array" ref="AI570">CalculerNouvelleDate(S570,AH570)</f>
        <v/>
      </c>
      <c r="AJ570" s="68" t="str" cm="1">
        <f t="array" ref="AJ570">CalculerNouvelleDate(T570,AI570)</f>
        <v/>
      </c>
      <c r="AK570" s="68" t="str" cm="1">
        <f t="array" ref="AK570">CalculerNouvelleDate(U570,AJ570)</f>
        <v/>
      </c>
      <c r="AL570" s="68" t="str" cm="1">
        <f t="array" ref="AL570">CalculerNouvelleDate(V570,AK570)</f>
        <v/>
      </c>
      <c r="AM570" s="83" t="str" cm="1">
        <f t="array" ref="AM570">CorrespondanceDAte(X570:AL570,D571)</f>
        <v>0</v>
      </c>
      <c r="AN570" s="1"/>
      <c r="AO570" s="1"/>
      <c r="AP570" s="1"/>
      <c r="AQ570" s="1"/>
      <c r="AR570" s="1"/>
      <c r="AS570" s="1"/>
      <c r="AT570" s="1"/>
      <c r="AU570" s="1"/>
      <c r="AV570" s="1"/>
      <c r="AW570" s="1"/>
      <c r="AX570" s="1"/>
      <c r="AY570" s="1"/>
      <c r="AZ570" s="1"/>
      <c r="BA570" s="1"/>
    </row>
    <row r="571" spans="1:53" x14ac:dyDescent="0.3">
      <c r="A571" s="1"/>
      <c r="B571" s="11"/>
      <c r="C571" s="1" t="s">
        <v>803</v>
      </c>
      <c r="D571" s="1"/>
      <c r="E571" s="1"/>
      <c r="F571" s="1"/>
      <c r="G571" s="1"/>
      <c r="H571" s="43"/>
      <c r="I571" s="46"/>
      <c r="J571" s="46"/>
      <c r="K571" s="46"/>
      <c r="L571" s="46"/>
      <c r="M571" s="46"/>
      <c r="N571" s="46"/>
      <c r="O571" s="46"/>
      <c r="P571" s="46"/>
      <c r="Q571" s="46"/>
      <c r="R571" s="46"/>
      <c r="S571" s="46"/>
      <c r="T571" s="46"/>
      <c r="U571" s="46"/>
      <c r="V571" s="46"/>
      <c r="W571" s="62"/>
      <c r="X571" s="67"/>
      <c r="Y571" s="68" t="str" cm="1">
        <f t="array" ref="Y571">CalculerNouvelleDate(I571,X571)</f>
        <v/>
      </c>
      <c r="Z571" s="68" t="str" cm="1">
        <f t="array" ref="Z571">CalculerNouvelleDate(J571,Y571)</f>
        <v/>
      </c>
      <c r="AA571" s="68" t="str" cm="1">
        <f t="array" ref="AA571">CalculerNouvelleDate(K571,Z571)</f>
        <v/>
      </c>
      <c r="AB571" s="68" t="str" cm="1">
        <f t="array" ref="AB571">CalculerNouvelleDate(L571,AA571)</f>
        <v/>
      </c>
      <c r="AC571" s="68" t="str" cm="1">
        <f t="array" ref="AC571">CalculerNouvelleDate(M571,AB571)</f>
        <v/>
      </c>
      <c r="AD571" s="68" t="str" cm="1">
        <f t="array" ref="AD571">CalculerNouvelleDate(N571,AC571)</f>
        <v/>
      </c>
      <c r="AE571" s="68" t="str" cm="1">
        <f t="array" ref="AE571">CalculerNouvelleDate(O571,AD571)</f>
        <v/>
      </c>
      <c r="AF571" s="68" t="str" cm="1">
        <f t="array" ref="AF571">CalculerNouvelleDate(P571,AE571)</f>
        <v/>
      </c>
      <c r="AG571" s="68" t="str" cm="1">
        <f t="array" ref="AG571">CalculerNouvelleDate(Q571,AF571)</f>
        <v/>
      </c>
      <c r="AH571" s="68" t="str" cm="1">
        <f t="array" ref="AH571">CalculerNouvelleDate(R571,AG571)</f>
        <v/>
      </c>
      <c r="AI571" s="68" t="str" cm="1">
        <f t="array" ref="AI571">CalculerNouvelleDate(S571,AH571)</f>
        <v/>
      </c>
      <c r="AJ571" s="68" t="str" cm="1">
        <f t="array" ref="AJ571">CalculerNouvelleDate(T571,AI571)</f>
        <v/>
      </c>
      <c r="AK571" s="68" t="str" cm="1">
        <f t="array" ref="AK571">CalculerNouvelleDate(U571,AJ571)</f>
        <v/>
      </c>
      <c r="AL571" s="68" t="str" cm="1">
        <f t="array" ref="AL571">CalculerNouvelleDate(V571,AK571)</f>
        <v/>
      </c>
      <c r="AM571" s="83" t="str" cm="1">
        <f t="array" ref="AM571">CorrespondanceDAte(X571:AL571,D572)</f>
        <v>0</v>
      </c>
      <c r="AN571" s="1"/>
      <c r="AO571" s="1"/>
      <c r="AP571" s="1"/>
      <c r="AQ571" s="1"/>
      <c r="AR571" s="1"/>
      <c r="AS571" s="1"/>
      <c r="AT571" s="1"/>
      <c r="AU571" s="1"/>
      <c r="AV571" s="1"/>
      <c r="AW571" s="1"/>
      <c r="AX571" s="1"/>
      <c r="AY571" s="1"/>
      <c r="AZ571" s="1"/>
      <c r="BA571" s="1"/>
    </row>
    <row r="572" spans="1:53" x14ac:dyDescent="0.3">
      <c r="A572" s="1"/>
      <c r="B572" s="11"/>
      <c r="C572" s="69" t="s">
        <v>804</v>
      </c>
      <c r="D572" s="1"/>
      <c r="E572" s="1"/>
      <c r="F572" s="1"/>
      <c r="G572" s="1"/>
      <c r="H572" s="43"/>
      <c r="I572" s="46"/>
      <c r="J572" s="46"/>
      <c r="K572" s="46"/>
      <c r="L572" s="46"/>
      <c r="M572" s="46"/>
      <c r="N572" s="46"/>
      <c r="O572" s="46"/>
      <c r="P572" s="46"/>
      <c r="Q572" s="46"/>
      <c r="R572" s="46"/>
      <c r="S572" s="46"/>
      <c r="T572" s="46"/>
      <c r="U572" s="46"/>
      <c r="V572" s="46"/>
      <c r="W572" s="62"/>
      <c r="X572" s="67"/>
      <c r="Y572" s="68" t="str" cm="1">
        <f t="array" ref="Y572">CalculerNouvelleDate(I572,X572)</f>
        <v/>
      </c>
      <c r="Z572" s="68" t="str" cm="1">
        <f t="array" ref="Z572">CalculerNouvelleDate(J572,Y572)</f>
        <v/>
      </c>
      <c r="AA572" s="68" t="str" cm="1">
        <f t="array" ref="AA572">CalculerNouvelleDate(K572,Z572)</f>
        <v/>
      </c>
      <c r="AB572" s="68" t="str" cm="1">
        <f t="array" ref="AB572">CalculerNouvelleDate(L572,AA572)</f>
        <v/>
      </c>
      <c r="AC572" s="68" t="str" cm="1">
        <f t="array" ref="AC572">CalculerNouvelleDate(M572,AB572)</f>
        <v/>
      </c>
      <c r="AD572" s="68" t="str" cm="1">
        <f t="array" ref="AD572">CalculerNouvelleDate(N572,AC572)</f>
        <v/>
      </c>
      <c r="AE572" s="68" t="str" cm="1">
        <f t="array" ref="AE572">CalculerNouvelleDate(O572,AD572)</f>
        <v/>
      </c>
      <c r="AF572" s="68" t="str" cm="1">
        <f t="array" ref="AF572">CalculerNouvelleDate(P572,AE572)</f>
        <v/>
      </c>
      <c r="AG572" s="68" t="str" cm="1">
        <f t="array" ref="AG572">CalculerNouvelleDate(Q572,AF572)</f>
        <v/>
      </c>
      <c r="AH572" s="68" t="str" cm="1">
        <f t="array" ref="AH572">CalculerNouvelleDate(R572,AG572)</f>
        <v/>
      </c>
      <c r="AI572" s="68" t="str" cm="1">
        <f t="array" ref="AI572">CalculerNouvelleDate(S572,AH572)</f>
        <v/>
      </c>
      <c r="AJ572" s="68" t="str" cm="1">
        <f t="array" ref="AJ572">CalculerNouvelleDate(T572,AI572)</f>
        <v/>
      </c>
      <c r="AK572" s="68" t="str" cm="1">
        <f t="array" ref="AK572">CalculerNouvelleDate(U572,AJ572)</f>
        <v/>
      </c>
      <c r="AL572" s="68" t="str" cm="1">
        <f t="array" ref="AL572">CalculerNouvelleDate(V572,AK572)</f>
        <v/>
      </c>
      <c r="AM572" s="83" t="str" cm="1">
        <f t="array" ref="AM572">CorrespondanceDAte(X572:AL572,D573)</f>
        <v>0</v>
      </c>
      <c r="AN572" s="1"/>
      <c r="AO572" s="1"/>
      <c r="AP572" s="1"/>
      <c r="AQ572" s="1"/>
      <c r="AR572" s="1"/>
      <c r="AS572" s="1"/>
      <c r="AT572" s="1"/>
      <c r="AU572" s="1"/>
      <c r="AV572" s="1"/>
      <c r="AW572" s="1"/>
      <c r="AX572" s="1"/>
      <c r="AY572" s="1"/>
      <c r="AZ572" s="1"/>
      <c r="BA572" s="1"/>
    </row>
    <row r="573" spans="1:53" x14ac:dyDescent="0.3">
      <c r="A573" s="1"/>
      <c r="B573" s="11"/>
      <c r="C573" s="69" t="s">
        <v>805</v>
      </c>
      <c r="D573" s="1"/>
      <c r="E573" s="1"/>
      <c r="F573" s="1"/>
      <c r="G573" s="1"/>
      <c r="H573" s="43"/>
      <c r="I573" s="46"/>
      <c r="J573" s="46"/>
      <c r="K573" s="46"/>
      <c r="L573" s="46"/>
      <c r="M573" s="46"/>
      <c r="N573" s="46"/>
      <c r="O573" s="46"/>
      <c r="P573" s="46"/>
      <c r="Q573" s="46"/>
      <c r="R573" s="46"/>
      <c r="S573" s="46"/>
      <c r="T573" s="46"/>
      <c r="U573" s="46"/>
      <c r="V573" s="46"/>
      <c r="W573" s="62"/>
      <c r="X573" s="67"/>
      <c r="Y573" s="68" t="str" cm="1">
        <f t="array" ref="Y573">CalculerNouvelleDate(I573,X573)</f>
        <v/>
      </c>
      <c r="Z573" s="68" t="str" cm="1">
        <f t="array" ref="Z573">CalculerNouvelleDate(J573,Y573)</f>
        <v/>
      </c>
      <c r="AA573" s="68" t="str" cm="1">
        <f t="array" ref="AA573">CalculerNouvelleDate(K573,Z573)</f>
        <v/>
      </c>
      <c r="AB573" s="68" t="str" cm="1">
        <f t="array" ref="AB573">CalculerNouvelleDate(L573,AA573)</f>
        <v/>
      </c>
      <c r="AC573" s="68" t="str" cm="1">
        <f t="array" ref="AC573">CalculerNouvelleDate(M573,AB573)</f>
        <v/>
      </c>
      <c r="AD573" s="68" t="str" cm="1">
        <f t="array" ref="AD573">CalculerNouvelleDate(N573,AC573)</f>
        <v/>
      </c>
      <c r="AE573" s="68" t="str" cm="1">
        <f t="array" ref="AE573">CalculerNouvelleDate(O573,AD573)</f>
        <v/>
      </c>
      <c r="AF573" s="68" t="str" cm="1">
        <f t="array" ref="AF573">CalculerNouvelleDate(P573,AE573)</f>
        <v/>
      </c>
      <c r="AG573" s="68" t="str" cm="1">
        <f t="array" ref="AG573">CalculerNouvelleDate(Q573,AF573)</f>
        <v/>
      </c>
      <c r="AH573" s="68" t="str" cm="1">
        <f t="array" ref="AH573">CalculerNouvelleDate(R573,AG573)</f>
        <v/>
      </c>
      <c r="AI573" s="68" t="str" cm="1">
        <f t="array" ref="AI573">CalculerNouvelleDate(S573,AH573)</f>
        <v/>
      </c>
      <c r="AJ573" s="68" t="str" cm="1">
        <f t="array" ref="AJ573">CalculerNouvelleDate(T573,AI573)</f>
        <v/>
      </c>
      <c r="AK573" s="68" t="str" cm="1">
        <f t="array" ref="AK573">CalculerNouvelleDate(U573,AJ573)</f>
        <v/>
      </c>
      <c r="AL573" s="68" t="str" cm="1">
        <f t="array" ref="AL573">CalculerNouvelleDate(V573,AK573)</f>
        <v/>
      </c>
      <c r="AM573" s="83" t="str" cm="1">
        <f t="array" ref="AM573">CorrespondanceDAte(X573:AL573,D574)</f>
        <v>0</v>
      </c>
      <c r="AN573" s="1"/>
      <c r="AO573" s="1"/>
      <c r="AP573" s="1"/>
      <c r="AQ573" s="1"/>
      <c r="AR573" s="1"/>
      <c r="AS573" s="1"/>
      <c r="AT573" s="1"/>
      <c r="AU573" s="1"/>
      <c r="AV573" s="1"/>
      <c r="AW573" s="1"/>
      <c r="AX573" s="1"/>
      <c r="AY573" s="1"/>
      <c r="AZ573" s="1"/>
      <c r="BA573" s="1"/>
    </row>
    <row r="574" spans="1:53" x14ac:dyDescent="0.3">
      <c r="A574" s="1"/>
      <c r="B574" s="11"/>
      <c r="C574" s="69" t="s">
        <v>806</v>
      </c>
      <c r="D574" s="1"/>
      <c r="E574" s="1"/>
      <c r="F574" s="1"/>
      <c r="G574" s="1"/>
      <c r="H574" s="43"/>
      <c r="I574" s="46"/>
      <c r="J574" s="46"/>
      <c r="K574" s="46"/>
      <c r="L574" s="46"/>
      <c r="M574" s="46"/>
      <c r="N574" s="46"/>
      <c r="O574" s="46"/>
      <c r="P574" s="46"/>
      <c r="Q574" s="46"/>
      <c r="R574" s="46"/>
      <c r="S574" s="46"/>
      <c r="T574" s="46"/>
      <c r="U574" s="46"/>
      <c r="V574" s="46"/>
      <c r="W574" s="62"/>
      <c r="X574" s="67"/>
      <c r="Y574" s="68" t="str" cm="1">
        <f t="array" ref="Y574">CalculerNouvelleDate(I574,X574)</f>
        <v/>
      </c>
      <c r="Z574" s="68" t="str" cm="1">
        <f t="array" ref="Z574">CalculerNouvelleDate(J574,Y574)</f>
        <v/>
      </c>
      <c r="AA574" s="68" t="str" cm="1">
        <f t="array" ref="AA574">CalculerNouvelleDate(K574,Z574)</f>
        <v/>
      </c>
      <c r="AB574" s="68" t="str" cm="1">
        <f t="array" ref="AB574">CalculerNouvelleDate(L574,AA574)</f>
        <v/>
      </c>
      <c r="AC574" s="68" t="str" cm="1">
        <f t="array" ref="AC574">CalculerNouvelleDate(M574,AB574)</f>
        <v/>
      </c>
      <c r="AD574" s="68" t="str" cm="1">
        <f t="array" ref="AD574">CalculerNouvelleDate(N574,AC574)</f>
        <v/>
      </c>
      <c r="AE574" s="68" t="str" cm="1">
        <f t="array" ref="AE574">CalculerNouvelleDate(O574,AD574)</f>
        <v/>
      </c>
      <c r="AF574" s="68" t="str" cm="1">
        <f t="array" ref="AF574">CalculerNouvelleDate(P574,AE574)</f>
        <v/>
      </c>
      <c r="AG574" s="68" t="str" cm="1">
        <f t="array" ref="AG574">CalculerNouvelleDate(Q574,AF574)</f>
        <v/>
      </c>
      <c r="AH574" s="68" t="str" cm="1">
        <f t="array" ref="AH574">CalculerNouvelleDate(R574,AG574)</f>
        <v/>
      </c>
      <c r="AI574" s="68" t="str" cm="1">
        <f t="array" ref="AI574">CalculerNouvelleDate(S574,AH574)</f>
        <v/>
      </c>
      <c r="AJ574" s="68" t="str" cm="1">
        <f t="array" ref="AJ574">CalculerNouvelleDate(T574,AI574)</f>
        <v/>
      </c>
      <c r="AK574" s="68" t="str" cm="1">
        <f t="array" ref="AK574">CalculerNouvelleDate(U574,AJ574)</f>
        <v/>
      </c>
      <c r="AL574" s="68" t="str" cm="1">
        <f t="array" ref="AL574">CalculerNouvelleDate(V574,AK574)</f>
        <v/>
      </c>
      <c r="AM574" s="83" t="str" cm="1">
        <f t="array" ref="AM574">CorrespondanceDAte(X574:AL574,D575)</f>
        <v>0</v>
      </c>
      <c r="AN574" s="1"/>
      <c r="AO574" s="1"/>
      <c r="AP574" s="1"/>
      <c r="AQ574" s="1"/>
      <c r="AR574" s="1"/>
      <c r="AS574" s="1"/>
      <c r="AT574" s="1"/>
      <c r="AU574" s="1"/>
      <c r="AV574" s="1"/>
      <c r="AW574" s="1"/>
      <c r="AX574" s="1"/>
      <c r="AY574" s="1"/>
      <c r="AZ574" s="1"/>
      <c r="BA574" s="1"/>
    </row>
    <row r="575" spans="1:53" x14ac:dyDescent="0.3">
      <c r="A575" s="1"/>
      <c r="B575" s="11"/>
      <c r="C575" s="1" t="s">
        <v>807</v>
      </c>
      <c r="D575" s="1"/>
      <c r="E575" s="1"/>
      <c r="F575" s="1"/>
      <c r="G575" s="1"/>
      <c r="H575" s="43"/>
      <c r="I575" s="46"/>
      <c r="J575" s="46"/>
      <c r="K575" s="46"/>
      <c r="L575" s="46"/>
      <c r="M575" s="46"/>
      <c r="N575" s="46"/>
      <c r="O575" s="46"/>
      <c r="P575" s="46"/>
      <c r="Q575" s="46"/>
      <c r="R575" s="46"/>
      <c r="S575" s="46"/>
      <c r="T575" s="46"/>
      <c r="U575" s="46"/>
      <c r="V575" s="46"/>
      <c r="W575" s="62"/>
      <c r="X575" s="67"/>
      <c r="Y575" s="68" t="str" cm="1">
        <f t="array" ref="Y575">CalculerNouvelleDate(I575,X575)</f>
        <v/>
      </c>
      <c r="Z575" s="68" t="str" cm="1">
        <f t="array" ref="Z575">CalculerNouvelleDate(J575,Y575)</f>
        <v/>
      </c>
      <c r="AA575" s="68" t="str" cm="1">
        <f t="array" ref="AA575">CalculerNouvelleDate(K575,Z575)</f>
        <v/>
      </c>
      <c r="AB575" s="68" t="str" cm="1">
        <f t="array" ref="AB575">CalculerNouvelleDate(L575,AA575)</f>
        <v/>
      </c>
      <c r="AC575" s="68" t="str" cm="1">
        <f t="array" ref="AC575">CalculerNouvelleDate(M575,AB575)</f>
        <v/>
      </c>
      <c r="AD575" s="68" t="str" cm="1">
        <f t="array" ref="AD575">CalculerNouvelleDate(N575,AC575)</f>
        <v/>
      </c>
      <c r="AE575" s="68" t="str" cm="1">
        <f t="array" ref="AE575">CalculerNouvelleDate(O575,AD575)</f>
        <v/>
      </c>
      <c r="AF575" s="68" t="str" cm="1">
        <f t="array" ref="AF575">CalculerNouvelleDate(P575,AE575)</f>
        <v/>
      </c>
      <c r="AG575" s="68" t="str" cm="1">
        <f t="array" ref="AG575">CalculerNouvelleDate(Q575,AF575)</f>
        <v/>
      </c>
      <c r="AH575" s="68" t="str" cm="1">
        <f t="array" ref="AH575">CalculerNouvelleDate(R575,AG575)</f>
        <v/>
      </c>
      <c r="AI575" s="68" t="str" cm="1">
        <f t="array" ref="AI575">CalculerNouvelleDate(S575,AH575)</f>
        <v/>
      </c>
      <c r="AJ575" s="68" t="str" cm="1">
        <f t="array" ref="AJ575">CalculerNouvelleDate(T575,AI575)</f>
        <v/>
      </c>
      <c r="AK575" s="68" t="str" cm="1">
        <f t="array" ref="AK575">CalculerNouvelleDate(U575,AJ575)</f>
        <v/>
      </c>
      <c r="AL575" s="68" t="str" cm="1">
        <f t="array" ref="AL575">CalculerNouvelleDate(V575,AK575)</f>
        <v/>
      </c>
      <c r="AM575" s="83" t="str" cm="1">
        <f t="array" ref="AM575">CorrespondanceDAte(X575:AL575,D576)</f>
        <v>0</v>
      </c>
      <c r="AN575" s="1"/>
      <c r="AO575" s="1"/>
      <c r="AP575" s="1"/>
      <c r="AQ575" s="1"/>
      <c r="AR575" s="1"/>
      <c r="AS575" s="1"/>
      <c r="AT575" s="1"/>
      <c r="AU575" s="1"/>
      <c r="AV575" s="1"/>
      <c r="AW575" s="1"/>
      <c r="AX575" s="1"/>
      <c r="AY575" s="1"/>
      <c r="AZ575" s="1"/>
      <c r="BA575" s="1"/>
    </row>
    <row r="576" spans="1:53" x14ac:dyDescent="0.3">
      <c r="A576" s="1"/>
      <c r="B576" s="11"/>
      <c r="C576" s="69" t="s">
        <v>808</v>
      </c>
      <c r="D576" s="1"/>
      <c r="E576" s="1"/>
      <c r="F576" s="1"/>
      <c r="G576" s="1"/>
      <c r="H576" s="43"/>
      <c r="I576" s="46"/>
      <c r="J576" s="46"/>
      <c r="K576" s="46"/>
      <c r="L576" s="46"/>
      <c r="M576" s="46"/>
      <c r="N576" s="46"/>
      <c r="O576" s="46"/>
      <c r="P576" s="46"/>
      <c r="Q576" s="46"/>
      <c r="R576" s="46"/>
      <c r="S576" s="46"/>
      <c r="T576" s="46"/>
      <c r="U576" s="46"/>
      <c r="V576" s="46"/>
      <c r="W576" s="62"/>
      <c r="X576" s="67"/>
      <c r="Y576" s="68" t="str" cm="1">
        <f t="array" ref="Y576">CalculerNouvelleDate(I576,X576)</f>
        <v/>
      </c>
      <c r="Z576" s="68" t="str" cm="1">
        <f t="array" ref="Z576">CalculerNouvelleDate(J576,Y576)</f>
        <v/>
      </c>
      <c r="AA576" s="68" t="str" cm="1">
        <f t="array" ref="AA576">CalculerNouvelleDate(K576,Z576)</f>
        <v/>
      </c>
      <c r="AB576" s="68" t="str" cm="1">
        <f t="array" ref="AB576">CalculerNouvelleDate(L576,AA576)</f>
        <v/>
      </c>
      <c r="AC576" s="68" t="str" cm="1">
        <f t="array" ref="AC576">CalculerNouvelleDate(M576,AB576)</f>
        <v/>
      </c>
      <c r="AD576" s="68" t="str" cm="1">
        <f t="array" ref="AD576">CalculerNouvelleDate(N576,AC576)</f>
        <v/>
      </c>
      <c r="AE576" s="68" t="str" cm="1">
        <f t="array" ref="AE576">CalculerNouvelleDate(O576,AD576)</f>
        <v/>
      </c>
      <c r="AF576" s="68" t="str" cm="1">
        <f t="array" ref="AF576">CalculerNouvelleDate(P576,AE576)</f>
        <v/>
      </c>
      <c r="AG576" s="68" t="str" cm="1">
        <f t="array" ref="AG576">CalculerNouvelleDate(Q576,AF576)</f>
        <v/>
      </c>
      <c r="AH576" s="68" t="str" cm="1">
        <f t="array" ref="AH576">CalculerNouvelleDate(R576,AG576)</f>
        <v/>
      </c>
      <c r="AI576" s="68" t="str" cm="1">
        <f t="array" ref="AI576">CalculerNouvelleDate(S576,AH576)</f>
        <v/>
      </c>
      <c r="AJ576" s="68" t="str" cm="1">
        <f t="array" ref="AJ576">CalculerNouvelleDate(T576,AI576)</f>
        <v/>
      </c>
      <c r="AK576" s="68" t="str" cm="1">
        <f t="array" ref="AK576">CalculerNouvelleDate(U576,AJ576)</f>
        <v/>
      </c>
      <c r="AL576" s="68" t="str" cm="1">
        <f t="array" ref="AL576">CalculerNouvelleDate(V576,AK576)</f>
        <v/>
      </c>
      <c r="AM576" s="83" t="str" cm="1">
        <f t="array" ref="AM576">CorrespondanceDAte(X576:AL576,D577)</f>
        <v>0</v>
      </c>
      <c r="AN576" s="1"/>
      <c r="AO576" s="1"/>
      <c r="AP576" s="1"/>
      <c r="AQ576" s="1"/>
      <c r="AR576" s="1"/>
      <c r="AS576" s="1"/>
      <c r="AT576" s="1"/>
      <c r="AU576" s="1"/>
      <c r="AV576" s="1"/>
      <c r="AW576" s="1"/>
      <c r="AX576" s="1"/>
      <c r="AY576" s="1"/>
      <c r="AZ576" s="1"/>
      <c r="BA576" s="1"/>
    </row>
    <row r="577" spans="1:53" x14ac:dyDescent="0.3">
      <c r="A577" s="1"/>
      <c r="B577" s="11"/>
      <c r="C577" s="69" t="s">
        <v>809</v>
      </c>
      <c r="D577" s="1"/>
      <c r="E577" s="1"/>
      <c r="F577" s="1"/>
      <c r="G577" s="1"/>
      <c r="H577" s="43"/>
      <c r="I577" s="46"/>
      <c r="J577" s="46"/>
      <c r="K577" s="46"/>
      <c r="L577" s="46"/>
      <c r="M577" s="46"/>
      <c r="N577" s="46"/>
      <c r="O577" s="46"/>
      <c r="P577" s="46"/>
      <c r="Q577" s="46"/>
      <c r="R577" s="46"/>
      <c r="S577" s="46"/>
      <c r="T577" s="46"/>
      <c r="U577" s="46"/>
      <c r="V577" s="46"/>
      <c r="W577" s="62"/>
      <c r="X577" s="67"/>
      <c r="Y577" s="68" t="str" cm="1">
        <f t="array" ref="Y577">CalculerNouvelleDate(I577,X577)</f>
        <v/>
      </c>
      <c r="Z577" s="68" t="str" cm="1">
        <f t="array" ref="Z577">CalculerNouvelleDate(J577,Y577)</f>
        <v/>
      </c>
      <c r="AA577" s="68" t="str" cm="1">
        <f t="array" ref="AA577">CalculerNouvelleDate(K577,Z577)</f>
        <v/>
      </c>
      <c r="AB577" s="68" t="str" cm="1">
        <f t="array" ref="AB577">CalculerNouvelleDate(L577,AA577)</f>
        <v/>
      </c>
      <c r="AC577" s="68" t="str" cm="1">
        <f t="array" ref="AC577">CalculerNouvelleDate(M577,AB577)</f>
        <v/>
      </c>
      <c r="AD577" s="68" t="str" cm="1">
        <f t="array" ref="AD577">CalculerNouvelleDate(N577,AC577)</f>
        <v/>
      </c>
      <c r="AE577" s="68" t="str" cm="1">
        <f t="array" ref="AE577">CalculerNouvelleDate(O577,AD577)</f>
        <v/>
      </c>
      <c r="AF577" s="68" t="str" cm="1">
        <f t="array" ref="AF577">CalculerNouvelleDate(P577,AE577)</f>
        <v/>
      </c>
      <c r="AG577" s="68" t="str" cm="1">
        <f t="array" ref="AG577">CalculerNouvelleDate(Q577,AF577)</f>
        <v/>
      </c>
      <c r="AH577" s="68" t="str" cm="1">
        <f t="array" ref="AH577">CalculerNouvelleDate(R577,AG577)</f>
        <v/>
      </c>
      <c r="AI577" s="68" t="str" cm="1">
        <f t="array" ref="AI577">CalculerNouvelleDate(S577,AH577)</f>
        <v/>
      </c>
      <c r="AJ577" s="68" t="str" cm="1">
        <f t="array" ref="AJ577">CalculerNouvelleDate(T577,AI577)</f>
        <v/>
      </c>
      <c r="AK577" s="68" t="str" cm="1">
        <f t="array" ref="AK577">CalculerNouvelleDate(U577,AJ577)</f>
        <v/>
      </c>
      <c r="AL577" s="68" t="str" cm="1">
        <f t="array" ref="AL577">CalculerNouvelleDate(V577,AK577)</f>
        <v/>
      </c>
      <c r="AM577" s="83" t="str" cm="1">
        <f t="array" ref="AM577">CorrespondanceDAte(X577:AL577,D578)</f>
        <v>0</v>
      </c>
      <c r="AN577" s="1"/>
      <c r="AO577" s="1"/>
      <c r="AP577" s="1"/>
      <c r="AQ577" s="1"/>
      <c r="AR577" s="1"/>
      <c r="AS577" s="1"/>
      <c r="AT577" s="1"/>
      <c r="AU577" s="1"/>
      <c r="AV577" s="1"/>
      <c r="AW577" s="1"/>
      <c r="AX577" s="1"/>
      <c r="AY577" s="1"/>
      <c r="AZ577" s="1"/>
      <c r="BA577" s="1"/>
    </row>
    <row r="578" spans="1:53" x14ac:dyDescent="0.3">
      <c r="A578" s="1"/>
      <c r="B578" s="11"/>
      <c r="C578" s="69" t="s">
        <v>810</v>
      </c>
      <c r="D578" s="1"/>
      <c r="E578" s="1"/>
      <c r="F578" s="1"/>
      <c r="G578" s="1"/>
      <c r="H578" s="43"/>
      <c r="I578" s="46"/>
      <c r="J578" s="46"/>
      <c r="K578" s="46"/>
      <c r="L578" s="46"/>
      <c r="M578" s="46"/>
      <c r="N578" s="46"/>
      <c r="O578" s="46"/>
      <c r="P578" s="46"/>
      <c r="Q578" s="46"/>
      <c r="R578" s="46"/>
      <c r="S578" s="46"/>
      <c r="T578" s="46"/>
      <c r="U578" s="46"/>
      <c r="V578" s="46"/>
      <c r="W578" s="62"/>
      <c r="X578" s="67"/>
      <c r="Y578" s="68" t="str" cm="1">
        <f t="array" ref="Y578">CalculerNouvelleDate(I578,X578)</f>
        <v/>
      </c>
      <c r="Z578" s="68" t="str" cm="1">
        <f t="array" ref="Z578">CalculerNouvelleDate(J578,Y578)</f>
        <v/>
      </c>
      <c r="AA578" s="68" t="str" cm="1">
        <f t="array" ref="AA578">CalculerNouvelleDate(K578,Z578)</f>
        <v/>
      </c>
      <c r="AB578" s="68" t="str" cm="1">
        <f t="array" ref="AB578">CalculerNouvelleDate(L578,AA578)</f>
        <v/>
      </c>
      <c r="AC578" s="68" t="str" cm="1">
        <f t="array" ref="AC578">CalculerNouvelleDate(M578,AB578)</f>
        <v/>
      </c>
      <c r="AD578" s="68" t="str" cm="1">
        <f t="array" ref="AD578">CalculerNouvelleDate(N578,AC578)</f>
        <v/>
      </c>
      <c r="AE578" s="68" t="str" cm="1">
        <f t="array" ref="AE578">CalculerNouvelleDate(O578,AD578)</f>
        <v/>
      </c>
      <c r="AF578" s="68" t="str" cm="1">
        <f t="array" ref="AF578">CalculerNouvelleDate(P578,AE578)</f>
        <v/>
      </c>
      <c r="AG578" s="68" t="str" cm="1">
        <f t="array" ref="AG578">CalculerNouvelleDate(Q578,AF578)</f>
        <v/>
      </c>
      <c r="AH578" s="68" t="str" cm="1">
        <f t="array" ref="AH578">CalculerNouvelleDate(R578,AG578)</f>
        <v/>
      </c>
      <c r="AI578" s="68" t="str" cm="1">
        <f t="array" ref="AI578">CalculerNouvelleDate(S578,AH578)</f>
        <v/>
      </c>
      <c r="AJ578" s="68" t="str" cm="1">
        <f t="array" ref="AJ578">CalculerNouvelleDate(T578,AI578)</f>
        <v/>
      </c>
      <c r="AK578" s="68" t="str" cm="1">
        <f t="array" ref="AK578">CalculerNouvelleDate(U578,AJ578)</f>
        <v/>
      </c>
      <c r="AL578" s="68" t="str" cm="1">
        <f t="array" ref="AL578">CalculerNouvelleDate(V578,AK578)</f>
        <v/>
      </c>
      <c r="AM578" s="83" t="str" cm="1">
        <f t="array" ref="AM578">CorrespondanceDAte(X578:AL578,D579)</f>
        <v>0</v>
      </c>
      <c r="AN578" s="1"/>
      <c r="AO578" s="1"/>
      <c r="AP578" s="1"/>
      <c r="AQ578" s="1"/>
      <c r="AR578" s="1"/>
      <c r="AS578" s="1"/>
      <c r="AT578" s="1"/>
      <c r="AU578" s="1"/>
      <c r="AV578" s="1"/>
      <c r="AW578" s="1"/>
      <c r="AX578" s="1"/>
      <c r="AY578" s="1"/>
      <c r="AZ578" s="1"/>
      <c r="BA578" s="1"/>
    </row>
    <row r="579" spans="1:53" x14ac:dyDescent="0.3">
      <c r="A579" s="1"/>
      <c r="B579" s="11"/>
      <c r="C579" s="1" t="s">
        <v>811</v>
      </c>
      <c r="D579" s="1"/>
      <c r="E579" s="1"/>
      <c r="F579" s="1"/>
      <c r="G579" s="1"/>
      <c r="H579" s="43"/>
      <c r="I579" s="46"/>
      <c r="J579" s="46"/>
      <c r="K579" s="46"/>
      <c r="L579" s="46"/>
      <c r="M579" s="46"/>
      <c r="N579" s="46"/>
      <c r="O579" s="46"/>
      <c r="P579" s="46"/>
      <c r="Q579" s="46"/>
      <c r="R579" s="46"/>
      <c r="S579" s="46"/>
      <c r="T579" s="46"/>
      <c r="U579" s="46"/>
      <c r="V579" s="46"/>
      <c r="W579" s="62"/>
      <c r="X579" s="67"/>
      <c r="Y579" s="68" t="str" cm="1">
        <f t="array" ref="Y579">CalculerNouvelleDate(I579,X579)</f>
        <v/>
      </c>
      <c r="Z579" s="68" t="str" cm="1">
        <f t="array" ref="Z579">CalculerNouvelleDate(J579,Y579)</f>
        <v/>
      </c>
      <c r="AA579" s="68" t="str" cm="1">
        <f t="array" ref="AA579">CalculerNouvelleDate(K579,Z579)</f>
        <v/>
      </c>
      <c r="AB579" s="68" t="str" cm="1">
        <f t="array" ref="AB579">CalculerNouvelleDate(L579,AA579)</f>
        <v/>
      </c>
      <c r="AC579" s="68" t="str" cm="1">
        <f t="array" ref="AC579">CalculerNouvelleDate(M579,AB579)</f>
        <v/>
      </c>
      <c r="AD579" s="68" t="str" cm="1">
        <f t="array" ref="AD579">CalculerNouvelleDate(N579,AC579)</f>
        <v/>
      </c>
      <c r="AE579" s="68" t="str" cm="1">
        <f t="array" ref="AE579">CalculerNouvelleDate(O579,AD579)</f>
        <v/>
      </c>
      <c r="AF579" s="68" t="str" cm="1">
        <f t="array" ref="AF579">CalculerNouvelleDate(P579,AE579)</f>
        <v/>
      </c>
      <c r="AG579" s="68" t="str" cm="1">
        <f t="array" ref="AG579">CalculerNouvelleDate(Q579,AF579)</f>
        <v/>
      </c>
      <c r="AH579" s="68" t="str" cm="1">
        <f t="array" ref="AH579">CalculerNouvelleDate(R579,AG579)</f>
        <v/>
      </c>
      <c r="AI579" s="68" t="str" cm="1">
        <f t="array" ref="AI579">CalculerNouvelleDate(S579,AH579)</f>
        <v/>
      </c>
      <c r="AJ579" s="68" t="str" cm="1">
        <f t="array" ref="AJ579">CalculerNouvelleDate(T579,AI579)</f>
        <v/>
      </c>
      <c r="AK579" s="68" t="str" cm="1">
        <f t="array" ref="AK579">CalculerNouvelleDate(U579,AJ579)</f>
        <v/>
      </c>
      <c r="AL579" s="68" t="str" cm="1">
        <f t="array" ref="AL579">CalculerNouvelleDate(V579,AK579)</f>
        <v/>
      </c>
      <c r="AM579" s="83" t="str" cm="1">
        <f t="array" ref="AM579">CorrespondanceDAte(X579:AL579,D580)</f>
        <v>0</v>
      </c>
      <c r="AN579" s="1"/>
      <c r="AO579" s="1"/>
      <c r="AP579" s="1"/>
      <c r="AQ579" s="1"/>
      <c r="AR579" s="1"/>
      <c r="AS579" s="1"/>
      <c r="AT579" s="1"/>
      <c r="AU579" s="1"/>
      <c r="AV579" s="1"/>
      <c r="AW579" s="1"/>
      <c r="AX579" s="1"/>
      <c r="AY579" s="1"/>
      <c r="AZ579" s="1"/>
      <c r="BA579" s="1"/>
    </row>
    <row r="580" spans="1:53" x14ac:dyDescent="0.3">
      <c r="A580" s="1"/>
      <c r="B580" s="11"/>
      <c r="C580" s="69" t="s">
        <v>812</v>
      </c>
      <c r="D580" s="1"/>
      <c r="E580" s="1"/>
      <c r="F580" s="1"/>
      <c r="G580" s="1"/>
      <c r="H580" s="43"/>
      <c r="I580" s="46"/>
      <c r="J580" s="46"/>
      <c r="K580" s="46"/>
      <c r="L580" s="46"/>
      <c r="M580" s="46"/>
      <c r="N580" s="46"/>
      <c r="O580" s="46"/>
      <c r="P580" s="46"/>
      <c r="Q580" s="46"/>
      <c r="R580" s="46"/>
      <c r="S580" s="46"/>
      <c r="T580" s="46"/>
      <c r="U580" s="46"/>
      <c r="V580" s="46"/>
      <c r="W580" s="62"/>
      <c r="X580" s="67"/>
      <c r="Y580" s="68" t="str" cm="1">
        <f t="array" ref="Y580">CalculerNouvelleDate(I580,X580)</f>
        <v/>
      </c>
      <c r="Z580" s="68" t="str" cm="1">
        <f t="array" ref="Z580">CalculerNouvelleDate(J580,Y580)</f>
        <v/>
      </c>
      <c r="AA580" s="68" t="str" cm="1">
        <f t="array" ref="AA580">CalculerNouvelleDate(K580,Z580)</f>
        <v/>
      </c>
      <c r="AB580" s="68" t="str" cm="1">
        <f t="array" ref="AB580">CalculerNouvelleDate(L580,AA580)</f>
        <v/>
      </c>
      <c r="AC580" s="68" t="str" cm="1">
        <f t="array" ref="AC580">CalculerNouvelleDate(M580,AB580)</f>
        <v/>
      </c>
      <c r="AD580" s="68" t="str" cm="1">
        <f t="array" ref="AD580">CalculerNouvelleDate(N580,AC580)</f>
        <v/>
      </c>
      <c r="AE580" s="68" t="str" cm="1">
        <f t="array" ref="AE580">CalculerNouvelleDate(O580,AD580)</f>
        <v/>
      </c>
      <c r="AF580" s="68" t="str" cm="1">
        <f t="array" ref="AF580">CalculerNouvelleDate(P580,AE580)</f>
        <v/>
      </c>
      <c r="AG580" s="68" t="str" cm="1">
        <f t="array" ref="AG580">CalculerNouvelleDate(Q580,AF580)</f>
        <v/>
      </c>
      <c r="AH580" s="68" t="str" cm="1">
        <f t="array" ref="AH580">CalculerNouvelleDate(R580,AG580)</f>
        <v/>
      </c>
      <c r="AI580" s="68" t="str" cm="1">
        <f t="array" ref="AI580">CalculerNouvelleDate(S580,AH580)</f>
        <v/>
      </c>
      <c r="AJ580" s="68" t="str" cm="1">
        <f t="array" ref="AJ580">CalculerNouvelleDate(T580,AI580)</f>
        <v/>
      </c>
      <c r="AK580" s="68" t="str" cm="1">
        <f t="array" ref="AK580">CalculerNouvelleDate(U580,AJ580)</f>
        <v/>
      </c>
      <c r="AL580" s="68" t="str" cm="1">
        <f t="array" ref="AL580">CalculerNouvelleDate(V580,AK580)</f>
        <v/>
      </c>
      <c r="AM580" s="83" t="str" cm="1">
        <f t="array" ref="AM580">CorrespondanceDAte(X580:AL580,D581)</f>
        <v>0</v>
      </c>
      <c r="AN580" s="1"/>
      <c r="AO580" s="1"/>
      <c r="AP580" s="1"/>
      <c r="AQ580" s="1"/>
      <c r="AR580" s="1"/>
      <c r="AS580" s="1"/>
      <c r="AT580" s="1"/>
      <c r="AU580" s="1"/>
      <c r="AV580" s="1"/>
      <c r="AW580" s="1"/>
      <c r="AX580" s="1"/>
      <c r="AY580" s="1"/>
      <c r="AZ580" s="1"/>
      <c r="BA580" s="1"/>
    </row>
    <row r="581" spans="1:53" x14ac:dyDescent="0.3">
      <c r="A581" s="1"/>
      <c r="B581" s="11"/>
      <c r="C581" s="69" t="s">
        <v>813</v>
      </c>
      <c r="D581" s="1"/>
      <c r="E581" s="1"/>
      <c r="F581" s="1"/>
      <c r="G581" s="1"/>
      <c r="H581" s="43"/>
      <c r="I581" s="46"/>
      <c r="J581" s="46"/>
      <c r="K581" s="46"/>
      <c r="L581" s="46"/>
      <c r="M581" s="46"/>
      <c r="N581" s="46"/>
      <c r="O581" s="46"/>
      <c r="P581" s="46"/>
      <c r="Q581" s="46"/>
      <c r="R581" s="46"/>
      <c r="S581" s="46"/>
      <c r="T581" s="46"/>
      <c r="U581" s="46"/>
      <c r="V581" s="46"/>
      <c r="W581" s="62"/>
      <c r="X581" s="67"/>
      <c r="Y581" s="68" t="str" cm="1">
        <f t="array" ref="Y581">CalculerNouvelleDate(I581,X581)</f>
        <v/>
      </c>
      <c r="Z581" s="68" t="str" cm="1">
        <f t="array" ref="Z581">CalculerNouvelleDate(J581,Y581)</f>
        <v/>
      </c>
      <c r="AA581" s="68" t="str" cm="1">
        <f t="array" ref="AA581">CalculerNouvelleDate(K581,Z581)</f>
        <v/>
      </c>
      <c r="AB581" s="68" t="str" cm="1">
        <f t="array" ref="AB581">CalculerNouvelleDate(L581,AA581)</f>
        <v/>
      </c>
      <c r="AC581" s="68" t="str" cm="1">
        <f t="array" ref="AC581">CalculerNouvelleDate(M581,AB581)</f>
        <v/>
      </c>
      <c r="AD581" s="68" t="str" cm="1">
        <f t="array" ref="AD581">CalculerNouvelleDate(N581,AC581)</f>
        <v/>
      </c>
      <c r="AE581" s="68" t="str" cm="1">
        <f t="array" ref="AE581">CalculerNouvelleDate(O581,AD581)</f>
        <v/>
      </c>
      <c r="AF581" s="68" t="str" cm="1">
        <f t="array" ref="AF581">CalculerNouvelleDate(P581,AE581)</f>
        <v/>
      </c>
      <c r="AG581" s="68" t="str" cm="1">
        <f t="array" ref="AG581">CalculerNouvelleDate(Q581,AF581)</f>
        <v/>
      </c>
      <c r="AH581" s="68" t="str" cm="1">
        <f t="array" ref="AH581">CalculerNouvelleDate(R581,AG581)</f>
        <v/>
      </c>
      <c r="AI581" s="68" t="str" cm="1">
        <f t="array" ref="AI581">CalculerNouvelleDate(S581,AH581)</f>
        <v/>
      </c>
      <c r="AJ581" s="68" t="str" cm="1">
        <f t="array" ref="AJ581">CalculerNouvelleDate(T581,AI581)</f>
        <v/>
      </c>
      <c r="AK581" s="68" t="str" cm="1">
        <f t="array" ref="AK581">CalculerNouvelleDate(U581,AJ581)</f>
        <v/>
      </c>
      <c r="AL581" s="68" t="str" cm="1">
        <f t="array" ref="AL581">CalculerNouvelleDate(V581,AK581)</f>
        <v/>
      </c>
      <c r="AM581" s="83" t="str" cm="1">
        <f t="array" ref="AM581">CorrespondanceDAte(X581:AL581,D582)</f>
        <v>0</v>
      </c>
      <c r="AN581" s="1"/>
      <c r="AO581" s="1"/>
      <c r="AP581" s="1"/>
      <c r="AQ581" s="1"/>
      <c r="AR581" s="1"/>
      <c r="AS581" s="1"/>
      <c r="AT581" s="1"/>
      <c r="AU581" s="1"/>
      <c r="AV581" s="1"/>
      <c r="AW581" s="1"/>
      <c r="AX581" s="1"/>
      <c r="AY581" s="1"/>
      <c r="AZ581" s="1"/>
      <c r="BA581" s="1"/>
    </row>
    <row r="582" spans="1:53" x14ac:dyDescent="0.3">
      <c r="A582" s="1"/>
      <c r="B582" s="11"/>
      <c r="C582" s="69" t="s">
        <v>814</v>
      </c>
      <c r="D582" s="1"/>
      <c r="E582" s="1"/>
      <c r="F582" s="1"/>
      <c r="G582" s="1"/>
      <c r="H582" s="43"/>
      <c r="I582" s="46"/>
      <c r="J582" s="46"/>
      <c r="K582" s="46"/>
      <c r="L582" s="46"/>
      <c r="M582" s="46"/>
      <c r="N582" s="46"/>
      <c r="O582" s="46"/>
      <c r="P582" s="46"/>
      <c r="Q582" s="46"/>
      <c r="R582" s="46"/>
      <c r="S582" s="46"/>
      <c r="T582" s="46"/>
      <c r="U582" s="46"/>
      <c r="V582" s="46"/>
      <c r="W582" s="62"/>
      <c r="X582" s="67"/>
      <c r="Y582" s="68" t="str" cm="1">
        <f t="array" ref="Y582">CalculerNouvelleDate(I582,X582)</f>
        <v/>
      </c>
      <c r="Z582" s="68" t="str" cm="1">
        <f t="array" ref="Z582">CalculerNouvelleDate(J582,Y582)</f>
        <v/>
      </c>
      <c r="AA582" s="68" t="str" cm="1">
        <f t="array" ref="AA582">CalculerNouvelleDate(K582,Z582)</f>
        <v/>
      </c>
      <c r="AB582" s="68" t="str" cm="1">
        <f t="array" ref="AB582">CalculerNouvelleDate(L582,AA582)</f>
        <v/>
      </c>
      <c r="AC582" s="68" t="str" cm="1">
        <f t="array" ref="AC582">CalculerNouvelleDate(M582,AB582)</f>
        <v/>
      </c>
      <c r="AD582" s="68" t="str" cm="1">
        <f t="array" ref="AD582">CalculerNouvelleDate(N582,AC582)</f>
        <v/>
      </c>
      <c r="AE582" s="68" t="str" cm="1">
        <f t="array" ref="AE582">CalculerNouvelleDate(O582,AD582)</f>
        <v/>
      </c>
      <c r="AF582" s="68" t="str" cm="1">
        <f t="array" ref="AF582">CalculerNouvelleDate(P582,AE582)</f>
        <v/>
      </c>
      <c r="AG582" s="68" t="str" cm="1">
        <f t="array" ref="AG582">CalculerNouvelleDate(Q582,AF582)</f>
        <v/>
      </c>
      <c r="AH582" s="68" t="str" cm="1">
        <f t="array" ref="AH582">CalculerNouvelleDate(R582,AG582)</f>
        <v/>
      </c>
      <c r="AI582" s="68" t="str" cm="1">
        <f t="array" ref="AI582">CalculerNouvelleDate(S582,AH582)</f>
        <v/>
      </c>
      <c r="AJ582" s="68" t="str" cm="1">
        <f t="array" ref="AJ582">CalculerNouvelleDate(T582,AI582)</f>
        <v/>
      </c>
      <c r="AK582" s="68" t="str" cm="1">
        <f t="array" ref="AK582">CalculerNouvelleDate(U582,AJ582)</f>
        <v/>
      </c>
      <c r="AL582" s="68" t="str" cm="1">
        <f t="array" ref="AL582">CalculerNouvelleDate(V582,AK582)</f>
        <v/>
      </c>
      <c r="AM582" s="83" t="str" cm="1">
        <f t="array" ref="AM582">CorrespondanceDAte(X582:AL582,D583)</f>
        <v>0</v>
      </c>
      <c r="AN582" s="1"/>
      <c r="AO582" s="1"/>
      <c r="AP582" s="1"/>
      <c r="AQ582" s="1"/>
      <c r="AR582" s="1"/>
      <c r="AS582" s="1"/>
      <c r="AT582" s="1"/>
      <c r="AU582" s="1"/>
      <c r="AV582" s="1"/>
      <c r="AW582" s="1"/>
      <c r="AX582" s="1"/>
      <c r="AY582" s="1"/>
      <c r="AZ582" s="1"/>
      <c r="BA582" s="1"/>
    </row>
    <row r="583" spans="1:53" x14ac:dyDescent="0.3">
      <c r="A583" s="1"/>
      <c r="B583" s="11"/>
      <c r="C583" s="1" t="s">
        <v>815</v>
      </c>
      <c r="D583" s="1"/>
      <c r="E583" s="1"/>
      <c r="F583" s="1"/>
      <c r="G583" s="1"/>
      <c r="H583" s="43"/>
      <c r="I583" s="46"/>
      <c r="J583" s="46"/>
      <c r="K583" s="46"/>
      <c r="L583" s="46"/>
      <c r="M583" s="46"/>
      <c r="N583" s="46"/>
      <c r="O583" s="46"/>
      <c r="P583" s="46"/>
      <c r="Q583" s="46"/>
      <c r="R583" s="46"/>
      <c r="S583" s="46"/>
      <c r="T583" s="46"/>
      <c r="U583" s="46"/>
      <c r="V583" s="46"/>
      <c r="W583" s="62"/>
      <c r="X583" s="67"/>
      <c r="Y583" s="68" t="str" cm="1">
        <f t="array" ref="Y583">CalculerNouvelleDate(I583,X583)</f>
        <v/>
      </c>
      <c r="Z583" s="68" t="str" cm="1">
        <f t="array" ref="Z583">CalculerNouvelleDate(J583,Y583)</f>
        <v/>
      </c>
      <c r="AA583" s="68" t="str" cm="1">
        <f t="array" ref="AA583">CalculerNouvelleDate(K583,Z583)</f>
        <v/>
      </c>
      <c r="AB583" s="68" t="str" cm="1">
        <f t="array" ref="AB583">CalculerNouvelleDate(L583,AA583)</f>
        <v/>
      </c>
      <c r="AC583" s="68" t="str" cm="1">
        <f t="array" ref="AC583">CalculerNouvelleDate(M583,AB583)</f>
        <v/>
      </c>
      <c r="AD583" s="68" t="str" cm="1">
        <f t="array" ref="AD583">CalculerNouvelleDate(N583,AC583)</f>
        <v/>
      </c>
      <c r="AE583" s="68" t="str" cm="1">
        <f t="array" ref="AE583">CalculerNouvelleDate(O583,AD583)</f>
        <v/>
      </c>
      <c r="AF583" s="68" t="str" cm="1">
        <f t="array" ref="AF583">CalculerNouvelleDate(P583,AE583)</f>
        <v/>
      </c>
      <c r="AG583" s="68" t="str" cm="1">
        <f t="array" ref="AG583">CalculerNouvelleDate(Q583,AF583)</f>
        <v/>
      </c>
      <c r="AH583" s="68" t="str" cm="1">
        <f t="array" ref="AH583">CalculerNouvelleDate(R583,AG583)</f>
        <v/>
      </c>
      <c r="AI583" s="68" t="str" cm="1">
        <f t="array" ref="AI583">CalculerNouvelleDate(S583,AH583)</f>
        <v/>
      </c>
      <c r="AJ583" s="68" t="str" cm="1">
        <f t="array" ref="AJ583">CalculerNouvelleDate(T583,AI583)</f>
        <v/>
      </c>
      <c r="AK583" s="68" t="str" cm="1">
        <f t="array" ref="AK583">CalculerNouvelleDate(U583,AJ583)</f>
        <v/>
      </c>
      <c r="AL583" s="68" t="str" cm="1">
        <f t="array" ref="AL583">CalculerNouvelleDate(V583,AK583)</f>
        <v/>
      </c>
      <c r="AM583" s="83" t="str" cm="1">
        <f t="array" ref="AM583">CorrespondanceDAte(X583:AL583,D584)</f>
        <v>0</v>
      </c>
      <c r="AN583" s="1"/>
      <c r="AO583" s="1"/>
      <c r="AP583" s="1"/>
      <c r="AQ583" s="1"/>
      <c r="AR583" s="1"/>
      <c r="AS583" s="1"/>
      <c r="AT583" s="1"/>
      <c r="AU583" s="1"/>
      <c r="AV583" s="1"/>
      <c r="AW583" s="1"/>
      <c r="AX583" s="1"/>
      <c r="AY583" s="1"/>
      <c r="AZ583" s="1"/>
      <c r="BA583" s="1"/>
    </row>
    <row r="584" spans="1:53" x14ac:dyDescent="0.3">
      <c r="A584" s="1"/>
      <c r="B584" s="11"/>
      <c r="C584" s="69" t="s">
        <v>816</v>
      </c>
      <c r="D584" s="1"/>
      <c r="E584" s="1"/>
      <c r="F584" s="1"/>
      <c r="G584" s="1"/>
      <c r="H584" s="43"/>
      <c r="I584" s="46"/>
      <c r="J584" s="46"/>
      <c r="K584" s="46"/>
      <c r="L584" s="46"/>
      <c r="M584" s="46"/>
      <c r="N584" s="46"/>
      <c r="O584" s="46"/>
      <c r="P584" s="46"/>
      <c r="Q584" s="46"/>
      <c r="R584" s="46"/>
      <c r="S584" s="46"/>
      <c r="T584" s="46"/>
      <c r="U584" s="46"/>
      <c r="V584" s="46"/>
      <c r="W584" s="62"/>
      <c r="X584" s="67"/>
      <c r="Y584" s="68" t="str" cm="1">
        <f t="array" ref="Y584">CalculerNouvelleDate(I584,X584)</f>
        <v/>
      </c>
      <c r="Z584" s="68" t="str" cm="1">
        <f t="array" ref="Z584">CalculerNouvelleDate(J584,Y584)</f>
        <v/>
      </c>
      <c r="AA584" s="68" t="str" cm="1">
        <f t="array" ref="AA584">CalculerNouvelleDate(K584,Z584)</f>
        <v/>
      </c>
      <c r="AB584" s="68" t="str" cm="1">
        <f t="array" ref="AB584">CalculerNouvelleDate(L584,AA584)</f>
        <v/>
      </c>
      <c r="AC584" s="68" t="str" cm="1">
        <f t="array" ref="AC584">CalculerNouvelleDate(M584,AB584)</f>
        <v/>
      </c>
      <c r="AD584" s="68" t="str" cm="1">
        <f t="array" ref="AD584">CalculerNouvelleDate(N584,AC584)</f>
        <v/>
      </c>
      <c r="AE584" s="68" t="str" cm="1">
        <f t="array" ref="AE584">CalculerNouvelleDate(O584,AD584)</f>
        <v/>
      </c>
      <c r="AF584" s="68" t="str" cm="1">
        <f t="array" ref="AF584">CalculerNouvelleDate(P584,AE584)</f>
        <v/>
      </c>
      <c r="AG584" s="68" t="str" cm="1">
        <f t="array" ref="AG584">CalculerNouvelleDate(Q584,AF584)</f>
        <v/>
      </c>
      <c r="AH584" s="68" t="str" cm="1">
        <f t="array" ref="AH584">CalculerNouvelleDate(R584,AG584)</f>
        <v/>
      </c>
      <c r="AI584" s="68" t="str" cm="1">
        <f t="array" ref="AI584">CalculerNouvelleDate(S584,AH584)</f>
        <v/>
      </c>
      <c r="AJ584" s="68" t="str" cm="1">
        <f t="array" ref="AJ584">CalculerNouvelleDate(T584,AI584)</f>
        <v/>
      </c>
      <c r="AK584" s="68" t="str" cm="1">
        <f t="array" ref="AK584">CalculerNouvelleDate(U584,AJ584)</f>
        <v/>
      </c>
      <c r="AL584" s="68" t="str" cm="1">
        <f t="array" ref="AL584">CalculerNouvelleDate(V584,AK584)</f>
        <v/>
      </c>
      <c r="AM584" s="83" t="str" cm="1">
        <f t="array" ref="AM584">CorrespondanceDAte(X584:AL584,D585)</f>
        <v>0</v>
      </c>
      <c r="AN584" s="1"/>
      <c r="AO584" s="1"/>
      <c r="AP584" s="1"/>
      <c r="AQ584" s="1"/>
      <c r="AR584" s="1"/>
      <c r="AS584" s="1"/>
      <c r="AT584" s="1"/>
      <c r="AU584" s="1"/>
      <c r="AV584" s="1"/>
      <c r="AW584" s="1"/>
      <c r="AX584" s="1"/>
      <c r="AY584" s="1"/>
      <c r="AZ584" s="1"/>
      <c r="BA584" s="1"/>
    </row>
    <row r="585" spans="1:53" x14ac:dyDescent="0.3">
      <c r="A585" s="1"/>
      <c r="B585" s="11"/>
      <c r="C585" s="69" t="s">
        <v>817</v>
      </c>
      <c r="D585" s="1"/>
      <c r="E585" s="1"/>
      <c r="F585" s="1"/>
      <c r="G585" s="1"/>
      <c r="H585" s="43"/>
      <c r="I585" s="46"/>
      <c r="J585" s="46"/>
      <c r="K585" s="46"/>
      <c r="L585" s="46"/>
      <c r="M585" s="46"/>
      <c r="N585" s="46"/>
      <c r="O585" s="46"/>
      <c r="P585" s="46"/>
      <c r="Q585" s="46"/>
      <c r="R585" s="46"/>
      <c r="S585" s="46"/>
      <c r="T585" s="46"/>
      <c r="U585" s="46"/>
      <c r="V585" s="46"/>
      <c r="W585" s="62"/>
      <c r="X585" s="67"/>
      <c r="Y585" s="68" t="str" cm="1">
        <f t="array" ref="Y585">CalculerNouvelleDate(I585,X585)</f>
        <v/>
      </c>
      <c r="Z585" s="68" t="str" cm="1">
        <f t="array" ref="Z585">CalculerNouvelleDate(J585,Y585)</f>
        <v/>
      </c>
      <c r="AA585" s="68" t="str" cm="1">
        <f t="array" ref="AA585">CalculerNouvelleDate(K585,Z585)</f>
        <v/>
      </c>
      <c r="AB585" s="68" t="str" cm="1">
        <f t="array" ref="AB585">CalculerNouvelleDate(L585,AA585)</f>
        <v/>
      </c>
      <c r="AC585" s="68" t="str" cm="1">
        <f t="array" ref="AC585">CalculerNouvelleDate(M585,AB585)</f>
        <v/>
      </c>
      <c r="AD585" s="68" t="str" cm="1">
        <f t="array" ref="AD585">CalculerNouvelleDate(N585,AC585)</f>
        <v/>
      </c>
      <c r="AE585" s="68" t="str" cm="1">
        <f t="array" ref="AE585">CalculerNouvelleDate(O585,AD585)</f>
        <v/>
      </c>
      <c r="AF585" s="68" t="str" cm="1">
        <f t="array" ref="AF585">CalculerNouvelleDate(P585,AE585)</f>
        <v/>
      </c>
      <c r="AG585" s="68" t="str" cm="1">
        <f t="array" ref="AG585">CalculerNouvelleDate(Q585,AF585)</f>
        <v/>
      </c>
      <c r="AH585" s="68" t="str" cm="1">
        <f t="array" ref="AH585">CalculerNouvelleDate(R585,AG585)</f>
        <v/>
      </c>
      <c r="AI585" s="68" t="str" cm="1">
        <f t="array" ref="AI585">CalculerNouvelleDate(S585,AH585)</f>
        <v/>
      </c>
      <c r="AJ585" s="68" t="str" cm="1">
        <f t="array" ref="AJ585">CalculerNouvelleDate(T585,AI585)</f>
        <v/>
      </c>
      <c r="AK585" s="68" t="str" cm="1">
        <f t="array" ref="AK585">CalculerNouvelleDate(U585,AJ585)</f>
        <v/>
      </c>
      <c r="AL585" s="68" t="str" cm="1">
        <f t="array" ref="AL585">CalculerNouvelleDate(V585,AK585)</f>
        <v/>
      </c>
      <c r="AM585" s="83" t="str" cm="1">
        <f t="array" ref="AM585">CorrespondanceDAte(X585:AL585,D586)</f>
        <v>0</v>
      </c>
      <c r="AN585" s="1"/>
      <c r="AO585" s="1"/>
      <c r="AP585" s="1"/>
      <c r="AQ585" s="1"/>
      <c r="AR585" s="1"/>
      <c r="AS585" s="1"/>
      <c r="AT585" s="1"/>
      <c r="AU585" s="1"/>
      <c r="AV585" s="1"/>
      <c r="AW585" s="1"/>
      <c r="AX585" s="1"/>
      <c r="AY585" s="1"/>
      <c r="AZ585" s="1"/>
      <c r="BA585" s="1"/>
    </row>
    <row r="586" spans="1:53" x14ac:dyDescent="0.3">
      <c r="A586" s="1"/>
      <c r="B586" s="11"/>
      <c r="C586" s="69" t="s">
        <v>818</v>
      </c>
      <c r="D586" s="1"/>
      <c r="E586" s="1"/>
      <c r="F586" s="1"/>
      <c r="G586" s="1"/>
      <c r="H586" s="43"/>
      <c r="I586" s="46"/>
      <c r="J586" s="46"/>
      <c r="K586" s="46"/>
      <c r="L586" s="46"/>
      <c r="M586" s="46"/>
      <c r="N586" s="46"/>
      <c r="O586" s="46"/>
      <c r="P586" s="46"/>
      <c r="Q586" s="46"/>
      <c r="R586" s="46"/>
      <c r="S586" s="46"/>
      <c r="T586" s="46"/>
      <c r="U586" s="46"/>
      <c r="V586" s="46"/>
      <c r="W586" s="62"/>
      <c r="X586" s="67"/>
      <c r="Y586" s="68" t="str" cm="1">
        <f t="array" ref="Y586">CalculerNouvelleDate(I586,X586)</f>
        <v/>
      </c>
      <c r="Z586" s="68" t="str" cm="1">
        <f t="array" ref="Z586">CalculerNouvelleDate(J586,Y586)</f>
        <v/>
      </c>
      <c r="AA586" s="68" t="str" cm="1">
        <f t="array" ref="AA586">CalculerNouvelleDate(K586,Z586)</f>
        <v/>
      </c>
      <c r="AB586" s="68" t="str" cm="1">
        <f t="array" ref="AB586">CalculerNouvelleDate(L586,AA586)</f>
        <v/>
      </c>
      <c r="AC586" s="68" t="str" cm="1">
        <f t="array" ref="AC586">CalculerNouvelleDate(M586,AB586)</f>
        <v/>
      </c>
      <c r="AD586" s="68" t="str" cm="1">
        <f t="array" ref="AD586">CalculerNouvelleDate(N586,AC586)</f>
        <v/>
      </c>
      <c r="AE586" s="68" t="str" cm="1">
        <f t="array" ref="AE586">CalculerNouvelleDate(O586,AD586)</f>
        <v/>
      </c>
      <c r="AF586" s="68" t="str" cm="1">
        <f t="array" ref="AF586">CalculerNouvelleDate(P586,AE586)</f>
        <v/>
      </c>
      <c r="AG586" s="68" t="str" cm="1">
        <f t="array" ref="AG586">CalculerNouvelleDate(Q586,AF586)</f>
        <v/>
      </c>
      <c r="AH586" s="68" t="str" cm="1">
        <f t="array" ref="AH586">CalculerNouvelleDate(R586,AG586)</f>
        <v/>
      </c>
      <c r="AI586" s="68" t="str" cm="1">
        <f t="array" ref="AI586">CalculerNouvelleDate(S586,AH586)</f>
        <v/>
      </c>
      <c r="AJ586" s="68" t="str" cm="1">
        <f t="array" ref="AJ586">CalculerNouvelleDate(T586,AI586)</f>
        <v/>
      </c>
      <c r="AK586" s="68" t="str" cm="1">
        <f t="array" ref="AK586">CalculerNouvelleDate(U586,AJ586)</f>
        <v/>
      </c>
      <c r="AL586" s="68" t="str" cm="1">
        <f t="array" ref="AL586">CalculerNouvelleDate(V586,AK586)</f>
        <v/>
      </c>
      <c r="AM586" s="83" t="str" cm="1">
        <f t="array" ref="AM586">CorrespondanceDAte(X586:AL586,D587)</f>
        <v>0</v>
      </c>
      <c r="AN586" s="1"/>
      <c r="AO586" s="1"/>
      <c r="AP586" s="1"/>
      <c r="AQ586" s="1"/>
      <c r="AR586" s="1"/>
      <c r="AS586" s="1"/>
      <c r="AT586" s="1"/>
      <c r="AU586" s="1"/>
      <c r="AV586" s="1"/>
      <c r="AW586" s="1"/>
      <c r="AX586" s="1"/>
      <c r="AY586" s="1"/>
      <c r="AZ586" s="1"/>
      <c r="BA586" s="1"/>
    </row>
    <row r="587" spans="1:53" x14ac:dyDescent="0.3">
      <c r="A587" s="1"/>
      <c r="B587" s="11">
        <v>4</v>
      </c>
      <c r="C587" s="1" t="s">
        <v>115</v>
      </c>
      <c r="D587" s="1"/>
      <c r="E587" s="1"/>
      <c r="F587" s="1"/>
      <c r="G587" s="1"/>
      <c r="H587" s="43"/>
      <c r="I587" s="46"/>
      <c r="J587" s="46"/>
      <c r="K587" s="46"/>
      <c r="L587" s="46"/>
      <c r="M587" s="46"/>
      <c r="N587" s="46"/>
      <c r="O587" s="46"/>
      <c r="P587" s="46"/>
      <c r="Q587" s="46"/>
      <c r="R587" s="46"/>
      <c r="S587" s="46"/>
      <c r="T587" s="46"/>
      <c r="U587" s="46"/>
      <c r="V587" s="46"/>
      <c r="W587" s="62"/>
      <c r="X587" s="67"/>
      <c r="Y587" s="68" t="str" cm="1">
        <f t="array" ref="Y587">CalculerNouvelleDate(I587,X587)</f>
        <v/>
      </c>
      <c r="Z587" s="68" t="str" cm="1">
        <f t="array" ref="Z587">CalculerNouvelleDate(J587,Y587)</f>
        <v/>
      </c>
      <c r="AA587" s="68" t="str" cm="1">
        <f t="array" ref="AA587">CalculerNouvelleDate(K587,Z587)</f>
        <v/>
      </c>
      <c r="AB587" s="68" t="str" cm="1">
        <f t="array" ref="AB587">CalculerNouvelleDate(L587,AA587)</f>
        <v/>
      </c>
      <c r="AC587" s="68" t="str" cm="1">
        <f t="array" ref="AC587">CalculerNouvelleDate(M587,AB587)</f>
        <v/>
      </c>
      <c r="AD587" s="68" t="str" cm="1">
        <f t="array" ref="AD587">CalculerNouvelleDate(N587,AC587)</f>
        <v/>
      </c>
      <c r="AE587" s="68" t="str" cm="1">
        <f t="array" ref="AE587">CalculerNouvelleDate(O587,AD587)</f>
        <v/>
      </c>
      <c r="AF587" s="68" t="str" cm="1">
        <f t="array" ref="AF587">CalculerNouvelleDate(P587,AE587)</f>
        <v/>
      </c>
      <c r="AG587" s="68" t="str" cm="1">
        <f t="array" ref="AG587">CalculerNouvelleDate(Q587,AF587)</f>
        <v/>
      </c>
      <c r="AH587" s="68" t="str" cm="1">
        <f t="array" ref="AH587">CalculerNouvelleDate(R587,AG587)</f>
        <v/>
      </c>
      <c r="AI587" s="68" t="str" cm="1">
        <f t="array" ref="AI587">CalculerNouvelleDate(S587,AH587)</f>
        <v/>
      </c>
      <c r="AJ587" s="68" t="str" cm="1">
        <f t="array" ref="AJ587">CalculerNouvelleDate(T587,AI587)</f>
        <v/>
      </c>
      <c r="AK587" s="68" t="str" cm="1">
        <f t="array" ref="AK587">CalculerNouvelleDate(U587,AJ587)</f>
        <v/>
      </c>
      <c r="AL587" s="68" t="str" cm="1">
        <f t="array" ref="AL587">CalculerNouvelleDate(V587,AK587)</f>
        <v/>
      </c>
      <c r="AM587" s="83" t="str" cm="1">
        <f t="array" ref="AM587">CorrespondanceDAte(X587:AL587,D588)</f>
        <v>0</v>
      </c>
      <c r="AN587" s="1"/>
      <c r="AO587" s="1"/>
      <c r="AP587" s="1"/>
      <c r="AQ587" s="1"/>
      <c r="AR587" s="1"/>
      <c r="AS587" s="1"/>
      <c r="AT587" s="1"/>
      <c r="AU587" s="1"/>
      <c r="AV587" s="1"/>
      <c r="AW587" s="1"/>
      <c r="AX587" s="1"/>
      <c r="AY587" s="1"/>
      <c r="AZ587" s="1"/>
      <c r="BA587" s="1"/>
    </row>
    <row r="588" spans="1:53" x14ac:dyDescent="0.3">
      <c r="A588" s="1"/>
      <c r="B588" s="11"/>
      <c r="C588" s="69" t="s">
        <v>556</v>
      </c>
      <c r="D588" s="1"/>
      <c r="E588" s="1"/>
      <c r="F588" s="1"/>
      <c r="G588" s="1"/>
      <c r="H588" s="43"/>
      <c r="I588" s="46"/>
      <c r="J588" s="46"/>
      <c r="K588" s="46"/>
      <c r="L588" s="46"/>
      <c r="M588" s="46"/>
      <c r="N588" s="46"/>
      <c r="O588" s="46"/>
      <c r="P588" s="46"/>
      <c r="Q588" s="46"/>
      <c r="R588" s="46"/>
      <c r="S588" s="46"/>
      <c r="T588" s="46"/>
      <c r="U588" s="46"/>
      <c r="V588" s="46"/>
      <c r="W588" s="62"/>
      <c r="X588" s="67"/>
      <c r="Y588" s="68" t="str" cm="1">
        <f t="array" ref="Y588">CalculerNouvelleDate(I588,X588)</f>
        <v/>
      </c>
      <c r="Z588" s="68" t="str" cm="1">
        <f t="array" ref="Z588">CalculerNouvelleDate(J588,Y588)</f>
        <v/>
      </c>
      <c r="AA588" s="68" t="str" cm="1">
        <f t="array" ref="AA588">CalculerNouvelleDate(K588,Z588)</f>
        <v/>
      </c>
      <c r="AB588" s="68" t="str" cm="1">
        <f t="array" ref="AB588">CalculerNouvelleDate(L588,AA588)</f>
        <v/>
      </c>
      <c r="AC588" s="68" t="str" cm="1">
        <f t="array" ref="AC588">CalculerNouvelleDate(M588,AB588)</f>
        <v/>
      </c>
      <c r="AD588" s="68" t="str" cm="1">
        <f t="array" ref="AD588">CalculerNouvelleDate(N588,AC588)</f>
        <v/>
      </c>
      <c r="AE588" s="68" t="str" cm="1">
        <f t="array" ref="AE588">CalculerNouvelleDate(O588,AD588)</f>
        <v/>
      </c>
      <c r="AF588" s="68" t="str" cm="1">
        <f t="array" ref="AF588">CalculerNouvelleDate(P588,AE588)</f>
        <v/>
      </c>
      <c r="AG588" s="68" t="str" cm="1">
        <f t="array" ref="AG588">CalculerNouvelleDate(Q588,AF588)</f>
        <v/>
      </c>
      <c r="AH588" s="68" t="str" cm="1">
        <f t="array" ref="AH588">CalculerNouvelleDate(R588,AG588)</f>
        <v/>
      </c>
      <c r="AI588" s="68" t="str" cm="1">
        <f t="array" ref="AI588">CalculerNouvelleDate(S588,AH588)</f>
        <v/>
      </c>
      <c r="AJ588" s="68" t="str" cm="1">
        <f t="array" ref="AJ588">CalculerNouvelleDate(T588,AI588)</f>
        <v/>
      </c>
      <c r="AK588" s="68" t="str" cm="1">
        <f t="array" ref="AK588">CalculerNouvelleDate(U588,AJ588)</f>
        <v/>
      </c>
      <c r="AL588" s="68" t="str" cm="1">
        <f t="array" ref="AL588">CalculerNouvelleDate(V588,AK588)</f>
        <v/>
      </c>
      <c r="AM588" s="83" t="str" cm="1">
        <f t="array" ref="AM588">CorrespondanceDAte(X588:AL588,D589)</f>
        <v>0</v>
      </c>
      <c r="AN588" s="1"/>
      <c r="AO588" s="1"/>
      <c r="AP588" s="1"/>
      <c r="AQ588" s="1"/>
      <c r="AR588" s="1"/>
      <c r="AS588" s="1"/>
      <c r="AT588" s="1"/>
      <c r="AU588" s="1"/>
      <c r="AV588" s="1"/>
      <c r="AW588" s="1"/>
      <c r="AX588" s="1"/>
      <c r="AY588" s="1"/>
      <c r="AZ588" s="1"/>
      <c r="BA588" s="1"/>
    </row>
    <row r="589" spans="1:53" x14ac:dyDescent="0.3">
      <c r="A589" s="1"/>
      <c r="B589" s="11"/>
      <c r="C589" s="69" t="s">
        <v>537</v>
      </c>
      <c r="D589" s="1"/>
      <c r="E589" s="1"/>
      <c r="F589" s="1"/>
      <c r="G589" s="1"/>
      <c r="H589" s="43"/>
      <c r="I589" s="46"/>
      <c r="J589" s="46"/>
      <c r="K589" s="46"/>
      <c r="L589" s="46"/>
      <c r="M589" s="46"/>
      <c r="N589" s="46"/>
      <c r="O589" s="46"/>
      <c r="P589" s="46"/>
      <c r="Q589" s="46"/>
      <c r="R589" s="46"/>
      <c r="S589" s="46"/>
      <c r="T589" s="46"/>
      <c r="U589" s="46"/>
      <c r="V589" s="46"/>
      <c r="W589" s="62"/>
      <c r="X589" s="67"/>
      <c r="Y589" s="68" t="str" cm="1">
        <f t="array" ref="Y589">CalculerNouvelleDate(I589,X589)</f>
        <v/>
      </c>
      <c r="Z589" s="68" t="str" cm="1">
        <f t="array" ref="Z589">CalculerNouvelleDate(J589,Y589)</f>
        <v/>
      </c>
      <c r="AA589" s="68" t="str" cm="1">
        <f t="array" ref="AA589">CalculerNouvelleDate(K589,Z589)</f>
        <v/>
      </c>
      <c r="AB589" s="68" t="str" cm="1">
        <f t="array" ref="AB589">CalculerNouvelleDate(L589,AA589)</f>
        <v/>
      </c>
      <c r="AC589" s="68" t="str" cm="1">
        <f t="array" ref="AC589">CalculerNouvelleDate(M589,AB589)</f>
        <v/>
      </c>
      <c r="AD589" s="68" t="str" cm="1">
        <f t="array" ref="AD589">CalculerNouvelleDate(N589,AC589)</f>
        <v/>
      </c>
      <c r="AE589" s="68" t="str" cm="1">
        <f t="array" ref="AE589">CalculerNouvelleDate(O589,AD589)</f>
        <v/>
      </c>
      <c r="AF589" s="68" t="str" cm="1">
        <f t="array" ref="AF589">CalculerNouvelleDate(P589,AE589)</f>
        <v/>
      </c>
      <c r="AG589" s="68" t="str" cm="1">
        <f t="array" ref="AG589">CalculerNouvelleDate(Q589,AF589)</f>
        <v/>
      </c>
      <c r="AH589" s="68" t="str" cm="1">
        <f t="array" ref="AH589">CalculerNouvelleDate(R589,AG589)</f>
        <v/>
      </c>
      <c r="AI589" s="68" t="str" cm="1">
        <f t="array" ref="AI589">CalculerNouvelleDate(S589,AH589)</f>
        <v/>
      </c>
      <c r="AJ589" s="68" t="str" cm="1">
        <f t="array" ref="AJ589">CalculerNouvelleDate(T589,AI589)</f>
        <v/>
      </c>
      <c r="AK589" s="68" t="str" cm="1">
        <f t="array" ref="AK589">CalculerNouvelleDate(U589,AJ589)</f>
        <v/>
      </c>
      <c r="AL589" s="68" t="str" cm="1">
        <f t="array" ref="AL589">CalculerNouvelleDate(V589,AK589)</f>
        <v/>
      </c>
      <c r="AM589" s="83" t="str" cm="1">
        <f t="array" ref="AM589">CorrespondanceDAte(X589:AL589,D590)</f>
        <v>0</v>
      </c>
      <c r="AN589" s="1"/>
      <c r="AO589" s="1"/>
      <c r="AP589" s="1"/>
      <c r="AQ589" s="1"/>
      <c r="AR589" s="1"/>
      <c r="AS589" s="1"/>
      <c r="AT589" s="1"/>
      <c r="AU589" s="1"/>
      <c r="AV589" s="1"/>
      <c r="AW589" s="1"/>
      <c r="AX589" s="1"/>
      <c r="AY589" s="1"/>
      <c r="AZ589" s="1"/>
      <c r="BA589" s="1"/>
    </row>
    <row r="590" spans="1:53" x14ac:dyDescent="0.3">
      <c r="A590" s="1"/>
      <c r="B590" s="11"/>
      <c r="C590" s="69" t="s">
        <v>557</v>
      </c>
      <c r="D590" s="1"/>
      <c r="E590" s="1"/>
      <c r="F590" s="1"/>
      <c r="G590" s="1"/>
      <c r="H590" s="43"/>
      <c r="I590" s="46"/>
      <c r="J590" s="46"/>
      <c r="K590" s="46"/>
      <c r="L590" s="46"/>
      <c r="M590" s="46"/>
      <c r="N590" s="46"/>
      <c r="O590" s="46"/>
      <c r="P590" s="46"/>
      <c r="Q590" s="46"/>
      <c r="R590" s="46"/>
      <c r="S590" s="46"/>
      <c r="T590" s="46"/>
      <c r="U590" s="46"/>
      <c r="V590" s="46"/>
      <c r="W590" s="62"/>
      <c r="X590" s="67"/>
      <c r="Y590" s="68" t="str" cm="1">
        <f t="array" ref="Y590">CalculerNouvelleDate(I590,X590)</f>
        <v/>
      </c>
      <c r="Z590" s="68" t="str" cm="1">
        <f t="array" ref="Z590">CalculerNouvelleDate(J590,Y590)</f>
        <v/>
      </c>
      <c r="AA590" s="68" t="str" cm="1">
        <f t="array" ref="AA590">CalculerNouvelleDate(K590,Z590)</f>
        <v/>
      </c>
      <c r="AB590" s="68" t="str" cm="1">
        <f t="array" ref="AB590">CalculerNouvelleDate(L590,AA590)</f>
        <v/>
      </c>
      <c r="AC590" s="68" t="str" cm="1">
        <f t="array" ref="AC590">CalculerNouvelleDate(M590,AB590)</f>
        <v/>
      </c>
      <c r="AD590" s="68" t="str" cm="1">
        <f t="array" ref="AD590">CalculerNouvelleDate(N590,AC590)</f>
        <v/>
      </c>
      <c r="AE590" s="68" t="str" cm="1">
        <f t="array" ref="AE590">CalculerNouvelleDate(O590,AD590)</f>
        <v/>
      </c>
      <c r="AF590" s="68" t="str" cm="1">
        <f t="array" ref="AF590">CalculerNouvelleDate(P590,AE590)</f>
        <v/>
      </c>
      <c r="AG590" s="68" t="str" cm="1">
        <f t="array" ref="AG590">CalculerNouvelleDate(Q590,AF590)</f>
        <v/>
      </c>
      <c r="AH590" s="68" t="str" cm="1">
        <f t="array" ref="AH590">CalculerNouvelleDate(R590,AG590)</f>
        <v/>
      </c>
      <c r="AI590" s="68" t="str" cm="1">
        <f t="array" ref="AI590">CalculerNouvelleDate(S590,AH590)</f>
        <v/>
      </c>
      <c r="AJ590" s="68" t="str" cm="1">
        <f t="array" ref="AJ590">CalculerNouvelleDate(T590,AI590)</f>
        <v/>
      </c>
      <c r="AK590" s="68" t="str" cm="1">
        <f t="array" ref="AK590">CalculerNouvelleDate(U590,AJ590)</f>
        <v/>
      </c>
      <c r="AL590" s="68" t="str" cm="1">
        <f t="array" ref="AL590">CalculerNouvelleDate(V590,AK590)</f>
        <v/>
      </c>
      <c r="AM590" s="83" t="str" cm="1">
        <f t="array" ref="AM590">CorrespondanceDAte(X590:AL590,D591)</f>
        <v>0</v>
      </c>
      <c r="AN590" s="1"/>
      <c r="AO590" s="1"/>
      <c r="AP590" s="1"/>
      <c r="AQ590" s="1"/>
      <c r="AR590" s="1"/>
      <c r="AS590" s="1"/>
      <c r="AT590" s="1"/>
      <c r="AU590" s="1"/>
      <c r="AV590" s="1"/>
      <c r="AW590" s="1"/>
      <c r="AX590" s="1"/>
      <c r="AY590" s="1"/>
      <c r="AZ590" s="1"/>
      <c r="BA590" s="1"/>
    </row>
    <row r="591" spans="1:53" x14ac:dyDescent="0.3">
      <c r="A591" s="1"/>
      <c r="B591" s="11"/>
      <c r="C591" s="1" t="s">
        <v>608</v>
      </c>
      <c r="D591" s="1"/>
      <c r="E591" s="1"/>
      <c r="F591" s="1"/>
      <c r="G591" s="1"/>
      <c r="H591" s="43"/>
      <c r="I591" s="46"/>
      <c r="J591" s="46"/>
      <c r="K591" s="46"/>
      <c r="L591" s="46"/>
      <c r="M591" s="46"/>
      <c r="N591" s="46"/>
      <c r="O591" s="46"/>
      <c r="P591" s="46"/>
      <c r="Q591" s="46"/>
      <c r="R591" s="46"/>
      <c r="S591" s="46"/>
      <c r="T591" s="46"/>
      <c r="U591" s="46"/>
      <c r="V591" s="46"/>
      <c r="W591" s="62"/>
      <c r="X591" s="67"/>
      <c r="Y591" s="68" t="str" cm="1">
        <f t="array" ref="Y591">CalculerNouvelleDate(I591,X591)</f>
        <v/>
      </c>
      <c r="Z591" s="68" t="str" cm="1">
        <f t="array" ref="Z591">CalculerNouvelleDate(J591,Y591)</f>
        <v/>
      </c>
      <c r="AA591" s="68" t="str" cm="1">
        <f t="array" ref="AA591">CalculerNouvelleDate(K591,Z591)</f>
        <v/>
      </c>
      <c r="AB591" s="68" t="str" cm="1">
        <f t="array" ref="AB591">CalculerNouvelleDate(L591,AA591)</f>
        <v/>
      </c>
      <c r="AC591" s="68" t="str" cm="1">
        <f t="array" ref="AC591">CalculerNouvelleDate(M591,AB591)</f>
        <v/>
      </c>
      <c r="AD591" s="68" t="str" cm="1">
        <f t="array" ref="AD591">CalculerNouvelleDate(N591,AC591)</f>
        <v/>
      </c>
      <c r="AE591" s="68" t="str" cm="1">
        <f t="array" ref="AE591">CalculerNouvelleDate(O591,AD591)</f>
        <v/>
      </c>
      <c r="AF591" s="68" t="str" cm="1">
        <f t="array" ref="AF591">CalculerNouvelleDate(P591,AE591)</f>
        <v/>
      </c>
      <c r="AG591" s="68" t="str" cm="1">
        <f t="array" ref="AG591">CalculerNouvelleDate(Q591,AF591)</f>
        <v/>
      </c>
      <c r="AH591" s="68" t="str" cm="1">
        <f t="array" ref="AH591">CalculerNouvelleDate(R591,AG591)</f>
        <v/>
      </c>
      <c r="AI591" s="68" t="str" cm="1">
        <f t="array" ref="AI591">CalculerNouvelleDate(S591,AH591)</f>
        <v/>
      </c>
      <c r="AJ591" s="68" t="str" cm="1">
        <f t="array" ref="AJ591">CalculerNouvelleDate(T591,AI591)</f>
        <v/>
      </c>
      <c r="AK591" s="68" t="str" cm="1">
        <f t="array" ref="AK591">CalculerNouvelleDate(U591,AJ591)</f>
        <v/>
      </c>
      <c r="AL591" s="68" t="str" cm="1">
        <f t="array" ref="AL591">CalculerNouvelleDate(V591,AK591)</f>
        <v/>
      </c>
      <c r="AM591" s="83" t="str" cm="1">
        <f t="array" ref="AM591">CorrespondanceDAte(X591:AL591,D592)</f>
        <v>0</v>
      </c>
      <c r="AN591" s="1"/>
      <c r="AO591" s="1"/>
      <c r="AP591" s="1"/>
      <c r="AQ591" s="1"/>
      <c r="AR591" s="1"/>
      <c r="AS591" s="1"/>
      <c r="AT591" s="1"/>
      <c r="AU591" s="1"/>
      <c r="AV591" s="1"/>
      <c r="AW591" s="1"/>
      <c r="AX591" s="1"/>
      <c r="AY591" s="1"/>
      <c r="AZ591" s="1"/>
      <c r="BA591" s="1"/>
    </row>
    <row r="592" spans="1:53" x14ac:dyDescent="0.3">
      <c r="A592" s="1"/>
      <c r="B592" s="11">
        <v>5</v>
      </c>
      <c r="C592" s="1" t="s">
        <v>114</v>
      </c>
      <c r="D592" s="1"/>
      <c r="E592" s="1"/>
      <c r="F592" s="1"/>
      <c r="G592" s="1"/>
      <c r="H592" s="43"/>
      <c r="I592" s="1"/>
      <c r="J592" s="1"/>
      <c r="K592" s="1"/>
      <c r="L592" s="1"/>
      <c r="M592" s="1"/>
      <c r="N592" s="1"/>
      <c r="O592" s="1"/>
      <c r="P592" s="1"/>
      <c r="Q592" s="1"/>
      <c r="R592" s="1"/>
      <c r="S592" s="1"/>
      <c r="T592" s="1"/>
      <c r="U592" s="1"/>
      <c r="V592" s="1"/>
      <c r="W592" s="11"/>
      <c r="X592" s="67"/>
      <c r="Y592" s="68" t="str" cm="1">
        <f t="array" ref="Y592">CalculerNouvelleDate(I592,X592)</f>
        <v/>
      </c>
      <c r="Z592" s="68" t="str" cm="1">
        <f t="array" ref="Z592">CalculerNouvelleDate(J592,Y592)</f>
        <v/>
      </c>
      <c r="AA592" s="68" t="str" cm="1">
        <f t="array" ref="AA592">CalculerNouvelleDate(K592,Z592)</f>
        <v/>
      </c>
      <c r="AB592" s="68" t="str" cm="1">
        <f t="array" ref="AB592">CalculerNouvelleDate(L592,AA592)</f>
        <v/>
      </c>
      <c r="AC592" s="68" t="str" cm="1">
        <f t="array" ref="AC592">CalculerNouvelleDate(M592,AB592)</f>
        <v/>
      </c>
      <c r="AD592" s="68" t="str" cm="1">
        <f t="array" ref="AD592">CalculerNouvelleDate(N592,AC592)</f>
        <v/>
      </c>
      <c r="AE592" s="68" t="str" cm="1">
        <f t="array" ref="AE592">CalculerNouvelleDate(O592,AD592)</f>
        <v/>
      </c>
      <c r="AF592" s="68" t="str" cm="1">
        <f t="array" ref="AF592">CalculerNouvelleDate(P592,AE592)</f>
        <v/>
      </c>
      <c r="AG592" s="68" t="str" cm="1">
        <f t="array" ref="AG592">CalculerNouvelleDate(Q592,AF592)</f>
        <v/>
      </c>
      <c r="AH592" s="68" t="str" cm="1">
        <f t="array" ref="AH592">CalculerNouvelleDate(R592,AG592)</f>
        <v/>
      </c>
      <c r="AI592" s="68" t="str" cm="1">
        <f t="array" ref="AI592">CalculerNouvelleDate(S592,AH592)</f>
        <v/>
      </c>
      <c r="AJ592" s="68" t="str" cm="1">
        <f t="array" ref="AJ592">CalculerNouvelleDate(T592,AI592)</f>
        <v/>
      </c>
      <c r="AK592" s="68" t="str" cm="1">
        <f t="array" ref="AK592">CalculerNouvelleDate(U592,AJ592)</f>
        <v/>
      </c>
      <c r="AL592" s="68" t="str" cm="1">
        <f t="array" ref="AL592">CalculerNouvelleDate(V592,AK592)</f>
        <v/>
      </c>
      <c r="AM592" s="83" t="str" cm="1">
        <f t="array" ref="AM592">CorrespondanceDAte(X592:AL592,D593)</f>
        <v>0</v>
      </c>
      <c r="AN592" s="1"/>
      <c r="AO592" s="1"/>
      <c r="AP592" s="1"/>
      <c r="AQ592" s="1"/>
      <c r="AR592" s="1"/>
      <c r="AS592" s="1"/>
      <c r="AT592" s="1"/>
      <c r="AU592" s="1"/>
      <c r="AV592" s="1"/>
      <c r="AW592" s="1"/>
      <c r="AX592" s="1"/>
      <c r="AY592" s="1"/>
      <c r="AZ592" s="1"/>
      <c r="BA592" s="1"/>
    </row>
    <row r="593" spans="1:53" x14ac:dyDescent="0.3">
      <c r="A593" s="1"/>
      <c r="B593" s="11"/>
      <c r="C593" s="1" t="s">
        <v>560</v>
      </c>
      <c r="D593" s="1"/>
      <c r="E593" s="1"/>
      <c r="F593" s="1"/>
      <c r="G593" s="1"/>
      <c r="H593" s="43"/>
      <c r="I593" s="46"/>
      <c r="J593" s="46"/>
      <c r="K593" s="46"/>
      <c r="L593" s="46"/>
      <c r="M593" s="46"/>
      <c r="N593" s="46"/>
      <c r="O593" s="46"/>
      <c r="P593" s="46"/>
      <c r="Q593" s="46"/>
      <c r="R593" s="46"/>
      <c r="S593" s="46"/>
      <c r="T593" s="46"/>
      <c r="U593" s="46"/>
      <c r="V593" s="46"/>
      <c r="W593" s="62"/>
      <c r="X593" s="67"/>
      <c r="Y593" s="68" t="str" cm="1">
        <f t="array" ref="Y593">CalculerNouvelleDate(I593,X593)</f>
        <v/>
      </c>
      <c r="Z593" s="68" t="str" cm="1">
        <f t="array" ref="Z593">CalculerNouvelleDate(J593,Y593)</f>
        <v/>
      </c>
      <c r="AA593" s="68" t="str" cm="1">
        <f t="array" ref="AA593">CalculerNouvelleDate(K593,Z593)</f>
        <v/>
      </c>
      <c r="AB593" s="68" t="str" cm="1">
        <f t="array" ref="AB593">CalculerNouvelleDate(L593,AA593)</f>
        <v/>
      </c>
      <c r="AC593" s="68" t="str" cm="1">
        <f t="array" ref="AC593">CalculerNouvelleDate(M593,AB593)</f>
        <v/>
      </c>
      <c r="AD593" s="68" t="str" cm="1">
        <f t="array" ref="AD593">CalculerNouvelleDate(N593,AC593)</f>
        <v/>
      </c>
      <c r="AE593" s="68" t="str" cm="1">
        <f t="array" ref="AE593">CalculerNouvelleDate(O593,AD593)</f>
        <v/>
      </c>
      <c r="AF593" s="68" t="str" cm="1">
        <f t="array" ref="AF593">CalculerNouvelleDate(P593,AE593)</f>
        <v/>
      </c>
      <c r="AG593" s="68" t="str" cm="1">
        <f t="array" ref="AG593">CalculerNouvelleDate(Q593,AF593)</f>
        <v/>
      </c>
      <c r="AH593" s="68" t="str" cm="1">
        <f t="array" ref="AH593">CalculerNouvelleDate(R593,AG593)</f>
        <v/>
      </c>
      <c r="AI593" s="68" t="str" cm="1">
        <f t="array" ref="AI593">CalculerNouvelleDate(S593,AH593)</f>
        <v/>
      </c>
      <c r="AJ593" s="68" t="str" cm="1">
        <f t="array" ref="AJ593">CalculerNouvelleDate(T593,AI593)</f>
        <v/>
      </c>
      <c r="AK593" s="68" t="str" cm="1">
        <f t="array" ref="AK593">CalculerNouvelleDate(U593,AJ593)</f>
        <v/>
      </c>
      <c r="AL593" s="68" t="str" cm="1">
        <f t="array" ref="AL593">CalculerNouvelleDate(V593,AK593)</f>
        <v/>
      </c>
      <c r="AM593" s="83" t="str" cm="1">
        <f t="array" ref="AM593">CorrespondanceDAte(X593:AL593,D594)</f>
        <v>0</v>
      </c>
      <c r="AN593" s="1"/>
      <c r="AO593" s="1"/>
      <c r="AP593" s="1"/>
      <c r="AQ593" s="1"/>
      <c r="AR593" s="1"/>
      <c r="AS593" s="1"/>
      <c r="AT593" s="1"/>
      <c r="AU593" s="1"/>
      <c r="AV593" s="1"/>
      <c r="AW593" s="1"/>
      <c r="AX593" s="1"/>
      <c r="AY593" s="1"/>
      <c r="AZ593" s="1"/>
      <c r="BA593" s="1"/>
    </row>
    <row r="594" spans="1:53" x14ac:dyDescent="0.3">
      <c r="A594" s="1"/>
      <c r="B594" s="11"/>
      <c r="C594" s="1" t="s">
        <v>561</v>
      </c>
      <c r="D594" s="1"/>
      <c r="E594" s="1"/>
      <c r="F594" s="1"/>
      <c r="G594" s="1"/>
      <c r="H594" s="43"/>
      <c r="I594" s="1"/>
      <c r="J594" s="1"/>
      <c r="K594" s="1"/>
      <c r="L594" s="1"/>
      <c r="M594" s="1"/>
      <c r="N594" s="1"/>
      <c r="O594" s="1"/>
      <c r="P594" s="1"/>
      <c r="Q594" s="1"/>
      <c r="R594" s="1"/>
      <c r="S594" s="1"/>
      <c r="T594" s="1"/>
      <c r="U594" s="1"/>
      <c r="V594" s="1"/>
      <c r="W594" s="11"/>
      <c r="X594" s="67"/>
      <c r="Y594" s="68" t="str" cm="1">
        <f t="array" ref="Y594">CalculerNouvelleDate(I594,X594)</f>
        <v/>
      </c>
      <c r="Z594" s="68" t="str" cm="1">
        <f t="array" ref="Z594">CalculerNouvelleDate(J594,Y594)</f>
        <v/>
      </c>
      <c r="AA594" s="68" t="str" cm="1">
        <f t="array" ref="AA594">CalculerNouvelleDate(K594,Z594)</f>
        <v/>
      </c>
      <c r="AB594" s="68" t="str" cm="1">
        <f t="array" ref="AB594">CalculerNouvelleDate(L594,AA594)</f>
        <v/>
      </c>
      <c r="AC594" s="68" t="str" cm="1">
        <f t="array" ref="AC594">CalculerNouvelleDate(M594,AB594)</f>
        <v/>
      </c>
      <c r="AD594" s="68" t="str" cm="1">
        <f t="array" ref="AD594">CalculerNouvelleDate(N594,AC594)</f>
        <v/>
      </c>
      <c r="AE594" s="68" t="str" cm="1">
        <f t="array" ref="AE594">CalculerNouvelleDate(O594,AD594)</f>
        <v/>
      </c>
      <c r="AF594" s="68" t="str" cm="1">
        <f t="array" ref="AF594">CalculerNouvelleDate(P594,AE594)</f>
        <v/>
      </c>
      <c r="AG594" s="68" t="str" cm="1">
        <f t="array" ref="AG594">CalculerNouvelleDate(Q594,AF594)</f>
        <v/>
      </c>
      <c r="AH594" s="68" t="str" cm="1">
        <f t="array" ref="AH594">CalculerNouvelleDate(R594,AG594)</f>
        <v/>
      </c>
      <c r="AI594" s="68" t="str" cm="1">
        <f t="array" ref="AI594">CalculerNouvelleDate(S594,AH594)</f>
        <v/>
      </c>
      <c r="AJ594" s="68" t="str" cm="1">
        <f t="array" ref="AJ594">CalculerNouvelleDate(T594,AI594)</f>
        <v/>
      </c>
      <c r="AK594" s="68" t="str" cm="1">
        <f t="array" ref="AK594">CalculerNouvelleDate(U594,AJ594)</f>
        <v/>
      </c>
      <c r="AL594" s="68" t="str" cm="1">
        <f t="array" ref="AL594">CalculerNouvelleDate(V594,AK594)</f>
        <v/>
      </c>
      <c r="AM594" s="83" t="str" cm="1">
        <f t="array" ref="AM594">CorrespondanceDAte(X594:AL594,D595)</f>
        <v>0</v>
      </c>
      <c r="AN594" s="1"/>
      <c r="AO594" s="1"/>
      <c r="AP594" s="1"/>
      <c r="AQ594" s="1"/>
      <c r="AR594" s="1"/>
      <c r="AS594" s="1"/>
      <c r="AT594" s="1"/>
      <c r="AU594" s="1"/>
      <c r="AV594" s="1"/>
      <c r="AW594" s="1"/>
      <c r="AX594" s="1"/>
      <c r="AY594" s="1"/>
      <c r="AZ594" s="1"/>
      <c r="BA594" s="1"/>
    </row>
    <row r="595" spans="1:53" x14ac:dyDescent="0.3">
      <c r="A595" s="1"/>
      <c r="B595" s="11"/>
      <c r="C595" s="1" t="s">
        <v>562</v>
      </c>
      <c r="D595" s="1"/>
      <c r="E595" s="1"/>
      <c r="F595" s="1"/>
      <c r="G595" s="1"/>
      <c r="H595" s="43"/>
      <c r="I595" s="1"/>
      <c r="J595" s="1"/>
      <c r="K595" s="1"/>
      <c r="L595" s="1"/>
      <c r="M595" s="1"/>
      <c r="N595" s="1"/>
      <c r="O595" s="1"/>
      <c r="P595" s="1"/>
      <c r="Q595" s="1"/>
      <c r="R595" s="1"/>
      <c r="S595" s="1"/>
      <c r="T595" s="1"/>
      <c r="U595" s="1"/>
      <c r="V595" s="1"/>
      <c r="W595" s="11"/>
      <c r="X595" s="67"/>
      <c r="Y595" s="68" t="str" cm="1">
        <f t="array" ref="Y595">CalculerNouvelleDate(I595,X595)</f>
        <v/>
      </c>
      <c r="Z595" s="68" t="str" cm="1">
        <f t="array" ref="Z595">CalculerNouvelleDate(J595,Y595)</f>
        <v/>
      </c>
      <c r="AA595" s="68" t="str" cm="1">
        <f t="array" ref="AA595">CalculerNouvelleDate(K595,Z595)</f>
        <v/>
      </c>
      <c r="AB595" s="68" t="str" cm="1">
        <f t="array" ref="AB595">CalculerNouvelleDate(L595,AA595)</f>
        <v/>
      </c>
      <c r="AC595" s="68" t="str" cm="1">
        <f t="array" ref="AC595">CalculerNouvelleDate(M595,AB595)</f>
        <v/>
      </c>
      <c r="AD595" s="68" t="str" cm="1">
        <f t="array" ref="AD595">CalculerNouvelleDate(N595,AC595)</f>
        <v/>
      </c>
      <c r="AE595" s="68" t="str" cm="1">
        <f t="array" ref="AE595">CalculerNouvelleDate(O595,AD595)</f>
        <v/>
      </c>
      <c r="AF595" s="68" t="str" cm="1">
        <f t="array" ref="AF595">CalculerNouvelleDate(P595,AE595)</f>
        <v/>
      </c>
      <c r="AG595" s="68" t="str" cm="1">
        <f t="array" ref="AG595">CalculerNouvelleDate(Q595,AF595)</f>
        <v/>
      </c>
      <c r="AH595" s="68" t="str" cm="1">
        <f t="array" ref="AH595">CalculerNouvelleDate(R595,AG595)</f>
        <v/>
      </c>
      <c r="AI595" s="68" t="str" cm="1">
        <f t="array" ref="AI595">CalculerNouvelleDate(S595,AH595)</f>
        <v/>
      </c>
      <c r="AJ595" s="68" t="str" cm="1">
        <f t="array" ref="AJ595">CalculerNouvelleDate(T595,AI595)</f>
        <v/>
      </c>
      <c r="AK595" s="68" t="str" cm="1">
        <f t="array" ref="AK595">CalculerNouvelleDate(U595,AJ595)</f>
        <v/>
      </c>
      <c r="AL595" s="68" t="str" cm="1">
        <f t="array" ref="AL595">CalculerNouvelleDate(V595,AK595)</f>
        <v/>
      </c>
      <c r="AM595" s="83" t="str" cm="1">
        <f t="array" ref="AM595">CorrespondanceDAte(X595:AL595,D596)</f>
        <v>0</v>
      </c>
      <c r="AN595" s="1"/>
      <c r="AO595" s="1"/>
      <c r="AP595" s="1"/>
      <c r="AQ595" s="1"/>
      <c r="AR595" s="1"/>
      <c r="AS595" s="1"/>
      <c r="AT595" s="1"/>
      <c r="AU595" s="1"/>
      <c r="AV595" s="1"/>
      <c r="AW595" s="1"/>
      <c r="AX595" s="1"/>
      <c r="AY595" s="1"/>
      <c r="AZ595" s="1"/>
      <c r="BA595" s="1"/>
    </row>
    <row r="596" spans="1:53" x14ac:dyDescent="0.3">
      <c r="A596" s="1"/>
      <c r="B596" s="11"/>
      <c r="C596" s="1" t="s">
        <v>617</v>
      </c>
      <c r="D596" s="1"/>
      <c r="E596" s="1"/>
      <c r="F596" s="1"/>
      <c r="G596" s="1"/>
      <c r="H596" s="43"/>
      <c r="I596" s="1"/>
      <c r="J596" s="1"/>
      <c r="K596" s="1"/>
      <c r="L596" s="1"/>
      <c r="M596" s="1"/>
      <c r="N596" s="1"/>
      <c r="O596" s="1"/>
      <c r="P596" s="1"/>
      <c r="Q596" s="1"/>
      <c r="R596" s="1"/>
      <c r="S596" s="1"/>
      <c r="T596" s="1"/>
      <c r="U596" s="1"/>
      <c r="V596" s="1"/>
      <c r="W596" s="11"/>
      <c r="X596" s="67"/>
      <c r="Y596" s="68" t="str" cm="1">
        <f t="array" ref="Y596">CalculerNouvelleDate(I596,X596)</f>
        <v/>
      </c>
      <c r="Z596" s="68" t="str" cm="1">
        <f t="array" ref="Z596">CalculerNouvelleDate(J596,Y596)</f>
        <v/>
      </c>
      <c r="AA596" s="68" t="str" cm="1">
        <f t="array" ref="AA596">CalculerNouvelleDate(K596,Z596)</f>
        <v/>
      </c>
      <c r="AB596" s="68" t="str" cm="1">
        <f t="array" ref="AB596">CalculerNouvelleDate(L596,AA596)</f>
        <v/>
      </c>
      <c r="AC596" s="68" t="str" cm="1">
        <f t="array" ref="AC596">CalculerNouvelleDate(M596,AB596)</f>
        <v/>
      </c>
      <c r="AD596" s="68" t="str" cm="1">
        <f t="array" ref="AD596">CalculerNouvelleDate(N596,AC596)</f>
        <v/>
      </c>
      <c r="AE596" s="68" t="str" cm="1">
        <f t="array" ref="AE596">CalculerNouvelleDate(O596,AD596)</f>
        <v/>
      </c>
      <c r="AF596" s="68" t="str" cm="1">
        <f t="array" ref="AF596">CalculerNouvelleDate(P596,AE596)</f>
        <v/>
      </c>
      <c r="AG596" s="68" t="str" cm="1">
        <f t="array" ref="AG596">CalculerNouvelleDate(Q596,AF596)</f>
        <v/>
      </c>
      <c r="AH596" s="68" t="str" cm="1">
        <f t="array" ref="AH596">CalculerNouvelleDate(R596,AG596)</f>
        <v/>
      </c>
      <c r="AI596" s="68" t="str" cm="1">
        <f t="array" ref="AI596">CalculerNouvelleDate(S596,AH596)</f>
        <v/>
      </c>
      <c r="AJ596" s="68" t="str" cm="1">
        <f t="array" ref="AJ596">CalculerNouvelleDate(T596,AI596)</f>
        <v/>
      </c>
      <c r="AK596" s="68" t="str" cm="1">
        <f t="array" ref="AK596">CalculerNouvelleDate(U596,AJ596)</f>
        <v/>
      </c>
      <c r="AL596" s="68" t="str" cm="1">
        <f t="array" ref="AL596">CalculerNouvelleDate(V596,AK596)</f>
        <v/>
      </c>
      <c r="AM596" s="83" t="str" cm="1">
        <f t="array" ref="AM596">CorrespondanceDAte(X596:AL596,D597)</f>
        <v>0</v>
      </c>
      <c r="AN596" s="1"/>
      <c r="AO596" s="1"/>
      <c r="AP596" s="1"/>
      <c r="AQ596" s="1"/>
      <c r="AR596" s="1"/>
      <c r="AS596" s="1"/>
      <c r="AT596" s="1"/>
      <c r="AU596" s="1"/>
      <c r="AV596" s="1"/>
      <c r="AW596" s="1"/>
      <c r="AX596" s="1"/>
      <c r="AY596" s="1"/>
      <c r="AZ596" s="1"/>
      <c r="BA596" s="1"/>
    </row>
    <row r="597" spans="1:53" x14ac:dyDescent="0.3">
      <c r="A597" s="1"/>
      <c r="B597" s="11"/>
      <c r="C597" s="1" t="s">
        <v>618</v>
      </c>
      <c r="D597" s="1"/>
      <c r="E597" s="1"/>
      <c r="F597" s="1"/>
      <c r="G597" s="1"/>
      <c r="H597" s="43"/>
      <c r="I597" s="1"/>
      <c r="J597" s="1"/>
      <c r="K597" s="1"/>
      <c r="L597" s="1"/>
      <c r="M597" s="1"/>
      <c r="N597" s="1"/>
      <c r="O597" s="1"/>
      <c r="P597" s="1"/>
      <c r="Q597" s="1"/>
      <c r="R597" s="1"/>
      <c r="S597" s="1"/>
      <c r="T597" s="1"/>
      <c r="U597" s="1"/>
      <c r="V597" s="1"/>
      <c r="W597" s="11"/>
      <c r="X597" s="67"/>
      <c r="Y597" s="68" t="str" cm="1">
        <f t="array" ref="Y597">CalculerNouvelleDate(I597,X597)</f>
        <v/>
      </c>
      <c r="Z597" s="68" t="str" cm="1">
        <f t="array" ref="Z597">CalculerNouvelleDate(J597,Y597)</f>
        <v/>
      </c>
      <c r="AA597" s="68" t="str" cm="1">
        <f t="array" ref="AA597">CalculerNouvelleDate(K597,Z597)</f>
        <v/>
      </c>
      <c r="AB597" s="68" t="str" cm="1">
        <f t="array" ref="AB597">CalculerNouvelleDate(L597,AA597)</f>
        <v/>
      </c>
      <c r="AC597" s="68" t="str" cm="1">
        <f t="array" ref="AC597">CalculerNouvelleDate(M597,AB597)</f>
        <v/>
      </c>
      <c r="AD597" s="68" t="str" cm="1">
        <f t="array" ref="AD597">CalculerNouvelleDate(N597,AC597)</f>
        <v/>
      </c>
      <c r="AE597" s="68" t="str" cm="1">
        <f t="array" ref="AE597">CalculerNouvelleDate(O597,AD597)</f>
        <v/>
      </c>
      <c r="AF597" s="68" t="str" cm="1">
        <f t="array" ref="AF597">CalculerNouvelleDate(P597,AE597)</f>
        <v/>
      </c>
      <c r="AG597" s="68" t="str" cm="1">
        <f t="array" ref="AG597">CalculerNouvelleDate(Q597,AF597)</f>
        <v/>
      </c>
      <c r="AH597" s="68" t="str" cm="1">
        <f t="array" ref="AH597">CalculerNouvelleDate(R597,AG597)</f>
        <v/>
      </c>
      <c r="AI597" s="68" t="str" cm="1">
        <f t="array" ref="AI597">CalculerNouvelleDate(S597,AH597)</f>
        <v/>
      </c>
      <c r="AJ597" s="68" t="str" cm="1">
        <f t="array" ref="AJ597">CalculerNouvelleDate(T597,AI597)</f>
        <v/>
      </c>
      <c r="AK597" s="68" t="str" cm="1">
        <f t="array" ref="AK597">CalculerNouvelleDate(U597,AJ597)</f>
        <v/>
      </c>
      <c r="AL597" s="68" t="str" cm="1">
        <f t="array" ref="AL597">CalculerNouvelleDate(V597,AK597)</f>
        <v/>
      </c>
      <c r="AM597" s="83" t="str" cm="1">
        <f t="array" ref="AM597">CorrespondanceDAte(X597:AL597,D598)</f>
        <v>0</v>
      </c>
      <c r="AN597" s="1"/>
      <c r="AO597" s="1"/>
      <c r="AP597" s="1"/>
      <c r="AQ597" s="1"/>
      <c r="AR597" s="1"/>
      <c r="AS597" s="1"/>
      <c r="AT597" s="1"/>
      <c r="AU597" s="1"/>
      <c r="AV597" s="1"/>
      <c r="AW597" s="1"/>
      <c r="AX597" s="1"/>
      <c r="AY597" s="1"/>
      <c r="AZ597" s="1"/>
      <c r="BA597" s="1"/>
    </row>
    <row r="598" spans="1:53" x14ac:dyDescent="0.3">
      <c r="A598" s="1"/>
      <c r="B598" s="11"/>
      <c r="C598" s="1" t="s">
        <v>619</v>
      </c>
      <c r="D598" s="1"/>
      <c r="E598" s="1"/>
      <c r="F598" s="1"/>
      <c r="G598" s="1"/>
      <c r="H598" s="43"/>
      <c r="I598" s="1"/>
      <c r="J598" s="1"/>
      <c r="K598" s="1"/>
      <c r="L598" s="1"/>
      <c r="M598" s="1"/>
      <c r="N598" s="1"/>
      <c r="O598" s="1"/>
      <c r="P598" s="1"/>
      <c r="Q598" s="1"/>
      <c r="R598" s="1"/>
      <c r="S598" s="1"/>
      <c r="T598" s="1"/>
      <c r="U598" s="1"/>
      <c r="V598" s="1"/>
      <c r="W598" s="11"/>
      <c r="X598" s="67"/>
      <c r="Y598" s="68" t="str" cm="1">
        <f t="array" ref="Y598">CalculerNouvelleDate(I598,X598)</f>
        <v/>
      </c>
      <c r="Z598" s="68" t="str" cm="1">
        <f t="array" ref="Z598">CalculerNouvelleDate(J598,Y598)</f>
        <v/>
      </c>
      <c r="AA598" s="68" t="str" cm="1">
        <f t="array" ref="AA598">CalculerNouvelleDate(K598,Z598)</f>
        <v/>
      </c>
      <c r="AB598" s="68" t="str" cm="1">
        <f t="array" ref="AB598">CalculerNouvelleDate(L598,AA598)</f>
        <v/>
      </c>
      <c r="AC598" s="68" t="str" cm="1">
        <f t="array" ref="AC598">CalculerNouvelleDate(M598,AB598)</f>
        <v/>
      </c>
      <c r="AD598" s="68" t="str" cm="1">
        <f t="array" ref="AD598">CalculerNouvelleDate(N598,AC598)</f>
        <v/>
      </c>
      <c r="AE598" s="68" t="str" cm="1">
        <f t="array" ref="AE598">CalculerNouvelleDate(O598,AD598)</f>
        <v/>
      </c>
      <c r="AF598" s="68" t="str" cm="1">
        <f t="array" ref="AF598">CalculerNouvelleDate(P598,AE598)</f>
        <v/>
      </c>
      <c r="AG598" s="68" t="str" cm="1">
        <f t="array" ref="AG598">CalculerNouvelleDate(Q598,AF598)</f>
        <v/>
      </c>
      <c r="AH598" s="68" t="str" cm="1">
        <f t="array" ref="AH598">CalculerNouvelleDate(R598,AG598)</f>
        <v/>
      </c>
      <c r="AI598" s="68" t="str" cm="1">
        <f t="array" ref="AI598">CalculerNouvelleDate(S598,AH598)</f>
        <v/>
      </c>
      <c r="AJ598" s="68" t="str" cm="1">
        <f t="array" ref="AJ598">CalculerNouvelleDate(T598,AI598)</f>
        <v/>
      </c>
      <c r="AK598" s="68" t="str" cm="1">
        <f t="array" ref="AK598">CalculerNouvelleDate(U598,AJ598)</f>
        <v/>
      </c>
      <c r="AL598" s="68" t="str" cm="1">
        <f t="array" ref="AL598">CalculerNouvelleDate(V598,AK598)</f>
        <v/>
      </c>
      <c r="AM598" s="83" t="str" cm="1">
        <f t="array" ref="AM598">CorrespondanceDAte(X598:AL598,D599)</f>
        <v>0</v>
      </c>
      <c r="AN598" s="1"/>
      <c r="AO598" s="1"/>
      <c r="AP598" s="1"/>
      <c r="AQ598" s="1"/>
      <c r="AR598" s="1"/>
      <c r="AS598" s="1"/>
      <c r="AT598" s="1"/>
      <c r="AU598" s="1"/>
      <c r="AV598" s="1"/>
      <c r="AW598" s="1"/>
      <c r="AX598" s="1"/>
      <c r="AY598" s="1"/>
      <c r="AZ598" s="1"/>
      <c r="BA598" s="1"/>
    </row>
    <row r="599" spans="1:53" x14ac:dyDescent="0.3">
      <c r="A599" s="85"/>
      <c r="B599" s="86"/>
      <c r="C599" s="85" t="s">
        <v>769</v>
      </c>
      <c r="D599" s="85"/>
      <c r="E599" s="85"/>
      <c r="F599" s="85"/>
      <c r="G599" s="85"/>
      <c r="H599" s="87"/>
      <c r="I599" s="85"/>
      <c r="J599" s="85"/>
      <c r="K599" s="85"/>
      <c r="L599" s="85"/>
      <c r="M599" s="85"/>
      <c r="N599" s="85"/>
      <c r="O599" s="85"/>
      <c r="P599" s="85"/>
      <c r="Q599" s="85"/>
      <c r="R599" s="85"/>
      <c r="S599" s="85"/>
      <c r="T599" s="85"/>
      <c r="U599" s="85"/>
      <c r="V599" s="85"/>
      <c r="W599" s="86"/>
      <c r="X599" s="88"/>
      <c r="Y599" s="68" t="str" cm="1">
        <f t="array" ref="Y599">CalculerNouvelleDate(I599,X599)</f>
        <v/>
      </c>
      <c r="Z599" s="68" t="str" cm="1">
        <f t="array" ref="Z599">CalculerNouvelleDate(J599,Y599)</f>
        <v/>
      </c>
      <c r="AA599" s="68" t="str" cm="1">
        <f t="array" ref="AA599">CalculerNouvelleDate(K599,Z599)</f>
        <v/>
      </c>
      <c r="AB599" s="68" t="str" cm="1">
        <f t="array" ref="AB599">CalculerNouvelleDate(L599,AA599)</f>
        <v/>
      </c>
      <c r="AC599" s="68" t="str" cm="1">
        <f t="array" ref="AC599">CalculerNouvelleDate(M599,AB599)</f>
        <v/>
      </c>
      <c r="AD599" s="68" t="str" cm="1">
        <f t="array" ref="AD599">CalculerNouvelleDate(N599,AC599)</f>
        <v/>
      </c>
      <c r="AE599" s="68" t="str" cm="1">
        <f t="array" ref="AE599">CalculerNouvelleDate(O599,AD599)</f>
        <v/>
      </c>
      <c r="AF599" s="68" t="str" cm="1">
        <f t="array" ref="AF599">CalculerNouvelleDate(P599,AE599)</f>
        <v/>
      </c>
      <c r="AG599" s="68" t="str" cm="1">
        <f t="array" ref="AG599">CalculerNouvelleDate(Q599,AF599)</f>
        <v/>
      </c>
      <c r="AH599" s="68" t="str" cm="1">
        <f t="array" ref="AH599">CalculerNouvelleDate(R599,AG599)</f>
        <v/>
      </c>
      <c r="AI599" s="68" t="str" cm="1">
        <f t="array" ref="AI599">CalculerNouvelleDate(S599,AH599)</f>
        <v/>
      </c>
      <c r="AJ599" s="68" t="str" cm="1">
        <f t="array" ref="AJ599">CalculerNouvelleDate(T599,AI599)</f>
        <v/>
      </c>
      <c r="AK599" s="68" t="str" cm="1">
        <f t="array" ref="AK599">CalculerNouvelleDate(U599,AJ599)</f>
        <v/>
      </c>
      <c r="AL599" s="68" t="str" cm="1">
        <f t="array" ref="AL599">CalculerNouvelleDate(V599,AK599)</f>
        <v/>
      </c>
      <c r="AM599" s="83" t="str" cm="1">
        <f t="array" ref="AM599">CorrespondanceDAte(X599:AL599,D600)</f>
        <v>0</v>
      </c>
      <c r="AN599" s="1"/>
      <c r="AO599" s="1"/>
      <c r="AP599" s="1"/>
      <c r="AQ599" s="1"/>
      <c r="AR599" s="1"/>
      <c r="AS599" s="1"/>
      <c r="AT599" s="1"/>
      <c r="AU599" s="1"/>
      <c r="AV599" s="1"/>
      <c r="AW599" s="1"/>
      <c r="AX599" s="1"/>
      <c r="AY599" s="1"/>
      <c r="AZ599" s="1"/>
      <c r="BA599" s="1"/>
    </row>
    <row r="600" spans="1:53"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c r="AV600" s="1"/>
      <c r="AW600" s="1"/>
      <c r="AX600" s="1"/>
      <c r="AY600" s="1"/>
      <c r="AZ600" s="1"/>
      <c r="BA600" s="1"/>
    </row>
    <row r="601" spans="1:53" x14ac:dyDescent="0.3">
      <c r="A601" s="1"/>
      <c r="B601" s="1"/>
      <c r="C601" s="1"/>
      <c r="D601" s="1"/>
      <c r="E601" s="1"/>
      <c r="F601" s="1"/>
      <c r="G601" s="1"/>
      <c r="H601" s="69"/>
      <c r="I601" s="1"/>
      <c r="J601" s="1"/>
      <c r="K601" s="1"/>
      <c r="L601" s="1"/>
      <c r="M601" s="1"/>
      <c r="N601" s="1"/>
      <c r="O601" s="1"/>
      <c r="P601" s="1"/>
      <c r="Q601" s="1"/>
      <c r="R601" s="1"/>
      <c r="S601" s="1"/>
      <c r="T601" s="1"/>
      <c r="U601" s="1"/>
      <c r="V601" s="1"/>
      <c r="W601" s="1"/>
      <c r="X601" s="84"/>
      <c r="Y601" s="84" t="str" cm="1">
        <f t="array" ref="Y601">CalculerNouvelleDate(I601,X601)</f>
        <v/>
      </c>
      <c r="Z601" s="84" t="str" cm="1">
        <f t="array" ref="Z601">CalculerNouvelleDate(J601,Y601)</f>
        <v/>
      </c>
      <c r="AA601" s="84" t="str" cm="1">
        <f t="array" ref="AA601">CalculerNouvelleDate(K601,Z601)</f>
        <v/>
      </c>
      <c r="AB601" s="84" t="str" cm="1">
        <f t="array" ref="AB601">CalculerNouvelleDate(L601,AA601)</f>
        <v/>
      </c>
      <c r="AC601" s="84" t="str" cm="1">
        <f t="array" ref="AC601">CalculerNouvelleDate(M601,AB601)</f>
        <v/>
      </c>
      <c r="AD601" s="84" t="str" cm="1">
        <f t="array" ref="AD601">CalculerNouvelleDate(N601,AC601)</f>
        <v/>
      </c>
      <c r="AE601" s="84" t="str" cm="1">
        <f t="array" ref="AE601">CalculerNouvelleDate(O601,AD601)</f>
        <v/>
      </c>
      <c r="AF601" s="84" t="str" cm="1">
        <f t="array" ref="AF601">CalculerNouvelleDate(P601,AE601)</f>
        <v/>
      </c>
      <c r="AG601" s="84" t="str" cm="1">
        <f t="array" ref="AG601">CalculerNouvelleDate(Q601,AF601)</f>
        <v/>
      </c>
      <c r="AH601" s="84" t="str" cm="1">
        <f t="array" ref="AH601">CalculerNouvelleDate(R601,AG601)</f>
        <v/>
      </c>
      <c r="AI601" s="84" t="str" cm="1">
        <f t="array" ref="AI601">CalculerNouvelleDate(S601,AH601)</f>
        <v/>
      </c>
      <c r="AJ601" s="84" t="str" cm="1">
        <f t="array" ref="AJ601">CalculerNouvelleDate(T601,AI601)</f>
        <v/>
      </c>
      <c r="AK601" s="84" t="str" cm="1">
        <f t="array" ref="AK601">CalculerNouvelleDate(U601,AJ601)</f>
        <v/>
      </c>
      <c r="AL601" s="84" t="str" cm="1">
        <f t="array" ref="AL601">CalculerNouvelleDate(V601,AK601)</f>
        <v/>
      </c>
      <c r="AM601" s="1"/>
      <c r="AN601" s="1"/>
      <c r="AO601" s="1"/>
      <c r="AP601" s="1"/>
      <c r="AQ601" s="1"/>
      <c r="AR601" s="1"/>
      <c r="AS601" s="1"/>
      <c r="AT601" s="1"/>
      <c r="AU601" s="1"/>
      <c r="AV601" s="1"/>
      <c r="AW601" s="1"/>
      <c r="AX601" s="1"/>
      <c r="AY601" s="1"/>
      <c r="AZ601" s="1"/>
      <c r="BA601" s="1"/>
    </row>
    <row r="602" spans="1:53" x14ac:dyDescent="0.3">
      <c r="A602" s="1"/>
      <c r="B602" s="1"/>
      <c r="C602" s="1"/>
      <c r="D602" s="1"/>
      <c r="E602" s="1"/>
      <c r="F602" s="1"/>
      <c r="G602" s="1"/>
      <c r="H602" s="69"/>
      <c r="I602" s="1"/>
      <c r="J602" s="1"/>
      <c r="K602" s="1"/>
      <c r="L602" s="1"/>
      <c r="M602" s="1"/>
      <c r="N602" s="1"/>
      <c r="O602" s="1"/>
      <c r="P602" s="1"/>
      <c r="Q602" s="1"/>
      <c r="R602" s="1"/>
      <c r="S602" s="1"/>
      <c r="T602" s="1"/>
      <c r="U602" s="1"/>
      <c r="V602" s="1"/>
      <c r="W602" s="1"/>
      <c r="X602" s="84"/>
      <c r="Y602" s="84" t="str" cm="1">
        <f t="array" ref="Y602">CalculerNouvelleDate(I602,X602)</f>
        <v/>
      </c>
      <c r="Z602" s="84" t="str" cm="1">
        <f t="array" ref="Z602">CalculerNouvelleDate(J602,Y602)</f>
        <v/>
      </c>
      <c r="AA602" s="84" t="str" cm="1">
        <f t="array" ref="AA602">CalculerNouvelleDate(K602,Z602)</f>
        <v/>
      </c>
      <c r="AB602" s="84" t="str" cm="1">
        <f t="array" ref="AB602">CalculerNouvelleDate(L602,AA602)</f>
        <v/>
      </c>
      <c r="AC602" s="84" t="str" cm="1">
        <f t="array" ref="AC602">CalculerNouvelleDate(M602,AB602)</f>
        <v/>
      </c>
      <c r="AD602" s="84" t="str" cm="1">
        <f t="array" ref="AD602">CalculerNouvelleDate(N602,AC602)</f>
        <v/>
      </c>
      <c r="AE602" s="84" t="str" cm="1">
        <f t="array" ref="AE602">CalculerNouvelleDate(O602,AD602)</f>
        <v/>
      </c>
      <c r="AF602" s="84" t="str" cm="1">
        <f t="array" ref="AF602">CalculerNouvelleDate(P602,AE602)</f>
        <v/>
      </c>
      <c r="AG602" s="84" t="str" cm="1">
        <f t="array" ref="AG602">CalculerNouvelleDate(Q602,AF602)</f>
        <v/>
      </c>
      <c r="AH602" s="84" t="str" cm="1">
        <f t="array" ref="AH602">CalculerNouvelleDate(R602,AG602)</f>
        <v/>
      </c>
      <c r="AI602" s="84" t="str" cm="1">
        <f t="array" ref="AI602">CalculerNouvelleDate(S602,AH602)</f>
        <v/>
      </c>
      <c r="AJ602" s="84" t="str" cm="1">
        <f t="array" ref="AJ602">CalculerNouvelleDate(T602,AI602)</f>
        <v/>
      </c>
      <c r="AK602" s="84" t="str" cm="1">
        <f t="array" ref="AK602">CalculerNouvelleDate(U602,AJ602)</f>
        <v/>
      </c>
      <c r="AL602" s="84" t="str" cm="1">
        <f t="array" ref="AL602">CalculerNouvelleDate(V602,AK602)</f>
        <v/>
      </c>
      <c r="AM602" s="1"/>
      <c r="AN602" s="1"/>
      <c r="AO602" s="1"/>
      <c r="AP602" s="1"/>
      <c r="AQ602" s="1"/>
      <c r="AR602" s="1"/>
      <c r="AS602" s="1"/>
      <c r="AT602" s="1"/>
      <c r="AU602" s="1"/>
      <c r="AV602" s="1"/>
      <c r="AW602" s="1"/>
      <c r="AX602" s="1"/>
      <c r="AY602" s="1"/>
      <c r="AZ602" s="1"/>
      <c r="BA602" s="1"/>
    </row>
    <row r="603" spans="1:53" x14ac:dyDescent="0.3">
      <c r="A603" s="1"/>
      <c r="B603" s="1"/>
      <c r="C603" s="1"/>
      <c r="D603" s="1"/>
      <c r="E603" s="1"/>
      <c r="F603" s="1"/>
      <c r="G603" s="1"/>
      <c r="H603" s="69"/>
      <c r="I603" s="1"/>
      <c r="J603" s="1"/>
      <c r="K603" s="1"/>
      <c r="L603" s="1"/>
      <c r="M603" s="1"/>
      <c r="N603" s="1"/>
      <c r="O603" s="1"/>
      <c r="P603" s="1"/>
      <c r="Q603" s="1"/>
      <c r="R603" s="1"/>
      <c r="S603" s="1"/>
      <c r="T603" s="1"/>
      <c r="U603" s="1"/>
      <c r="V603" s="1"/>
      <c r="W603" s="1"/>
      <c r="X603" s="84"/>
      <c r="Y603" s="84" t="str" cm="1">
        <f t="array" ref="Y603">CalculerNouvelleDate(I603,X603)</f>
        <v/>
      </c>
      <c r="Z603" s="84" t="str" cm="1">
        <f t="array" ref="Z603">CalculerNouvelleDate(J603,Y603)</f>
        <v/>
      </c>
      <c r="AA603" s="84" t="str" cm="1">
        <f t="array" ref="AA603">CalculerNouvelleDate(K603,Z603)</f>
        <v/>
      </c>
      <c r="AB603" s="84" t="str" cm="1">
        <f t="array" ref="AB603">CalculerNouvelleDate(L603,AA603)</f>
        <v/>
      </c>
      <c r="AC603" s="84" t="str" cm="1">
        <f t="array" ref="AC603">CalculerNouvelleDate(M603,AB603)</f>
        <v/>
      </c>
      <c r="AD603" s="84" t="str" cm="1">
        <f t="array" ref="AD603">CalculerNouvelleDate(N603,AC603)</f>
        <v/>
      </c>
      <c r="AE603" s="84" t="str" cm="1">
        <f t="array" ref="AE603">CalculerNouvelleDate(O603,AD603)</f>
        <v/>
      </c>
      <c r="AF603" s="84" t="str" cm="1">
        <f t="array" ref="AF603">CalculerNouvelleDate(P603,AE603)</f>
        <v/>
      </c>
      <c r="AG603" s="84" t="str" cm="1">
        <f t="array" ref="AG603">CalculerNouvelleDate(Q603,AF603)</f>
        <v/>
      </c>
      <c r="AH603" s="84" t="str" cm="1">
        <f t="array" ref="AH603">CalculerNouvelleDate(R603,AG603)</f>
        <v/>
      </c>
      <c r="AI603" s="84" t="str" cm="1">
        <f t="array" ref="AI603">CalculerNouvelleDate(S603,AH603)</f>
        <v/>
      </c>
      <c r="AJ603" s="84" t="str" cm="1">
        <f t="array" ref="AJ603">CalculerNouvelleDate(T603,AI603)</f>
        <v/>
      </c>
      <c r="AK603" s="84" t="str" cm="1">
        <f t="array" ref="AK603">CalculerNouvelleDate(U603,AJ603)</f>
        <v/>
      </c>
      <c r="AL603" s="84" t="str" cm="1">
        <f t="array" ref="AL603">CalculerNouvelleDate(V603,AK603)</f>
        <v/>
      </c>
      <c r="AM603" s="1"/>
      <c r="AN603" s="1"/>
      <c r="AO603" s="1"/>
      <c r="AP603" s="1"/>
      <c r="AQ603" s="1"/>
      <c r="AR603" s="1"/>
      <c r="AS603" s="1"/>
      <c r="AT603" s="1"/>
      <c r="AU603" s="1"/>
      <c r="AV603" s="1"/>
      <c r="AW603" s="1"/>
      <c r="AX603" s="1"/>
      <c r="AY603" s="1"/>
      <c r="AZ603" s="1"/>
      <c r="BA603" s="1"/>
    </row>
    <row r="604" spans="1:53" x14ac:dyDescent="0.3">
      <c r="A604" s="1"/>
      <c r="B604" s="1"/>
      <c r="C604" s="1"/>
      <c r="D604" s="1"/>
      <c r="E604" s="1"/>
      <c r="F604" s="1"/>
      <c r="G604" s="1"/>
      <c r="H604" s="69"/>
      <c r="I604" s="1"/>
      <c r="J604" s="1"/>
      <c r="K604" s="1"/>
      <c r="L604" s="1"/>
      <c r="M604" s="1"/>
      <c r="N604" s="1"/>
      <c r="O604" s="1"/>
      <c r="P604" s="1"/>
      <c r="Q604" s="1"/>
      <c r="R604" s="1"/>
      <c r="S604" s="1"/>
      <c r="T604" s="1"/>
      <c r="U604" s="1"/>
      <c r="V604" s="1"/>
      <c r="W604" s="1"/>
      <c r="X604" s="84"/>
      <c r="Y604" s="84" t="str" cm="1">
        <f t="array" ref="Y604">CalculerNouvelleDate(I604,X604)</f>
        <v/>
      </c>
      <c r="Z604" s="84" t="str" cm="1">
        <f t="array" ref="Z604">CalculerNouvelleDate(J604,Y604)</f>
        <v/>
      </c>
      <c r="AA604" s="84" t="str" cm="1">
        <f t="array" ref="AA604">CalculerNouvelleDate(K604,Z604)</f>
        <v/>
      </c>
      <c r="AB604" s="84" t="str" cm="1">
        <f t="array" ref="AB604">CalculerNouvelleDate(L604,AA604)</f>
        <v/>
      </c>
      <c r="AC604" s="84" t="str" cm="1">
        <f t="array" ref="AC604">CalculerNouvelleDate(M604,AB604)</f>
        <v/>
      </c>
      <c r="AD604" s="84" t="str" cm="1">
        <f t="array" ref="AD604">CalculerNouvelleDate(N604,AC604)</f>
        <v/>
      </c>
      <c r="AE604" s="84" t="str" cm="1">
        <f t="array" ref="AE604">CalculerNouvelleDate(O604,AD604)</f>
        <v/>
      </c>
      <c r="AF604" s="84" t="str" cm="1">
        <f t="array" ref="AF604">CalculerNouvelleDate(P604,AE604)</f>
        <v/>
      </c>
      <c r="AG604" s="84" t="str" cm="1">
        <f t="array" ref="AG604">CalculerNouvelleDate(Q604,AF604)</f>
        <v/>
      </c>
      <c r="AH604" s="84" t="str" cm="1">
        <f t="array" ref="AH604">CalculerNouvelleDate(R604,AG604)</f>
        <v/>
      </c>
      <c r="AI604" s="84" t="str" cm="1">
        <f t="array" ref="AI604">CalculerNouvelleDate(S604,AH604)</f>
        <v/>
      </c>
      <c r="AJ604" s="84" t="str" cm="1">
        <f t="array" ref="AJ604">CalculerNouvelleDate(T604,AI604)</f>
        <v/>
      </c>
      <c r="AK604" s="84" t="str" cm="1">
        <f t="array" ref="AK604">CalculerNouvelleDate(U604,AJ604)</f>
        <v/>
      </c>
      <c r="AL604" s="84" t="str" cm="1">
        <f t="array" ref="AL604">CalculerNouvelleDate(V604,AK604)</f>
        <v/>
      </c>
      <c r="AM604" s="1"/>
      <c r="AN604" s="1"/>
      <c r="AO604" s="1"/>
      <c r="AP604" s="1"/>
      <c r="AQ604" s="1"/>
      <c r="AR604" s="1"/>
      <c r="AS604" s="1"/>
      <c r="AT604" s="1"/>
      <c r="AU604" s="1"/>
      <c r="AV604" s="1"/>
      <c r="AW604" s="1"/>
      <c r="AX604" s="1"/>
      <c r="AY604" s="1"/>
      <c r="AZ604" s="1"/>
      <c r="BA604" s="1"/>
    </row>
    <row r="605" spans="1:53" x14ac:dyDescent="0.3">
      <c r="A605" s="1"/>
      <c r="B605" s="1"/>
      <c r="C605" s="1"/>
      <c r="D605" s="1"/>
      <c r="E605" s="1"/>
      <c r="F605" s="1"/>
      <c r="G605" s="1"/>
      <c r="H605" s="69"/>
      <c r="I605" s="1"/>
      <c r="J605" s="1"/>
      <c r="K605" s="1"/>
      <c r="L605" s="1"/>
      <c r="M605" s="1"/>
      <c r="N605" s="1"/>
      <c r="O605" s="1"/>
      <c r="P605" s="1"/>
      <c r="Q605" s="1"/>
      <c r="R605" s="1"/>
      <c r="S605" s="1"/>
      <c r="T605" s="1"/>
      <c r="U605" s="1"/>
      <c r="V605" s="1"/>
      <c r="W605" s="1"/>
      <c r="X605" s="84"/>
      <c r="Y605" s="84" t="str" cm="1">
        <f t="array" ref="Y605">CalculerNouvelleDate(I605,X605)</f>
        <v/>
      </c>
      <c r="Z605" s="84" t="str" cm="1">
        <f t="array" ref="Z605">CalculerNouvelleDate(J605,Y605)</f>
        <v/>
      </c>
      <c r="AA605" s="84" t="str" cm="1">
        <f t="array" ref="AA605">CalculerNouvelleDate(K605,Z605)</f>
        <v/>
      </c>
      <c r="AB605" s="84" t="str" cm="1">
        <f t="array" ref="AB605">CalculerNouvelleDate(L605,AA605)</f>
        <v/>
      </c>
      <c r="AC605" s="84" t="str" cm="1">
        <f t="array" ref="AC605">CalculerNouvelleDate(M605,AB605)</f>
        <v/>
      </c>
      <c r="AD605" s="84" t="str" cm="1">
        <f t="array" ref="AD605">CalculerNouvelleDate(N605,AC605)</f>
        <v/>
      </c>
      <c r="AE605" s="84" t="str" cm="1">
        <f t="array" ref="AE605">CalculerNouvelleDate(O605,AD605)</f>
        <v/>
      </c>
      <c r="AF605" s="84" t="str" cm="1">
        <f t="array" ref="AF605">CalculerNouvelleDate(P605,AE605)</f>
        <v/>
      </c>
      <c r="AG605" s="84" t="str" cm="1">
        <f t="array" ref="AG605">CalculerNouvelleDate(Q605,AF605)</f>
        <v/>
      </c>
      <c r="AH605" s="84" t="str" cm="1">
        <f t="array" ref="AH605">CalculerNouvelleDate(R605,AG605)</f>
        <v/>
      </c>
      <c r="AI605" s="84" t="str" cm="1">
        <f t="array" ref="AI605">CalculerNouvelleDate(S605,AH605)</f>
        <v/>
      </c>
      <c r="AJ605" s="84" t="str" cm="1">
        <f t="array" ref="AJ605">CalculerNouvelleDate(T605,AI605)</f>
        <v/>
      </c>
      <c r="AK605" s="84" t="str" cm="1">
        <f t="array" ref="AK605">CalculerNouvelleDate(U605,AJ605)</f>
        <v/>
      </c>
      <c r="AL605" s="84" t="str" cm="1">
        <f t="array" ref="AL605">CalculerNouvelleDate(V605,AK605)</f>
        <v/>
      </c>
      <c r="AM605" s="1"/>
      <c r="AN605" s="1"/>
      <c r="AO605" s="1"/>
      <c r="AP605" s="1"/>
      <c r="AQ605" s="1"/>
      <c r="AR605" s="1"/>
      <c r="AS605" s="1"/>
      <c r="AT605" s="1"/>
      <c r="AU605" s="1"/>
      <c r="AV605" s="1"/>
      <c r="AW605" s="1"/>
      <c r="AX605" s="1"/>
      <c r="AY605" s="1"/>
      <c r="AZ605" s="1"/>
      <c r="BA605" s="1"/>
    </row>
    <row r="606" spans="1:53" x14ac:dyDescent="0.3">
      <c r="A606" s="1"/>
      <c r="B606" s="1"/>
      <c r="C606" s="1"/>
      <c r="D606" s="1"/>
      <c r="E606" s="1"/>
      <c r="F606" s="1"/>
      <c r="G606" s="1"/>
      <c r="H606" s="69"/>
      <c r="I606" s="1"/>
      <c r="J606" s="1"/>
      <c r="K606" s="1"/>
      <c r="L606" s="1"/>
      <c r="M606" s="1"/>
      <c r="N606" s="1"/>
      <c r="O606" s="1"/>
      <c r="P606" s="1"/>
      <c r="Q606" s="1"/>
      <c r="R606" s="1"/>
      <c r="S606" s="1"/>
      <c r="T606" s="1"/>
      <c r="U606" s="1"/>
      <c r="V606" s="1"/>
      <c r="W606" s="1"/>
      <c r="X606" s="84"/>
      <c r="Y606" s="84" t="str" cm="1">
        <f t="array" ref="Y606">CalculerNouvelleDate(I606,X606)</f>
        <v/>
      </c>
      <c r="Z606" s="84" t="str" cm="1">
        <f t="array" ref="Z606">CalculerNouvelleDate(J606,Y606)</f>
        <v/>
      </c>
      <c r="AA606" s="84" t="str" cm="1">
        <f t="array" ref="AA606">CalculerNouvelleDate(K606,Z606)</f>
        <v/>
      </c>
      <c r="AB606" s="84" t="str" cm="1">
        <f t="array" ref="AB606">CalculerNouvelleDate(L606,AA606)</f>
        <v/>
      </c>
      <c r="AC606" s="84" t="str" cm="1">
        <f t="array" ref="AC606">CalculerNouvelleDate(M606,AB606)</f>
        <v/>
      </c>
      <c r="AD606" s="84" t="str" cm="1">
        <f t="array" ref="AD606">CalculerNouvelleDate(N606,AC606)</f>
        <v/>
      </c>
      <c r="AE606" s="84" t="str" cm="1">
        <f t="array" ref="AE606">CalculerNouvelleDate(O606,AD606)</f>
        <v/>
      </c>
      <c r="AF606" s="84" t="str" cm="1">
        <f t="array" ref="AF606">CalculerNouvelleDate(P606,AE606)</f>
        <v/>
      </c>
      <c r="AG606" s="84" t="str" cm="1">
        <f t="array" ref="AG606">CalculerNouvelleDate(Q606,AF606)</f>
        <v/>
      </c>
      <c r="AH606" s="84" t="str" cm="1">
        <f t="array" ref="AH606">CalculerNouvelleDate(R606,AG606)</f>
        <v/>
      </c>
      <c r="AI606" s="84" t="str" cm="1">
        <f t="array" ref="AI606">CalculerNouvelleDate(S606,AH606)</f>
        <v/>
      </c>
      <c r="AJ606" s="84" t="str" cm="1">
        <f t="array" ref="AJ606">CalculerNouvelleDate(T606,AI606)</f>
        <v/>
      </c>
      <c r="AK606" s="84" t="str" cm="1">
        <f t="array" ref="AK606">CalculerNouvelleDate(U606,AJ606)</f>
        <v/>
      </c>
      <c r="AL606" s="84" t="str" cm="1">
        <f t="array" ref="AL606">CalculerNouvelleDate(V606,AK606)</f>
        <v/>
      </c>
      <c r="AM606" s="1"/>
      <c r="AN606" s="1"/>
      <c r="AO606" s="1"/>
      <c r="AP606" s="1"/>
      <c r="AQ606" s="1"/>
      <c r="AR606" s="1"/>
      <c r="AS606" s="1"/>
      <c r="AT606" s="1"/>
      <c r="AU606" s="1"/>
      <c r="AV606" s="1"/>
      <c r="AW606" s="1"/>
      <c r="AX606" s="1"/>
      <c r="AY606" s="1"/>
      <c r="AZ606" s="1"/>
      <c r="BA606" s="1"/>
    </row>
    <row r="607" spans="1:53" x14ac:dyDescent="0.3">
      <c r="A607" s="1"/>
      <c r="B607" s="1"/>
      <c r="C607" s="1"/>
      <c r="D607" s="1"/>
      <c r="E607" s="1"/>
      <c r="F607" s="1"/>
      <c r="G607" s="1"/>
      <c r="H607" s="69"/>
      <c r="I607" s="1"/>
      <c r="J607" s="1"/>
      <c r="K607" s="1"/>
      <c r="L607" s="1"/>
      <c r="M607" s="1"/>
      <c r="N607" s="1"/>
      <c r="O607" s="1"/>
      <c r="P607" s="1"/>
      <c r="Q607" s="1"/>
      <c r="R607" s="1"/>
      <c r="S607" s="1"/>
      <c r="T607" s="1"/>
      <c r="U607" s="1"/>
      <c r="V607" s="1"/>
      <c r="W607" s="1"/>
      <c r="X607" s="84"/>
      <c r="Y607" s="84" t="str" cm="1">
        <f t="array" ref="Y607">CalculerNouvelleDate(I607,X607)</f>
        <v/>
      </c>
      <c r="Z607" s="84" t="str" cm="1">
        <f t="array" ref="Z607">CalculerNouvelleDate(J607,Y607)</f>
        <v/>
      </c>
      <c r="AA607" s="84" t="str" cm="1">
        <f t="array" ref="AA607">CalculerNouvelleDate(K607,Z607)</f>
        <v/>
      </c>
      <c r="AB607" s="84" t="str" cm="1">
        <f t="array" ref="AB607">CalculerNouvelleDate(L607,AA607)</f>
        <v/>
      </c>
      <c r="AC607" s="84" t="str" cm="1">
        <f t="array" ref="AC607">CalculerNouvelleDate(M607,AB607)</f>
        <v/>
      </c>
      <c r="AD607" s="84" t="str" cm="1">
        <f t="array" ref="AD607">CalculerNouvelleDate(N607,AC607)</f>
        <v/>
      </c>
      <c r="AE607" s="84" t="str" cm="1">
        <f t="array" ref="AE607">CalculerNouvelleDate(O607,AD607)</f>
        <v/>
      </c>
      <c r="AF607" s="84" t="str" cm="1">
        <f t="array" ref="AF607">CalculerNouvelleDate(P607,AE607)</f>
        <v/>
      </c>
      <c r="AG607" s="84" t="str" cm="1">
        <f t="array" ref="AG607">CalculerNouvelleDate(Q607,AF607)</f>
        <v/>
      </c>
      <c r="AH607" s="84" t="str" cm="1">
        <f t="array" ref="AH607">CalculerNouvelleDate(R607,AG607)</f>
        <v/>
      </c>
      <c r="AI607" s="84" t="str" cm="1">
        <f t="array" ref="AI607">CalculerNouvelleDate(S607,AH607)</f>
        <v/>
      </c>
      <c r="AJ607" s="84" t="str" cm="1">
        <f t="array" ref="AJ607">CalculerNouvelleDate(T607,AI607)</f>
        <v/>
      </c>
      <c r="AK607" s="84" t="str" cm="1">
        <f t="array" ref="AK607">CalculerNouvelleDate(U607,AJ607)</f>
        <v/>
      </c>
      <c r="AL607" s="84" t="str" cm="1">
        <f t="array" ref="AL607">CalculerNouvelleDate(V607,AK607)</f>
        <v/>
      </c>
      <c r="AM607" s="1"/>
      <c r="AN607" s="1"/>
      <c r="AO607" s="1"/>
      <c r="AP607" s="1"/>
      <c r="AQ607" s="1"/>
      <c r="AR607" s="1"/>
      <c r="AS607" s="1"/>
      <c r="AT607" s="1"/>
      <c r="AU607" s="1"/>
      <c r="AV607" s="1"/>
      <c r="AW607" s="1"/>
      <c r="AX607" s="1"/>
      <c r="AY607" s="1"/>
      <c r="AZ607" s="1"/>
      <c r="BA607" s="1"/>
    </row>
    <row r="608" spans="1:53" x14ac:dyDescent="0.3">
      <c r="A608" s="1"/>
      <c r="B608" s="1"/>
      <c r="C608" s="1"/>
      <c r="D608" s="1"/>
      <c r="E608" s="1"/>
      <c r="F608" s="1"/>
      <c r="G608" s="1"/>
      <c r="H608" s="69"/>
      <c r="I608" s="1"/>
      <c r="J608" s="1"/>
      <c r="K608" s="1"/>
      <c r="L608" s="1"/>
      <c r="M608" s="1"/>
      <c r="N608" s="1"/>
      <c r="O608" s="1"/>
      <c r="P608" s="1"/>
      <c r="Q608" s="1"/>
      <c r="R608" s="1"/>
      <c r="S608" s="1"/>
      <c r="T608" s="1"/>
      <c r="U608" s="1"/>
      <c r="V608" s="1"/>
      <c r="W608" s="1"/>
      <c r="X608" s="84"/>
      <c r="Y608" s="84" t="str" cm="1">
        <f t="array" ref="Y608">CalculerNouvelleDate(I608,X608)</f>
        <v/>
      </c>
      <c r="Z608" s="84" t="str" cm="1">
        <f t="array" ref="Z608">CalculerNouvelleDate(J608,Y608)</f>
        <v/>
      </c>
      <c r="AA608" s="84" t="str" cm="1">
        <f t="array" ref="AA608">CalculerNouvelleDate(K608,Z608)</f>
        <v/>
      </c>
      <c r="AB608" s="84" t="str" cm="1">
        <f t="array" ref="AB608">CalculerNouvelleDate(L608,AA608)</f>
        <v/>
      </c>
      <c r="AC608" s="84" t="str" cm="1">
        <f t="array" ref="AC608">CalculerNouvelleDate(M608,AB608)</f>
        <v/>
      </c>
      <c r="AD608" s="84" t="str" cm="1">
        <f t="array" ref="AD608">CalculerNouvelleDate(N608,AC608)</f>
        <v/>
      </c>
      <c r="AE608" s="84" t="str" cm="1">
        <f t="array" ref="AE608">CalculerNouvelleDate(O608,AD608)</f>
        <v/>
      </c>
      <c r="AF608" s="84" t="str" cm="1">
        <f t="array" ref="AF608">CalculerNouvelleDate(P608,AE608)</f>
        <v/>
      </c>
      <c r="AG608" s="84" t="str" cm="1">
        <f t="array" ref="AG608">CalculerNouvelleDate(Q608,AF608)</f>
        <v/>
      </c>
      <c r="AH608" s="84" t="str" cm="1">
        <f t="array" ref="AH608">CalculerNouvelleDate(R608,AG608)</f>
        <v/>
      </c>
      <c r="AI608" s="84" t="str" cm="1">
        <f t="array" ref="AI608">CalculerNouvelleDate(S608,AH608)</f>
        <v/>
      </c>
      <c r="AJ608" s="84" t="str" cm="1">
        <f t="array" ref="AJ608">CalculerNouvelleDate(T608,AI608)</f>
        <v/>
      </c>
      <c r="AK608" s="84" t="str" cm="1">
        <f t="array" ref="AK608">CalculerNouvelleDate(U608,AJ608)</f>
        <v/>
      </c>
      <c r="AL608" s="84" t="str" cm="1">
        <f t="array" ref="AL608">CalculerNouvelleDate(V608,AK608)</f>
        <v/>
      </c>
      <c r="AM608" s="1"/>
      <c r="AN608" s="1"/>
      <c r="AO608" s="1"/>
      <c r="AP608" s="1"/>
      <c r="AQ608" s="1"/>
      <c r="AR608" s="1"/>
      <c r="AS608" s="1"/>
      <c r="AT608" s="1"/>
      <c r="AU608" s="1"/>
      <c r="AV608" s="1"/>
      <c r="AW608" s="1"/>
      <c r="AX608" s="1"/>
      <c r="AY608" s="1"/>
      <c r="AZ608" s="1"/>
      <c r="BA608" s="1"/>
    </row>
    <row r="609" spans="1:53" x14ac:dyDescent="0.3">
      <c r="A609" s="1"/>
      <c r="B609" s="1"/>
      <c r="C609" s="1"/>
      <c r="D609" s="1"/>
      <c r="E609" s="1"/>
      <c r="F609" s="1"/>
      <c r="G609" s="1"/>
      <c r="H609" s="69"/>
      <c r="I609" s="1"/>
      <c r="J609" s="1"/>
      <c r="K609" s="1"/>
      <c r="L609" s="1"/>
      <c r="M609" s="1"/>
      <c r="N609" s="1"/>
      <c r="O609" s="1"/>
      <c r="P609" s="1"/>
      <c r="Q609" s="1"/>
      <c r="R609" s="1"/>
      <c r="S609" s="1"/>
      <c r="T609" s="1"/>
      <c r="U609" s="1"/>
      <c r="V609" s="1"/>
      <c r="W609" s="1"/>
      <c r="X609" s="84"/>
      <c r="Y609" s="84" t="str" cm="1">
        <f t="array" ref="Y609">CalculerNouvelleDate(I609,X609)</f>
        <v/>
      </c>
      <c r="Z609" s="84" t="str" cm="1">
        <f t="array" ref="Z609">CalculerNouvelleDate(J609,Y609)</f>
        <v/>
      </c>
      <c r="AA609" s="84" t="str" cm="1">
        <f t="array" ref="AA609">CalculerNouvelleDate(K609,Z609)</f>
        <v/>
      </c>
      <c r="AB609" s="84" t="str" cm="1">
        <f t="array" ref="AB609">CalculerNouvelleDate(L609,AA609)</f>
        <v/>
      </c>
      <c r="AC609" s="84" t="str" cm="1">
        <f t="array" ref="AC609">CalculerNouvelleDate(M609,AB609)</f>
        <v/>
      </c>
      <c r="AD609" s="84" t="str" cm="1">
        <f t="array" ref="AD609">CalculerNouvelleDate(N609,AC609)</f>
        <v/>
      </c>
      <c r="AE609" s="84" t="str" cm="1">
        <f t="array" ref="AE609">CalculerNouvelleDate(O609,AD609)</f>
        <v/>
      </c>
      <c r="AF609" s="84" t="str" cm="1">
        <f t="array" ref="AF609">CalculerNouvelleDate(P609,AE609)</f>
        <v/>
      </c>
      <c r="AG609" s="84" t="str" cm="1">
        <f t="array" ref="AG609">CalculerNouvelleDate(Q609,AF609)</f>
        <v/>
      </c>
      <c r="AH609" s="84" t="str" cm="1">
        <f t="array" ref="AH609">CalculerNouvelleDate(R609,AG609)</f>
        <v/>
      </c>
      <c r="AI609" s="84" t="str" cm="1">
        <f t="array" ref="AI609">CalculerNouvelleDate(S609,AH609)</f>
        <v/>
      </c>
      <c r="AJ609" s="84" t="str" cm="1">
        <f t="array" ref="AJ609">CalculerNouvelleDate(T609,AI609)</f>
        <v/>
      </c>
      <c r="AK609" s="84" t="str" cm="1">
        <f t="array" ref="AK609">CalculerNouvelleDate(U609,AJ609)</f>
        <v/>
      </c>
      <c r="AL609" s="84" t="str" cm="1">
        <f t="array" ref="AL609">CalculerNouvelleDate(V609,AK609)</f>
        <v/>
      </c>
      <c r="AM609" s="1"/>
      <c r="AN609" s="1"/>
      <c r="AO609" s="1"/>
      <c r="AP609" s="1"/>
      <c r="AQ609" s="1"/>
      <c r="AR609" s="1"/>
      <c r="AS609" s="1"/>
      <c r="AT609" s="1"/>
      <c r="AU609" s="1"/>
      <c r="AV609" s="1"/>
      <c r="AW609" s="1"/>
      <c r="AX609" s="1"/>
      <c r="AY609" s="1"/>
      <c r="AZ609" s="1"/>
      <c r="BA609" s="1"/>
    </row>
    <row r="610" spans="1:53" x14ac:dyDescent="0.3">
      <c r="A610" s="1"/>
      <c r="B610" s="1"/>
      <c r="C610" s="1"/>
      <c r="D610" s="1"/>
      <c r="E610" s="1"/>
      <c r="F610" s="1"/>
      <c r="G610" s="1"/>
      <c r="H610" s="69"/>
      <c r="I610" s="1"/>
      <c r="J610" s="1"/>
      <c r="K610" s="1"/>
      <c r="L610" s="1"/>
      <c r="M610" s="1"/>
      <c r="N610" s="1"/>
      <c r="O610" s="1"/>
      <c r="P610" s="1"/>
      <c r="Q610" s="1"/>
      <c r="R610" s="1"/>
      <c r="S610" s="1"/>
      <c r="T610" s="1"/>
      <c r="U610" s="1"/>
      <c r="V610" s="1"/>
      <c r="W610" s="1"/>
      <c r="X610" s="84"/>
      <c r="Y610" s="84" t="str" cm="1">
        <f t="array" ref="Y610">CalculerNouvelleDate(I610,X610)</f>
        <v/>
      </c>
      <c r="Z610" s="84" t="str" cm="1">
        <f t="array" ref="Z610">CalculerNouvelleDate(J610,Y610)</f>
        <v/>
      </c>
      <c r="AA610" s="84" t="str" cm="1">
        <f t="array" ref="AA610">CalculerNouvelleDate(K610,Z610)</f>
        <v/>
      </c>
      <c r="AB610" s="84" t="str" cm="1">
        <f t="array" ref="AB610">CalculerNouvelleDate(L610,AA610)</f>
        <v/>
      </c>
      <c r="AC610" s="84" t="str" cm="1">
        <f t="array" ref="AC610">CalculerNouvelleDate(M610,AB610)</f>
        <v/>
      </c>
      <c r="AD610" s="84" t="str" cm="1">
        <f t="array" ref="AD610">CalculerNouvelleDate(N610,AC610)</f>
        <v/>
      </c>
      <c r="AE610" s="84" t="str" cm="1">
        <f t="array" ref="AE610">CalculerNouvelleDate(O610,AD610)</f>
        <v/>
      </c>
      <c r="AF610" s="84" t="str" cm="1">
        <f t="array" ref="AF610">CalculerNouvelleDate(P610,AE610)</f>
        <v/>
      </c>
      <c r="AG610" s="84" t="str" cm="1">
        <f t="array" ref="AG610">CalculerNouvelleDate(Q610,AF610)</f>
        <v/>
      </c>
      <c r="AH610" s="84" t="str" cm="1">
        <f t="array" ref="AH610">CalculerNouvelleDate(R610,AG610)</f>
        <v/>
      </c>
      <c r="AI610" s="84" t="str" cm="1">
        <f t="array" ref="AI610">CalculerNouvelleDate(S610,AH610)</f>
        <v/>
      </c>
      <c r="AJ610" s="84" t="str" cm="1">
        <f t="array" ref="AJ610">CalculerNouvelleDate(T610,AI610)</f>
        <v/>
      </c>
      <c r="AK610" s="84" t="str" cm="1">
        <f t="array" ref="AK610">CalculerNouvelleDate(U610,AJ610)</f>
        <v/>
      </c>
      <c r="AL610" s="84" t="str" cm="1">
        <f t="array" ref="AL610">CalculerNouvelleDate(V610,AK610)</f>
        <v/>
      </c>
      <c r="AM610" s="1"/>
      <c r="AN610" s="1"/>
      <c r="AO610" s="1"/>
      <c r="AP610" s="1"/>
      <c r="AQ610" s="1"/>
      <c r="AR610" s="1"/>
      <c r="AS610" s="1"/>
      <c r="AT610" s="1"/>
      <c r="AU610" s="1"/>
      <c r="AV610" s="1"/>
      <c r="AW610" s="1"/>
      <c r="AX610" s="1"/>
      <c r="AY610" s="1"/>
      <c r="AZ610" s="1"/>
      <c r="BA610" s="1"/>
    </row>
    <row r="611" spans="1:53" x14ac:dyDescent="0.3">
      <c r="A611" s="1"/>
      <c r="B611" s="1"/>
      <c r="C611" s="1"/>
      <c r="D611" s="1"/>
      <c r="E611" s="1"/>
      <c r="F611" s="1"/>
      <c r="G611" s="1"/>
      <c r="H611" s="69"/>
      <c r="I611" s="1"/>
      <c r="J611" s="1"/>
      <c r="K611" s="1"/>
      <c r="L611" s="1"/>
      <c r="M611" s="1"/>
      <c r="N611" s="1"/>
      <c r="O611" s="1"/>
      <c r="P611" s="1"/>
      <c r="Q611" s="1"/>
      <c r="R611" s="1"/>
      <c r="S611" s="1"/>
      <c r="T611" s="1"/>
      <c r="U611" s="1"/>
      <c r="V611" s="1"/>
      <c r="W611" s="1"/>
      <c r="X611" s="84"/>
      <c r="Y611" s="84" t="str" cm="1">
        <f t="array" ref="Y611">CalculerNouvelleDate(I611,X611)</f>
        <v/>
      </c>
      <c r="Z611" s="84" t="str" cm="1">
        <f t="array" ref="Z611">CalculerNouvelleDate(J611,Y611)</f>
        <v/>
      </c>
      <c r="AA611" s="84" t="str" cm="1">
        <f t="array" ref="AA611">CalculerNouvelleDate(K611,Z611)</f>
        <v/>
      </c>
      <c r="AB611" s="84" t="str" cm="1">
        <f t="array" ref="AB611">CalculerNouvelleDate(L611,AA611)</f>
        <v/>
      </c>
      <c r="AC611" s="84" t="str" cm="1">
        <f t="array" ref="AC611">CalculerNouvelleDate(M611,AB611)</f>
        <v/>
      </c>
      <c r="AD611" s="84" t="str" cm="1">
        <f t="array" ref="AD611">CalculerNouvelleDate(N611,AC611)</f>
        <v/>
      </c>
      <c r="AE611" s="84" t="str" cm="1">
        <f t="array" ref="AE611">CalculerNouvelleDate(O611,AD611)</f>
        <v/>
      </c>
      <c r="AF611" s="84" t="str" cm="1">
        <f t="array" ref="AF611">CalculerNouvelleDate(P611,AE611)</f>
        <v/>
      </c>
      <c r="AG611" s="84" t="str" cm="1">
        <f t="array" ref="AG611">CalculerNouvelleDate(Q611,AF611)</f>
        <v/>
      </c>
      <c r="AH611" s="84" t="str" cm="1">
        <f t="array" ref="AH611">CalculerNouvelleDate(R611,AG611)</f>
        <v/>
      </c>
      <c r="AI611" s="84" t="str" cm="1">
        <f t="array" ref="AI611">CalculerNouvelleDate(S611,AH611)</f>
        <v/>
      </c>
      <c r="AJ611" s="84" t="str" cm="1">
        <f t="array" ref="AJ611">CalculerNouvelleDate(T611,AI611)</f>
        <v/>
      </c>
      <c r="AK611" s="84" t="str" cm="1">
        <f t="array" ref="AK611">CalculerNouvelleDate(U611,AJ611)</f>
        <v/>
      </c>
      <c r="AL611" s="84" t="str" cm="1">
        <f t="array" ref="AL611">CalculerNouvelleDate(V611,AK611)</f>
        <v/>
      </c>
      <c r="AM611" s="1"/>
      <c r="AN611" s="1"/>
      <c r="AO611" s="1"/>
      <c r="AP611" s="1"/>
      <c r="AQ611" s="1"/>
      <c r="AR611" s="1"/>
      <c r="AS611" s="1"/>
      <c r="AT611" s="1"/>
      <c r="AU611" s="1"/>
      <c r="AV611" s="1"/>
      <c r="AW611" s="1"/>
      <c r="AX611" s="1"/>
      <c r="AY611" s="1"/>
      <c r="AZ611" s="1"/>
      <c r="BA611" s="1"/>
    </row>
    <row r="612" spans="1:53" x14ac:dyDescent="0.3">
      <c r="A612" s="1"/>
      <c r="B612" s="1"/>
      <c r="C612" s="1"/>
      <c r="D612" s="1"/>
      <c r="E612" s="1"/>
      <c r="F612" s="1"/>
      <c r="G612" s="1"/>
      <c r="H612" s="69"/>
      <c r="I612" s="1"/>
      <c r="J612" s="1"/>
      <c r="K612" s="1"/>
      <c r="L612" s="1"/>
      <c r="M612" s="1"/>
      <c r="N612" s="1"/>
      <c r="O612" s="1"/>
      <c r="P612" s="1"/>
      <c r="Q612" s="1"/>
      <c r="R612" s="1"/>
      <c r="S612" s="1"/>
      <c r="T612" s="1"/>
      <c r="U612" s="1"/>
      <c r="V612" s="1"/>
      <c r="W612" s="1"/>
      <c r="X612" s="84"/>
      <c r="Y612" s="84" t="str" cm="1">
        <f t="array" ref="Y612">CalculerNouvelleDate(I612,X612)</f>
        <v/>
      </c>
      <c r="Z612" s="84" t="str" cm="1">
        <f t="array" ref="Z612">CalculerNouvelleDate(J612,Y612)</f>
        <v/>
      </c>
      <c r="AA612" s="84" t="str" cm="1">
        <f t="array" ref="AA612">CalculerNouvelleDate(K612,Z612)</f>
        <v/>
      </c>
      <c r="AB612" s="84" t="str" cm="1">
        <f t="array" ref="AB612">CalculerNouvelleDate(L612,AA612)</f>
        <v/>
      </c>
      <c r="AC612" s="84" t="str" cm="1">
        <f t="array" ref="AC612">CalculerNouvelleDate(M612,AB612)</f>
        <v/>
      </c>
      <c r="AD612" s="84" t="str" cm="1">
        <f t="array" ref="AD612">CalculerNouvelleDate(N612,AC612)</f>
        <v/>
      </c>
      <c r="AE612" s="84" t="str" cm="1">
        <f t="array" ref="AE612">CalculerNouvelleDate(O612,AD612)</f>
        <v/>
      </c>
      <c r="AF612" s="84" t="str" cm="1">
        <f t="array" ref="AF612">CalculerNouvelleDate(P612,AE612)</f>
        <v/>
      </c>
      <c r="AG612" s="84" t="str" cm="1">
        <f t="array" ref="AG612">CalculerNouvelleDate(Q612,AF612)</f>
        <v/>
      </c>
      <c r="AH612" s="84" t="str" cm="1">
        <f t="array" ref="AH612">CalculerNouvelleDate(R612,AG612)</f>
        <v/>
      </c>
      <c r="AI612" s="84" t="str" cm="1">
        <f t="array" ref="AI612">CalculerNouvelleDate(S612,AH612)</f>
        <v/>
      </c>
      <c r="AJ612" s="84" t="str" cm="1">
        <f t="array" ref="AJ612">CalculerNouvelleDate(T612,AI612)</f>
        <v/>
      </c>
      <c r="AK612" s="84" t="str" cm="1">
        <f t="array" ref="AK612">CalculerNouvelleDate(U612,AJ612)</f>
        <v/>
      </c>
      <c r="AL612" s="84" t="str" cm="1">
        <f t="array" ref="AL612">CalculerNouvelleDate(V612,AK612)</f>
        <v/>
      </c>
      <c r="AM612" s="1"/>
      <c r="AN612" s="1"/>
      <c r="AO612" s="1"/>
      <c r="AP612" s="1"/>
      <c r="AQ612" s="1"/>
      <c r="AR612" s="1"/>
      <c r="AS612" s="1"/>
      <c r="AT612" s="1"/>
      <c r="AU612" s="1"/>
      <c r="AV612" s="1"/>
      <c r="AW612" s="1"/>
      <c r="AX612" s="1"/>
      <c r="AY612" s="1"/>
      <c r="AZ612" s="1"/>
      <c r="BA612" s="1"/>
    </row>
    <row r="613" spans="1:53" x14ac:dyDescent="0.3">
      <c r="A613" s="1"/>
      <c r="B613" s="1"/>
      <c r="C613" s="1"/>
      <c r="D613" s="1"/>
      <c r="E613" s="1"/>
      <c r="F613" s="1"/>
      <c r="G613" s="1"/>
      <c r="H613" s="69"/>
      <c r="I613" s="1"/>
      <c r="J613" s="1"/>
      <c r="K613" s="1"/>
      <c r="L613" s="1"/>
      <c r="M613" s="1"/>
      <c r="N613" s="1"/>
      <c r="O613" s="1"/>
      <c r="P613" s="1"/>
      <c r="Q613" s="1"/>
      <c r="R613" s="1"/>
      <c r="S613" s="1"/>
      <c r="T613" s="1"/>
      <c r="U613" s="1"/>
      <c r="V613" s="1"/>
      <c r="W613" s="1"/>
      <c r="X613" s="84"/>
      <c r="Y613" s="84" t="str" cm="1">
        <f t="array" ref="Y613">CalculerNouvelleDate(I613,X613)</f>
        <v/>
      </c>
      <c r="Z613" s="84" t="str" cm="1">
        <f t="array" ref="Z613">CalculerNouvelleDate(J613,Y613)</f>
        <v/>
      </c>
      <c r="AA613" s="84" t="str" cm="1">
        <f t="array" ref="AA613">CalculerNouvelleDate(K613,Z613)</f>
        <v/>
      </c>
      <c r="AB613" s="84" t="str" cm="1">
        <f t="array" ref="AB613">CalculerNouvelleDate(L613,AA613)</f>
        <v/>
      </c>
      <c r="AC613" s="84" t="str" cm="1">
        <f t="array" ref="AC613">CalculerNouvelleDate(M613,AB613)</f>
        <v/>
      </c>
      <c r="AD613" s="84" t="str" cm="1">
        <f t="array" ref="AD613">CalculerNouvelleDate(N613,AC613)</f>
        <v/>
      </c>
      <c r="AE613" s="84" t="str" cm="1">
        <f t="array" ref="AE613">CalculerNouvelleDate(O613,AD613)</f>
        <v/>
      </c>
      <c r="AF613" s="84" t="str" cm="1">
        <f t="array" ref="AF613">CalculerNouvelleDate(P613,AE613)</f>
        <v/>
      </c>
      <c r="AG613" s="84" t="str" cm="1">
        <f t="array" ref="AG613">CalculerNouvelleDate(Q613,AF613)</f>
        <v/>
      </c>
      <c r="AH613" s="84" t="str" cm="1">
        <f t="array" ref="AH613">CalculerNouvelleDate(R613,AG613)</f>
        <v/>
      </c>
      <c r="AI613" s="84" t="str" cm="1">
        <f t="array" ref="AI613">CalculerNouvelleDate(S613,AH613)</f>
        <v/>
      </c>
      <c r="AJ613" s="84" t="str" cm="1">
        <f t="array" ref="AJ613">CalculerNouvelleDate(T613,AI613)</f>
        <v/>
      </c>
      <c r="AK613" s="84" t="str" cm="1">
        <f t="array" ref="AK613">CalculerNouvelleDate(U613,AJ613)</f>
        <v/>
      </c>
      <c r="AL613" s="84" t="str" cm="1">
        <f t="array" ref="AL613">CalculerNouvelleDate(V613,AK613)</f>
        <v/>
      </c>
      <c r="AM613" s="1"/>
      <c r="AN613" s="1"/>
      <c r="AO613" s="1"/>
      <c r="AP613" s="1"/>
      <c r="AQ613" s="1"/>
      <c r="AR613" s="1"/>
      <c r="AS613" s="1"/>
      <c r="AT613" s="1"/>
      <c r="AU613" s="1"/>
      <c r="AV613" s="1"/>
      <c r="AW613" s="1"/>
      <c r="AX613" s="1"/>
      <c r="AY613" s="1"/>
      <c r="AZ613" s="1"/>
      <c r="BA613" s="1"/>
    </row>
    <row r="614" spans="1:53" x14ac:dyDescent="0.3">
      <c r="A614" s="1"/>
      <c r="B614" s="1"/>
      <c r="C614" s="1"/>
      <c r="D614" s="1"/>
      <c r="E614" s="1"/>
      <c r="F614" s="1"/>
      <c r="G614" s="1"/>
      <c r="H614" s="69"/>
      <c r="I614" s="1"/>
      <c r="J614" s="1"/>
      <c r="K614" s="1"/>
      <c r="L614" s="1"/>
      <c r="M614" s="1"/>
      <c r="N614" s="1"/>
      <c r="O614" s="1"/>
      <c r="P614" s="1"/>
      <c r="Q614" s="1"/>
      <c r="R614" s="1"/>
      <c r="S614" s="1"/>
      <c r="T614" s="1"/>
      <c r="U614" s="1"/>
      <c r="V614" s="1"/>
      <c r="W614" s="1"/>
      <c r="X614" s="84"/>
      <c r="Y614" s="84" t="str" cm="1">
        <f t="array" ref="Y614">CalculerNouvelleDate(I614,X614)</f>
        <v/>
      </c>
      <c r="Z614" s="84" t="str" cm="1">
        <f t="array" ref="Z614">CalculerNouvelleDate(J614,Y614)</f>
        <v/>
      </c>
      <c r="AA614" s="84" t="str" cm="1">
        <f t="array" ref="AA614">CalculerNouvelleDate(K614,Z614)</f>
        <v/>
      </c>
      <c r="AB614" s="84" t="str" cm="1">
        <f t="array" ref="AB614">CalculerNouvelleDate(L614,AA614)</f>
        <v/>
      </c>
      <c r="AC614" s="84" t="str" cm="1">
        <f t="array" ref="AC614">CalculerNouvelleDate(M614,AB614)</f>
        <v/>
      </c>
      <c r="AD614" s="84" t="str" cm="1">
        <f t="array" ref="AD614">CalculerNouvelleDate(N614,AC614)</f>
        <v/>
      </c>
      <c r="AE614" s="84" t="str" cm="1">
        <f t="array" ref="AE614">CalculerNouvelleDate(O614,AD614)</f>
        <v/>
      </c>
      <c r="AF614" s="84" t="str" cm="1">
        <f t="array" ref="AF614">CalculerNouvelleDate(P614,AE614)</f>
        <v/>
      </c>
      <c r="AG614" s="84" t="str" cm="1">
        <f t="array" ref="AG614">CalculerNouvelleDate(Q614,AF614)</f>
        <v/>
      </c>
      <c r="AH614" s="84" t="str" cm="1">
        <f t="array" ref="AH614">CalculerNouvelleDate(R614,AG614)</f>
        <v/>
      </c>
      <c r="AI614" s="84" t="str" cm="1">
        <f t="array" ref="AI614">CalculerNouvelleDate(S614,AH614)</f>
        <v/>
      </c>
      <c r="AJ614" s="84" t="str" cm="1">
        <f t="array" ref="AJ614">CalculerNouvelleDate(T614,AI614)</f>
        <v/>
      </c>
      <c r="AK614" s="84" t="str" cm="1">
        <f t="array" ref="AK614">CalculerNouvelleDate(U614,AJ614)</f>
        <v/>
      </c>
      <c r="AL614" s="84" t="str" cm="1">
        <f t="array" ref="AL614">CalculerNouvelleDate(V614,AK614)</f>
        <v/>
      </c>
      <c r="AM614" s="1"/>
      <c r="AN614" s="1"/>
      <c r="AO614" s="1"/>
      <c r="AP614" s="1"/>
      <c r="AQ614" s="1"/>
      <c r="AR614" s="1"/>
      <c r="AS614" s="1"/>
      <c r="AT614" s="1"/>
      <c r="AU614" s="1"/>
      <c r="AV614" s="1"/>
      <c r="AW614" s="1"/>
      <c r="AX614" s="1"/>
      <c r="AY614" s="1"/>
      <c r="AZ614" s="1"/>
      <c r="BA614" s="1"/>
    </row>
    <row r="615" spans="1:53" x14ac:dyDescent="0.3">
      <c r="A615" s="1"/>
      <c r="B615" s="1"/>
      <c r="C615" s="1"/>
      <c r="D615" s="1"/>
      <c r="E615" s="1"/>
      <c r="F615" s="1"/>
      <c r="G615" s="1"/>
      <c r="H615" s="69"/>
      <c r="I615" s="1"/>
      <c r="J615" s="1"/>
      <c r="K615" s="1"/>
      <c r="L615" s="1"/>
      <c r="M615" s="1"/>
      <c r="N615" s="1"/>
      <c r="O615" s="1"/>
      <c r="P615" s="1"/>
      <c r="Q615" s="1"/>
      <c r="R615" s="1"/>
      <c r="S615" s="1"/>
      <c r="T615" s="1"/>
      <c r="U615" s="1"/>
      <c r="V615" s="1"/>
      <c r="W615" s="1"/>
      <c r="X615" s="84"/>
      <c r="Y615" s="84" t="str" cm="1">
        <f t="array" ref="Y615">CalculerNouvelleDate(I615,X615)</f>
        <v/>
      </c>
      <c r="Z615" s="84" t="str" cm="1">
        <f t="array" ref="Z615">CalculerNouvelleDate(J615,Y615)</f>
        <v/>
      </c>
      <c r="AA615" s="84" t="str" cm="1">
        <f t="array" ref="AA615">CalculerNouvelleDate(K615,Z615)</f>
        <v/>
      </c>
      <c r="AB615" s="84" t="str" cm="1">
        <f t="array" ref="AB615">CalculerNouvelleDate(L615,AA615)</f>
        <v/>
      </c>
      <c r="AC615" s="84" t="str" cm="1">
        <f t="array" ref="AC615">CalculerNouvelleDate(M615,AB615)</f>
        <v/>
      </c>
      <c r="AD615" s="84" t="str" cm="1">
        <f t="array" ref="AD615">CalculerNouvelleDate(N615,AC615)</f>
        <v/>
      </c>
      <c r="AE615" s="84" t="str" cm="1">
        <f t="array" ref="AE615">CalculerNouvelleDate(O615,AD615)</f>
        <v/>
      </c>
      <c r="AF615" s="84" t="str" cm="1">
        <f t="array" ref="AF615">CalculerNouvelleDate(P615,AE615)</f>
        <v/>
      </c>
      <c r="AG615" s="84" t="str" cm="1">
        <f t="array" ref="AG615">CalculerNouvelleDate(Q615,AF615)</f>
        <v/>
      </c>
      <c r="AH615" s="84" t="str" cm="1">
        <f t="array" ref="AH615">CalculerNouvelleDate(R615,AG615)</f>
        <v/>
      </c>
      <c r="AI615" s="84" t="str" cm="1">
        <f t="array" ref="AI615">CalculerNouvelleDate(S615,AH615)</f>
        <v/>
      </c>
      <c r="AJ615" s="84" t="str" cm="1">
        <f t="array" ref="AJ615">CalculerNouvelleDate(T615,AI615)</f>
        <v/>
      </c>
      <c r="AK615" s="84" t="str" cm="1">
        <f t="array" ref="AK615">CalculerNouvelleDate(U615,AJ615)</f>
        <v/>
      </c>
      <c r="AL615" s="84" t="str" cm="1">
        <f t="array" ref="AL615">CalculerNouvelleDate(V615,AK615)</f>
        <v/>
      </c>
      <c r="AM615" s="1"/>
      <c r="AN615" s="1"/>
      <c r="AO615" s="1"/>
      <c r="AP615" s="1"/>
      <c r="AQ615" s="1"/>
      <c r="AR615" s="1"/>
      <c r="AS615" s="1"/>
      <c r="AT615" s="1"/>
      <c r="AU615" s="1"/>
      <c r="AV615" s="1"/>
      <c r="AW615" s="1"/>
      <c r="AX615" s="1"/>
      <c r="AY615" s="1"/>
      <c r="AZ615" s="1"/>
      <c r="BA615" s="1"/>
    </row>
    <row r="616" spans="1:53" x14ac:dyDescent="0.3">
      <c r="A616" s="1"/>
      <c r="B616" s="1"/>
      <c r="C616" s="1"/>
      <c r="D616" s="1"/>
      <c r="E616" s="1"/>
      <c r="F616" s="1"/>
      <c r="G616" s="1"/>
      <c r="H616" s="69"/>
      <c r="I616" s="1"/>
      <c r="J616" s="1"/>
      <c r="K616" s="1"/>
      <c r="L616" s="1"/>
      <c r="M616" s="1"/>
      <c r="N616" s="1"/>
      <c r="O616" s="1"/>
      <c r="P616" s="1"/>
      <c r="Q616" s="1"/>
      <c r="R616" s="1"/>
      <c r="S616" s="1"/>
      <c r="T616" s="1"/>
      <c r="U616" s="1"/>
      <c r="V616" s="1"/>
      <c r="W616" s="1"/>
      <c r="X616" s="84"/>
      <c r="Y616" s="84" t="str" cm="1">
        <f t="array" ref="Y616">CalculerNouvelleDate(I616,X616)</f>
        <v/>
      </c>
      <c r="Z616" s="84" t="str" cm="1">
        <f t="array" ref="Z616">CalculerNouvelleDate(J616,Y616)</f>
        <v/>
      </c>
      <c r="AA616" s="84" t="str" cm="1">
        <f t="array" ref="AA616">CalculerNouvelleDate(K616,Z616)</f>
        <v/>
      </c>
      <c r="AB616" s="84" t="str" cm="1">
        <f t="array" ref="AB616">CalculerNouvelleDate(L616,AA616)</f>
        <v/>
      </c>
      <c r="AC616" s="84" t="str" cm="1">
        <f t="array" ref="AC616">CalculerNouvelleDate(M616,AB616)</f>
        <v/>
      </c>
      <c r="AD616" s="84" t="str" cm="1">
        <f t="array" ref="AD616">CalculerNouvelleDate(N616,AC616)</f>
        <v/>
      </c>
      <c r="AE616" s="84" t="str" cm="1">
        <f t="array" ref="AE616">CalculerNouvelleDate(O616,AD616)</f>
        <v/>
      </c>
      <c r="AF616" s="84" t="str" cm="1">
        <f t="array" ref="AF616">CalculerNouvelleDate(P616,AE616)</f>
        <v/>
      </c>
      <c r="AG616" s="84" t="str" cm="1">
        <f t="array" ref="AG616">CalculerNouvelleDate(Q616,AF616)</f>
        <v/>
      </c>
      <c r="AH616" s="84" t="str" cm="1">
        <f t="array" ref="AH616">CalculerNouvelleDate(R616,AG616)</f>
        <v/>
      </c>
      <c r="AI616" s="84" t="str" cm="1">
        <f t="array" ref="AI616">CalculerNouvelleDate(S616,AH616)</f>
        <v/>
      </c>
      <c r="AJ616" s="84" t="str" cm="1">
        <f t="array" ref="AJ616">CalculerNouvelleDate(T616,AI616)</f>
        <v/>
      </c>
      <c r="AK616" s="84" t="str" cm="1">
        <f t="array" ref="AK616">CalculerNouvelleDate(U616,AJ616)</f>
        <v/>
      </c>
      <c r="AL616" s="84" t="str" cm="1">
        <f t="array" ref="AL616">CalculerNouvelleDate(V616,AK616)</f>
        <v/>
      </c>
      <c r="AM616" s="1"/>
      <c r="AN616" s="1"/>
      <c r="AO616" s="1"/>
      <c r="AP616" s="1"/>
      <c r="AQ616" s="1"/>
      <c r="AR616" s="1"/>
      <c r="AS616" s="1"/>
      <c r="AT616" s="1"/>
      <c r="AU616" s="1"/>
      <c r="AV616" s="1"/>
      <c r="AW616" s="1"/>
      <c r="AX616" s="1"/>
      <c r="AY616" s="1"/>
      <c r="AZ616" s="1"/>
      <c r="BA616" s="1"/>
    </row>
    <row r="617" spans="1:53" x14ac:dyDescent="0.3">
      <c r="A617" s="1"/>
      <c r="B617" s="1"/>
      <c r="C617" s="1"/>
      <c r="D617" s="1"/>
      <c r="E617" s="1"/>
      <c r="F617" s="1"/>
      <c r="G617" s="1"/>
      <c r="H617" s="69"/>
      <c r="I617" s="1"/>
      <c r="J617" s="1"/>
      <c r="K617" s="1"/>
      <c r="L617" s="1"/>
      <c r="M617" s="1"/>
      <c r="N617" s="1"/>
      <c r="O617" s="1"/>
      <c r="P617" s="1"/>
      <c r="Q617" s="1"/>
      <c r="R617" s="1"/>
      <c r="S617" s="1"/>
      <c r="T617" s="1"/>
      <c r="U617" s="1"/>
      <c r="V617" s="1"/>
      <c r="W617" s="1"/>
      <c r="X617" s="84"/>
      <c r="Y617" s="84" t="str" cm="1">
        <f t="array" ref="Y617">CalculerNouvelleDate(I617,X617)</f>
        <v/>
      </c>
      <c r="Z617" s="84" t="str" cm="1">
        <f t="array" ref="Z617">CalculerNouvelleDate(J617,Y617)</f>
        <v/>
      </c>
      <c r="AA617" s="84" t="str" cm="1">
        <f t="array" ref="AA617">CalculerNouvelleDate(K617,Z617)</f>
        <v/>
      </c>
      <c r="AB617" s="84" t="str" cm="1">
        <f t="array" ref="AB617">CalculerNouvelleDate(L617,AA617)</f>
        <v/>
      </c>
      <c r="AC617" s="84" t="str" cm="1">
        <f t="array" ref="AC617">CalculerNouvelleDate(M617,AB617)</f>
        <v/>
      </c>
      <c r="AD617" s="84" t="str" cm="1">
        <f t="array" ref="AD617">CalculerNouvelleDate(N617,AC617)</f>
        <v/>
      </c>
      <c r="AE617" s="84" t="str" cm="1">
        <f t="array" ref="AE617">CalculerNouvelleDate(O617,AD617)</f>
        <v/>
      </c>
      <c r="AF617" s="84" t="str" cm="1">
        <f t="array" ref="AF617">CalculerNouvelleDate(P617,AE617)</f>
        <v/>
      </c>
      <c r="AG617" s="84" t="str" cm="1">
        <f t="array" ref="AG617">CalculerNouvelleDate(Q617,AF617)</f>
        <v/>
      </c>
      <c r="AH617" s="84" t="str" cm="1">
        <f t="array" ref="AH617">CalculerNouvelleDate(R617,AG617)</f>
        <v/>
      </c>
      <c r="AI617" s="84" t="str" cm="1">
        <f t="array" ref="AI617">CalculerNouvelleDate(S617,AH617)</f>
        <v/>
      </c>
      <c r="AJ617" s="84" t="str" cm="1">
        <f t="array" ref="AJ617">CalculerNouvelleDate(T617,AI617)</f>
        <v/>
      </c>
      <c r="AK617" s="84" t="str" cm="1">
        <f t="array" ref="AK617">CalculerNouvelleDate(U617,AJ617)</f>
        <v/>
      </c>
      <c r="AL617" s="84" t="str" cm="1">
        <f t="array" ref="AL617">CalculerNouvelleDate(V617,AK617)</f>
        <v/>
      </c>
      <c r="AM617" s="1"/>
      <c r="AN617" s="1"/>
      <c r="AO617" s="1"/>
      <c r="AP617" s="1"/>
      <c r="AQ617" s="1"/>
      <c r="AR617" s="1"/>
      <c r="AS617" s="1"/>
      <c r="AT617" s="1"/>
      <c r="AU617" s="1"/>
      <c r="AV617" s="1"/>
      <c r="AW617" s="1"/>
      <c r="AX617" s="1"/>
      <c r="AY617" s="1"/>
      <c r="AZ617" s="1"/>
      <c r="BA617" s="1"/>
    </row>
    <row r="618" spans="1:53" x14ac:dyDescent="0.3">
      <c r="A618" s="1"/>
      <c r="B618" s="1"/>
      <c r="C618" s="1"/>
      <c r="D618" s="1"/>
      <c r="E618" s="1"/>
      <c r="F618" s="1"/>
      <c r="G618" s="1"/>
      <c r="H618" s="69"/>
      <c r="I618" s="1"/>
      <c r="J618" s="1"/>
      <c r="K618" s="1"/>
      <c r="L618" s="1"/>
      <c r="M618" s="1"/>
      <c r="N618" s="1"/>
      <c r="O618" s="1"/>
      <c r="P618" s="1"/>
      <c r="Q618" s="1"/>
      <c r="R618" s="1"/>
      <c r="S618" s="1"/>
      <c r="T618" s="1"/>
      <c r="U618" s="1"/>
      <c r="V618" s="1"/>
      <c r="W618" s="1"/>
      <c r="X618" s="84"/>
      <c r="Y618" s="84" t="str" cm="1">
        <f t="array" ref="Y618">CalculerNouvelleDate(I618,X618)</f>
        <v/>
      </c>
      <c r="Z618" s="84" t="str" cm="1">
        <f t="array" ref="Z618">CalculerNouvelleDate(J618,Y618)</f>
        <v/>
      </c>
      <c r="AA618" s="84" t="str" cm="1">
        <f t="array" ref="AA618">CalculerNouvelleDate(K618,Z618)</f>
        <v/>
      </c>
      <c r="AB618" s="84" t="str" cm="1">
        <f t="array" ref="AB618">CalculerNouvelleDate(L618,AA618)</f>
        <v/>
      </c>
      <c r="AC618" s="84" t="str" cm="1">
        <f t="array" ref="AC618">CalculerNouvelleDate(M618,AB618)</f>
        <v/>
      </c>
      <c r="AD618" s="84" t="str" cm="1">
        <f t="array" ref="AD618">CalculerNouvelleDate(N618,AC618)</f>
        <v/>
      </c>
      <c r="AE618" s="84" t="str" cm="1">
        <f t="array" ref="AE618">CalculerNouvelleDate(O618,AD618)</f>
        <v/>
      </c>
      <c r="AF618" s="84" t="str" cm="1">
        <f t="array" ref="AF618">CalculerNouvelleDate(P618,AE618)</f>
        <v/>
      </c>
      <c r="AG618" s="84" t="str" cm="1">
        <f t="array" ref="AG618">CalculerNouvelleDate(Q618,AF618)</f>
        <v/>
      </c>
      <c r="AH618" s="84" t="str" cm="1">
        <f t="array" ref="AH618">CalculerNouvelleDate(R618,AG618)</f>
        <v/>
      </c>
      <c r="AI618" s="84" t="str" cm="1">
        <f t="array" ref="AI618">CalculerNouvelleDate(S618,AH618)</f>
        <v/>
      </c>
      <c r="AJ618" s="84" t="str" cm="1">
        <f t="array" ref="AJ618">CalculerNouvelleDate(T618,AI618)</f>
        <v/>
      </c>
      <c r="AK618" s="84" t="str" cm="1">
        <f t="array" ref="AK618">CalculerNouvelleDate(U618,AJ618)</f>
        <v/>
      </c>
      <c r="AL618" s="84" t="str" cm="1">
        <f t="array" ref="AL618">CalculerNouvelleDate(V618,AK618)</f>
        <v/>
      </c>
      <c r="AM618" s="1"/>
      <c r="AN618" s="1"/>
      <c r="AO618" s="1"/>
      <c r="AP618" s="1"/>
      <c r="AQ618" s="1"/>
      <c r="AR618" s="1"/>
      <c r="AS618" s="1"/>
      <c r="AT618" s="1"/>
      <c r="AU618" s="1"/>
      <c r="AV618" s="1"/>
      <c r="AW618" s="1"/>
      <c r="AX618" s="1"/>
      <c r="AY618" s="1"/>
      <c r="AZ618" s="1"/>
      <c r="BA618" s="1"/>
    </row>
    <row r="619" spans="1:53" x14ac:dyDescent="0.3">
      <c r="A619" s="1"/>
      <c r="B619" s="1"/>
      <c r="C619" s="1"/>
      <c r="D619" s="1"/>
      <c r="E619" s="1"/>
      <c r="F619" s="1"/>
      <c r="G619" s="1"/>
      <c r="H619" s="69"/>
      <c r="I619" s="1"/>
      <c r="J619" s="1"/>
      <c r="K619" s="1"/>
      <c r="L619" s="1"/>
      <c r="M619" s="1"/>
      <c r="N619" s="1"/>
      <c r="O619" s="1"/>
      <c r="P619" s="1"/>
      <c r="Q619" s="1"/>
      <c r="R619" s="1"/>
      <c r="S619" s="1"/>
      <c r="T619" s="1"/>
      <c r="U619" s="1"/>
      <c r="V619" s="1"/>
      <c r="W619" s="1"/>
      <c r="X619" s="84"/>
      <c r="Y619" s="84" t="str" cm="1">
        <f t="array" ref="Y619">CalculerNouvelleDate(I619,X619)</f>
        <v/>
      </c>
      <c r="Z619" s="84" t="str" cm="1">
        <f t="array" ref="Z619">CalculerNouvelleDate(J619,Y619)</f>
        <v/>
      </c>
      <c r="AA619" s="84" t="str" cm="1">
        <f t="array" ref="AA619">CalculerNouvelleDate(K619,Z619)</f>
        <v/>
      </c>
      <c r="AB619" s="84" t="str" cm="1">
        <f t="array" ref="AB619">CalculerNouvelleDate(L619,AA619)</f>
        <v/>
      </c>
      <c r="AC619" s="84" t="str" cm="1">
        <f t="array" ref="AC619">CalculerNouvelleDate(M619,AB619)</f>
        <v/>
      </c>
      <c r="AD619" s="84" t="str" cm="1">
        <f t="array" ref="AD619">CalculerNouvelleDate(N619,AC619)</f>
        <v/>
      </c>
      <c r="AE619" s="84" t="str" cm="1">
        <f t="array" ref="AE619">CalculerNouvelleDate(O619,AD619)</f>
        <v/>
      </c>
      <c r="AF619" s="84" t="str" cm="1">
        <f t="array" ref="AF619">CalculerNouvelleDate(P619,AE619)</f>
        <v/>
      </c>
      <c r="AG619" s="84" t="str" cm="1">
        <f t="array" ref="AG619">CalculerNouvelleDate(Q619,AF619)</f>
        <v/>
      </c>
      <c r="AH619" s="84" t="str" cm="1">
        <f t="array" ref="AH619">CalculerNouvelleDate(R619,AG619)</f>
        <v/>
      </c>
      <c r="AI619" s="84" t="str" cm="1">
        <f t="array" ref="AI619">CalculerNouvelleDate(S619,AH619)</f>
        <v/>
      </c>
      <c r="AJ619" s="84" t="str" cm="1">
        <f t="array" ref="AJ619">CalculerNouvelleDate(T619,AI619)</f>
        <v/>
      </c>
      <c r="AK619" s="84" t="str" cm="1">
        <f t="array" ref="AK619">CalculerNouvelleDate(U619,AJ619)</f>
        <v/>
      </c>
      <c r="AL619" s="84" t="str" cm="1">
        <f t="array" ref="AL619">CalculerNouvelleDate(V619,AK619)</f>
        <v/>
      </c>
      <c r="AM619" s="1"/>
      <c r="AN619" s="1"/>
      <c r="AO619" s="1"/>
      <c r="AP619" s="1"/>
      <c r="AQ619" s="1"/>
      <c r="AR619" s="1"/>
      <c r="AS619" s="1"/>
      <c r="AT619" s="1"/>
      <c r="AU619" s="1"/>
      <c r="AV619" s="1"/>
      <c r="AW619" s="1"/>
      <c r="AX619" s="1"/>
      <c r="AY619" s="1"/>
      <c r="AZ619" s="1"/>
      <c r="BA619" s="1"/>
    </row>
    <row r="620" spans="1:53" x14ac:dyDescent="0.3">
      <c r="A620" s="1"/>
      <c r="B620" s="1"/>
      <c r="C620" s="1"/>
      <c r="D620" s="1"/>
      <c r="E620" s="1"/>
      <c r="F620" s="1"/>
      <c r="G620" s="1"/>
      <c r="H620" s="69"/>
      <c r="I620" s="1"/>
      <c r="J620" s="1"/>
      <c r="K620" s="1"/>
      <c r="L620" s="1"/>
      <c r="M620" s="1"/>
      <c r="N620" s="1"/>
      <c r="O620" s="1"/>
      <c r="P620" s="1"/>
      <c r="Q620" s="1"/>
      <c r="R620" s="1"/>
      <c r="S620" s="1"/>
      <c r="T620" s="1"/>
      <c r="U620" s="1"/>
      <c r="V620" s="1"/>
      <c r="W620" s="1"/>
      <c r="X620" s="84"/>
      <c r="Y620" s="84" t="str" cm="1">
        <f t="array" ref="Y620">CalculerNouvelleDate(I620,X620)</f>
        <v/>
      </c>
      <c r="Z620" s="84" t="str" cm="1">
        <f t="array" ref="Z620">CalculerNouvelleDate(J620,Y620)</f>
        <v/>
      </c>
      <c r="AA620" s="84" t="str" cm="1">
        <f t="array" ref="AA620">CalculerNouvelleDate(K620,Z620)</f>
        <v/>
      </c>
      <c r="AB620" s="84" t="str" cm="1">
        <f t="array" ref="AB620">CalculerNouvelleDate(L620,AA620)</f>
        <v/>
      </c>
      <c r="AC620" s="84" t="str" cm="1">
        <f t="array" ref="AC620">CalculerNouvelleDate(M620,AB620)</f>
        <v/>
      </c>
      <c r="AD620" s="84" t="str" cm="1">
        <f t="array" ref="AD620">CalculerNouvelleDate(N620,AC620)</f>
        <v/>
      </c>
      <c r="AE620" s="84" t="str" cm="1">
        <f t="array" ref="AE620">CalculerNouvelleDate(O620,AD620)</f>
        <v/>
      </c>
      <c r="AF620" s="84" t="str" cm="1">
        <f t="array" ref="AF620">CalculerNouvelleDate(P620,AE620)</f>
        <v/>
      </c>
      <c r="AG620" s="84" t="str" cm="1">
        <f t="array" ref="AG620">CalculerNouvelleDate(Q620,AF620)</f>
        <v/>
      </c>
      <c r="AH620" s="84" t="str" cm="1">
        <f t="array" ref="AH620">CalculerNouvelleDate(R620,AG620)</f>
        <v/>
      </c>
      <c r="AI620" s="84" t="str" cm="1">
        <f t="array" ref="AI620">CalculerNouvelleDate(S620,AH620)</f>
        <v/>
      </c>
      <c r="AJ620" s="84" t="str" cm="1">
        <f t="array" ref="AJ620">CalculerNouvelleDate(T620,AI620)</f>
        <v/>
      </c>
      <c r="AK620" s="84" t="str" cm="1">
        <f t="array" ref="AK620">CalculerNouvelleDate(U620,AJ620)</f>
        <v/>
      </c>
      <c r="AL620" s="84" t="str" cm="1">
        <f t="array" ref="AL620">CalculerNouvelleDate(V620,AK620)</f>
        <v/>
      </c>
      <c r="AM620" s="1"/>
      <c r="AN620" s="1"/>
      <c r="AO620" s="1"/>
      <c r="AP620" s="1"/>
      <c r="AQ620" s="1"/>
      <c r="AR620" s="1"/>
      <c r="AS620" s="1"/>
      <c r="AT620" s="1"/>
      <c r="AU620" s="1"/>
      <c r="AV620" s="1"/>
      <c r="AW620" s="1"/>
      <c r="AX620" s="1"/>
      <c r="AY620" s="1"/>
      <c r="AZ620" s="1"/>
      <c r="BA620" s="1"/>
    </row>
    <row r="621" spans="1:53" x14ac:dyDescent="0.3">
      <c r="A621" s="1"/>
      <c r="B621" s="1"/>
      <c r="C621" s="1"/>
      <c r="D621" s="1"/>
      <c r="E621" s="1"/>
      <c r="F621" s="1"/>
      <c r="G621" s="1"/>
      <c r="H621" s="69"/>
      <c r="I621" s="1"/>
      <c r="J621" s="1"/>
      <c r="K621" s="1"/>
      <c r="L621" s="1"/>
      <c r="M621" s="1"/>
      <c r="N621" s="1"/>
      <c r="O621" s="1"/>
      <c r="P621" s="1"/>
      <c r="Q621" s="1"/>
      <c r="R621" s="1"/>
      <c r="S621" s="1"/>
      <c r="T621" s="1"/>
      <c r="U621" s="1"/>
      <c r="V621" s="1"/>
      <c r="W621" s="1"/>
      <c r="X621" s="84"/>
      <c r="Y621" s="84" t="str" cm="1">
        <f t="array" ref="Y621">CalculerNouvelleDate(I621,X621)</f>
        <v/>
      </c>
      <c r="Z621" s="84" t="str" cm="1">
        <f t="array" ref="Z621">CalculerNouvelleDate(J621,Y621)</f>
        <v/>
      </c>
      <c r="AA621" s="84" t="str" cm="1">
        <f t="array" ref="AA621">CalculerNouvelleDate(K621,Z621)</f>
        <v/>
      </c>
      <c r="AB621" s="84" t="str" cm="1">
        <f t="array" ref="AB621">CalculerNouvelleDate(L621,AA621)</f>
        <v/>
      </c>
      <c r="AC621" s="84" t="str" cm="1">
        <f t="array" ref="AC621">CalculerNouvelleDate(M621,AB621)</f>
        <v/>
      </c>
      <c r="AD621" s="84" t="str" cm="1">
        <f t="array" ref="AD621">CalculerNouvelleDate(N621,AC621)</f>
        <v/>
      </c>
      <c r="AE621" s="84" t="str" cm="1">
        <f t="array" ref="AE621">CalculerNouvelleDate(O621,AD621)</f>
        <v/>
      </c>
      <c r="AF621" s="84" t="str" cm="1">
        <f t="array" ref="AF621">CalculerNouvelleDate(P621,AE621)</f>
        <v/>
      </c>
      <c r="AG621" s="84" t="str" cm="1">
        <f t="array" ref="AG621">CalculerNouvelleDate(Q621,AF621)</f>
        <v/>
      </c>
      <c r="AH621" s="84" t="str" cm="1">
        <f t="array" ref="AH621">CalculerNouvelleDate(R621,AG621)</f>
        <v/>
      </c>
      <c r="AI621" s="84" t="str" cm="1">
        <f t="array" ref="AI621">CalculerNouvelleDate(S621,AH621)</f>
        <v/>
      </c>
      <c r="AJ621" s="84" t="str" cm="1">
        <f t="array" ref="AJ621">CalculerNouvelleDate(T621,AI621)</f>
        <v/>
      </c>
      <c r="AK621" s="84" t="str" cm="1">
        <f t="array" ref="AK621">CalculerNouvelleDate(U621,AJ621)</f>
        <v/>
      </c>
      <c r="AL621" s="84" t="str" cm="1">
        <f t="array" ref="AL621">CalculerNouvelleDate(V621,AK621)</f>
        <v/>
      </c>
      <c r="AM621" s="1"/>
      <c r="AN621" s="1"/>
      <c r="AO621" s="1"/>
      <c r="AP621" s="1"/>
      <c r="AQ621" s="1"/>
      <c r="AR621" s="1"/>
      <c r="AS621" s="1"/>
      <c r="AT621" s="1"/>
      <c r="AU621" s="1"/>
      <c r="AV621" s="1"/>
      <c r="AW621" s="1"/>
      <c r="AX621" s="1"/>
      <c r="AY621" s="1"/>
      <c r="AZ621" s="1"/>
      <c r="BA621" s="1"/>
    </row>
    <row r="622" spans="1:53" x14ac:dyDescent="0.3">
      <c r="A622" s="1"/>
      <c r="B622" s="1"/>
      <c r="C622" s="1"/>
      <c r="D622" s="1"/>
      <c r="E622" s="1"/>
      <c r="F622" s="1"/>
      <c r="G622" s="1"/>
      <c r="H622" s="69"/>
      <c r="I622" s="1"/>
      <c r="J622" s="1"/>
      <c r="K622" s="1"/>
      <c r="L622" s="1"/>
      <c r="M622" s="1"/>
      <c r="N622" s="1"/>
      <c r="O622" s="1"/>
      <c r="P622" s="1"/>
      <c r="Q622" s="1"/>
      <c r="R622" s="1"/>
      <c r="S622" s="1"/>
      <c r="T622" s="1"/>
      <c r="U622" s="1"/>
      <c r="V622" s="1"/>
      <c r="W622" s="1"/>
      <c r="X622" s="84"/>
      <c r="Y622" s="84" t="str" cm="1">
        <f t="array" ref="Y622">CalculerNouvelleDate(I622,X622)</f>
        <v/>
      </c>
      <c r="Z622" s="84" t="str" cm="1">
        <f t="array" ref="Z622">CalculerNouvelleDate(J622,Y622)</f>
        <v/>
      </c>
      <c r="AA622" s="84" t="str" cm="1">
        <f t="array" ref="AA622">CalculerNouvelleDate(K622,Z622)</f>
        <v/>
      </c>
      <c r="AB622" s="84" t="str" cm="1">
        <f t="array" ref="AB622">CalculerNouvelleDate(L622,AA622)</f>
        <v/>
      </c>
      <c r="AC622" s="84" t="str" cm="1">
        <f t="array" ref="AC622">CalculerNouvelleDate(M622,AB622)</f>
        <v/>
      </c>
      <c r="AD622" s="84" t="str" cm="1">
        <f t="array" ref="AD622">CalculerNouvelleDate(N622,AC622)</f>
        <v/>
      </c>
      <c r="AE622" s="84" t="str" cm="1">
        <f t="array" ref="AE622">CalculerNouvelleDate(O622,AD622)</f>
        <v/>
      </c>
      <c r="AF622" s="84" t="str" cm="1">
        <f t="array" ref="AF622">CalculerNouvelleDate(P622,AE622)</f>
        <v/>
      </c>
      <c r="AG622" s="84" t="str" cm="1">
        <f t="array" ref="AG622">CalculerNouvelleDate(Q622,AF622)</f>
        <v/>
      </c>
      <c r="AH622" s="84" t="str" cm="1">
        <f t="array" ref="AH622">CalculerNouvelleDate(R622,AG622)</f>
        <v/>
      </c>
      <c r="AI622" s="84" t="str" cm="1">
        <f t="array" ref="AI622">CalculerNouvelleDate(S622,AH622)</f>
        <v/>
      </c>
      <c r="AJ622" s="84" t="str" cm="1">
        <f t="array" ref="AJ622">CalculerNouvelleDate(T622,AI622)</f>
        <v/>
      </c>
      <c r="AK622" s="84" t="str" cm="1">
        <f t="array" ref="AK622">CalculerNouvelleDate(U622,AJ622)</f>
        <v/>
      </c>
      <c r="AL622" s="84" t="str" cm="1">
        <f t="array" ref="AL622">CalculerNouvelleDate(V622,AK622)</f>
        <v/>
      </c>
      <c r="AM622" s="1"/>
      <c r="AN622" s="1"/>
      <c r="AO622" s="1"/>
      <c r="AP622" s="1"/>
      <c r="AQ622" s="1"/>
      <c r="AR622" s="1"/>
      <c r="AS622" s="1"/>
      <c r="AT622" s="1"/>
      <c r="AU622" s="1"/>
      <c r="AV622" s="1"/>
      <c r="AW622" s="1"/>
      <c r="AX622" s="1"/>
      <c r="AY622" s="1"/>
      <c r="AZ622" s="1"/>
      <c r="BA622" s="1"/>
    </row>
    <row r="623" spans="1:53" x14ac:dyDescent="0.3">
      <c r="A623" s="1"/>
      <c r="B623" s="1"/>
      <c r="C623" s="1"/>
      <c r="D623" s="1"/>
      <c r="E623" s="1"/>
      <c r="F623" s="1"/>
      <c r="G623" s="1"/>
      <c r="H623" s="69"/>
      <c r="I623" s="1"/>
      <c r="J623" s="1"/>
      <c r="K623" s="1"/>
      <c r="L623" s="1"/>
      <c r="M623" s="1"/>
      <c r="N623" s="1"/>
      <c r="O623" s="1"/>
      <c r="P623" s="1"/>
      <c r="Q623" s="1"/>
      <c r="R623" s="1"/>
      <c r="S623" s="1"/>
      <c r="T623" s="1"/>
      <c r="U623" s="1"/>
      <c r="V623" s="1"/>
      <c r="W623" s="1"/>
      <c r="X623" s="84"/>
      <c r="Y623" s="84" t="str" cm="1">
        <f t="array" ref="Y623">CalculerNouvelleDate(I623,X623)</f>
        <v/>
      </c>
      <c r="Z623" s="84" t="str" cm="1">
        <f t="array" ref="Z623">CalculerNouvelleDate(J623,Y623)</f>
        <v/>
      </c>
      <c r="AA623" s="84" t="str" cm="1">
        <f t="array" ref="AA623">CalculerNouvelleDate(K623,Z623)</f>
        <v/>
      </c>
      <c r="AB623" s="84" t="str" cm="1">
        <f t="array" ref="AB623">CalculerNouvelleDate(L623,AA623)</f>
        <v/>
      </c>
      <c r="AC623" s="84" t="str" cm="1">
        <f t="array" ref="AC623">CalculerNouvelleDate(M623,AB623)</f>
        <v/>
      </c>
      <c r="AD623" s="84" t="str" cm="1">
        <f t="array" ref="AD623">CalculerNouvelleDate(N623,AC623)</f>
        <v/>
      </c>
      <c r="AE623" s="84" t="str" cm="1">
        <f t="array" ref="AE623">CalculerNouvelleDate(O623,AD623)</f>
        <v/>
      </c>
      <c r="AF623" s="84" t="str" cm="1">
        <f t="array" ref="AF623">CalculerNouvelleDate(P623,AE623)</f>
        <v/>
      </c>
      <c r="AG623" s="84" t="str" cm="1">
        <f t="array" ref="AG623">CalculerNouvelleDate(Q623,AF623)</f>
        <v/>
      </c>
      <c r="AH623" s="84" t="str" cm="1">
        <f t="array" ref="AH623">CalculerNouvelleDate(R623,AG623)</f>
        <v/>
      </c>
      <c r="AI623" s="84" t="str" cm="1">
        <f t="array" ref="AI623">CalculerNouvelleDate(S623,AH623)</f>
        <v/>
      </c>
      <c r="AJ623" s="84" t="str" cm="1">
        <f t="array" ref="AJ623">CalculerNouvelleDate(T623,AI623)</f>
        <v/>
      </c>
      <c r="AK623" s="84" t="str" cm="1">
        <f t="array" ref="AK623">CalculerNouvelleDate(U623,AJ623)</f>
        <v/>
      </c>
      <c r="AL623" s="84" t="str" cm="1">
        <f t="array" ref="AL623">CalculerNouvelleDate(V623,AK623)</f>
        <v/>
      </c>
      <c r="AM623" s="1"/>
      <c r="AN623" s="1"/>
      <c r="AO623" s="1"/>
      <c r="AP623" s="1"/>
      <c r="AQ623" s="1"/>
      <c r="AR623" s="1"/>
      <c r="AS623" s="1"/>
      <c r="AT623" s="1"/>
      <c r="AU623" s="1"/>
      <c r="AV623" s="1"/>
      <c r="AW623" s="1"/>
      <c r="AX623" s="1"/>
      <c r="AY623" s="1"/>
      <c r="AZ623" s="1"/>
      <c r="BA623" s="1"/>
    </row>
    <row r="624" spans="1:53" x14ac:dyDescent="0.3">
      <c r="A624" s="1"/>
      <c r="B624" s="1"/>
      <c r="C624" s="1"/>
      <c r="D624" s="1"/>
      <c r="E624" s="1"/>
      <c r="F624" s="1"/>
      <c r="G624" s="1"/>
      <c r="H624" s="69"/>
      <c r="I624" s="1"/>
      <c r="J624" s="1"/>
      <c r="K624" s="1"/>
      <c r="L624" s="1"/>
      <c r="M624" s="1"/>
      <c r="N624" s="1"/>
      <c r="O624" s="1"/>
      <c r="P624" s="1"/>
      <c r="Q624" s="1"/>
      <c r="R624" s="1"/>
      <c r="S624" s="1"/>
      <c r="T624" s="1"/>
      <c r="U624" s="1"/>
      <c r="V624" s="1"/>
      <c r="W624" s="1"/>
      <c r="X624" s="84"/>
      <c r="Y624" s="84" t="str" cm="1">
        <f t="array" ref="Y624">CalculerNouvelleDate(I624,X624)</f>
        <v/>
      </c>
      <c r="Z624" s="84" t="str" cm="1">
        <f t="array" ref="Z624">CalculerNouvelleDate(J624,Y624)</f>
        <v/>
      </c>
      <c r="AA624" s="84" t="str" cm="1">
        <f t="array" ref="AA624">CalculerNouvelleDate(K624,Z624)</f>
        <v/>
      </c>
      <c r="AB624" s="84" t="str" cm="1">
        <f t="array" ref="AB624">CalculerNouvelleDate(L624,AA624)</f>
        <v/>
      </c>
      <c r="AC624" s="84" t="str" cm="1">
        <f t="array" ref="AC624">CalculerNouvelleDate(M624,AB624)</f>
        <v/>
      </c>
      <c r="AD624" s="84" t="str" cm="1">
        <f t="array" ref="AD624">CalculerNouvelleDate(N624,AC624)</f>
        <v/>
      </c>
      <c r="AE624" s="84" t="str" cm="1">
        <f t="array" ref="AE624">CalculerNouvelleDate(O624,AD624)</f>
        <v/>
      </c>
      <c r="AF624" s="84" t="str" cm="1">
        <f t="array" ref="AF624">CalculerNouvelleDate(P624,AE624)</f>
        <v/>
      </c>
      <c r="AG624" s="84" t="str" cm="1">
        <f t="array" ref="AG624">CalculerNouvelleDate(Q624,AF624)</f>
        <v/>
      </c>
      <c r="AH624" s="84" t="str" cm="1">
        <f t="array" ref="AH624">CalculerNouvelleDate(R624,AG624)</f>
        <v/>
      </c>
      <c r="AI624" s="84" t="str" cm="1">
        <f t="array" ref="AI624">CalculerNouvelleDate(S624,AH624)</f>
        <v/>
      </c>
      <c r="AJ624" s="84" t="str" cm="1">
        <f t="array" ref="AJ624">CalculerNouvelleDate(T624,AI624)</f>
        <v/>
      </c>
      <c r="AK624" s="84" t="str" cm="1">
        <f t="array" ref="AK624">CalculerNouvelleDate(U624,AJ624)</f>
        <v/>
      </c>
      <c r="AL624" s="84" t="str" cm="1">
        <f t="array" ref="AL624">CalculerNouvelleDate(V624,AK624)</f>
        <v/>
      </c>
      <c r="AM624" s="1"/>
      <c r="AN624" s="1"/>
      <c r="AO624" s="1"/>
      <c r="AP624" s="1"/>
      <c r="AQ624" s="1"/>
      <c r="AR624" s="1"/>
      <c r="AS624" s="1"/>
      <c r="AT624" s="1"/>
      <c r="AU624" s="1"/>
      <c r="AV624" s="1"/>
      <c r="AW624" s="1"/>
      <c r="AX624" s="1"/>
      <c r="AY624" s="1"/>
      <c r="AZ624" s="1"/>
      <c r="BA624" s="1"/>
    </row>
    <row r="625" spans="1:53" x14ac:dyDescent="0.3">
      <c r="A625" s="1"/>
      <c r="B625" s="1"/>
      <c r="C625" s="1"/>
      <c r="D625" s="1"/>
      <c r="E625" s="1"/>
      <c r="F625" s="1"/>
      <c r="G625" s="1"/>
      <c r="H625" s="69"/>
      <c r="I625" s="1"/>
      <c r="J625" s="1"/>
      <c r="K625" s="1"/>
      <c r="L625" s="1"/>
      <c r="M625" s="1"/>
      <c r="N625" s="1"/>
      <c r="O625" s="1"/>
      <c r="P625" s="1"/>
      <c r="Q625" s="1"/>
      <c r="R625" s="1"/>
      <c r="S625" s="1"/>
      <c r="T625" s="1"/>
      <c r="U625" s="1"/>
      <c r="V625" s="1"/>
      <c r="W625" s="1"/>
      <c r="X625" s="84"/>
      <c r="Y625" s="84" t="str" cm="1">
        <f t="array" ref="Y625">CalculerNouvelleDate(I625,X625)</f>
        <v/>
      </c>
      <c r="Z625" s="84" t="str" cm="1">
        <f t="array" ref="Z625">CalculerNouvelleDate(J625,Y625)</f>
        <v/>
      </c>
      <c r="AA625" s="84" t="str" cm="1">
        <f t="array" ref="AA625">CalculerNouvelleDate(K625,Z625)</f>
        <v/>
      </c>
      <c r="AB625" s="84" t="str" cm="1">
        <f t="array" ref="AB625">CalculerNouvelleDate(L625,AA625)</f>
        <v/>
      </c>
      <c r="AC625" s="84" t="str" cm="1">
        <f t="array" ref="AC625">CalculerNouvelleDate(M625,AB625)</f>
        <v/>
      </c>
      <c r="AD625" s="84" t="str" cm="1">
        <f t="array" ref="AD625">CalculerNouvelleDate(N625,AC625)</f>
        <v/>
      </c>
      <c r="AE625" s="84" t="str" cm="1">
        <f t="array" ref="AE625">CalculerNouvelleDate(O625,AD625)</f>
        <v/>
      </c>
      <c r="AF625" s="84" t="str" cm="1">
        <f t="array" ref="AF625">CalculerNouvelleDate(P625,AE625)</f>
        <v/>
      </c>
      <c r="AG625" s="84" t="str" cm="1">
        <f t="array" ref="AG625">CalculerNouvelleDate(Q625,AF625)</f>
        <v/>
      </c>
      <c r="AH625" s="84" t="str" cm="1">
        <f t="array" ref="AH625">CalculerNouvelleDate(R625,AG625)</f>
        <v/>
      </c>
      <c r="AI625" s="84" t="str" cm="1">
        <f t="array" ref="AI625">CalculerNouvelleDate(S625,AH625)</f>
        <v/>
      </c>
      <c r="AJ625" s="84" t="str" cm="1">
        <f t="array" ref="AJ625">CalculerNouvelleDate(T625,AI625)</f>
        <v/>
      </c>
      <c r="AK625" s="84" t="str" cm="1">
        <f t="array" ref="AK625">CalculerNouvelleDate(U625,AJ625)</f>
        <v/>
      </c>
      <c r="AL625" s="84" t="str" cm="1">
        <f t="array" ref="AL625">CalculerNouvelleDate(V625,AK625)</f>
        <v/>
      </c>
      <c r="AM625" s="1"/>
      <c r="AN625" s="1"/>
      <c r="AO625" s="1"/>
      <c r="AP625" s="1"/>
      <c r="AQ625" s="1"/>
      <c r="AR625" s="1"/>
      <c r="AS625" s="1"/>
      <c r="AT625" s="1"/>
      <c r="AU625" s="1"/>
      <c r="AV625" s="1"/>
      <c r="AW625" s="1"/>
      <c r="AX625" s="1"/>
      <c r="AY625" s="1"/>
      <c r="AZ625" s="1"/>
      <c r="BA625" s="1"/>
    </row>
    <row r="626" spans="1:53" x14ac:dyDescent="0.3">
      <c r="A626" s="1"/>
      <c r="B626" s="1"/>
      <c r="C626" s="1"/>
      <c r="D626" s="1"/>
      <c r="E626" s="1"/>
      <c r="F626" s="1"/>
      <c r="G626" s="1"/>
      <c r="H626" s="69"/>
      <c r="I626" s="1"/>
      <c r="J626" s="1"/>
      <c r="K626" s="1"/>
      <c r="L626" s="1"/>
      <c r="M626" s="1"/>
      <c r="N626" s="1"/>
      <c r="O626" s="1"/>
      <c r="P626" s="1"/>
      <c r="Q626" s="1"/>
      <c r="R626" s="1"/>
      <c r="S626" s="1"/>
      <c r="T626" s="1"/>
      <c r="U626" s="1"/>
      <c r="V626" s="1"/>
      <c r="W626" s="1"/>
      <c r="X626" s="84"/>
      <c r="Y626" s="84" t="str" cm="1">
        <f t="array" ref="Y626">CalculerNouvelleDate(I626,X626)</f>
        <v/>
      </c>
      <c r="Z626" s="84" t="str" cm="1">
        <f t="array" ref="Z626">CalculerNouvelleDate(J626,Y626)</f>
        <v/>
      </c>
      <c r="AA626" s="84" t="str" cm="1">
        <f t="array" ref="AA626">CalculerNouvelleDate(K626,Z626)</f>
        <v/>
      </c>
      <c r="AB626" s="84" t="str" cm="1">
        <f t="array" ref="AB626">CalculerNouvelleDate(L626,AA626)</f>
        <v/>
      </c>
      <c r="AC626" s="84" t="str" cm="1">
        <f t="array" ref="AC626">CalculerNouvelleDate(M626,AB626)</f>
        <v/>
      </c>
      <c r="AD626" s="84" t="str" cm="1">
        <f t="array" ref="AD626">CalculerNouvelleDate(N626,AC626)</f>
        <v/>
      </c>
      <c r="AE626" s="84" t="str" cm="1">
        <f t="array" ref="AE626">CalculerNouvelleDate(O626,AD626)</f>
        <v/>
      </c>
      <c r="AF626" s="84" t="str" cm="1">
        <f t="array" ref="AF626">CalculerNouvelleDate(P626,AE626)</f>
        <v/>
      </c>
      <c r="AG626" s="84" t="str" cm="1">
        <f t="array" ref="AG626">CalculerNouvelleDate(Q626,AF626)</f>
        <v/>
      </c>
      <c r="AH626" s="84" t="str" cm="1">
        <f t="array" ref="AH626">CalculerNouvelleDate(R626,AG626)</f>
        <v/>
      </c>
      <c r="AI626" s="84" t="str" cm="1">
        <f t="array" ref="AI626">CalculerNouvelleDate(S626,AH626)</f>
        <v/>
      </c>
      <c r="AJ626" s="84" t="str" cm="1">
        <f t="array" ref="AJ626">CalculerNouvelleDate(T626,AI626)</f>
        <v/>
      </c>
      <c r="AK626" s="84" t="str" cm="1">
        <f t="array" ref="AK626">CalculerNouvelleDate(U626,AJ626)</f>
        <v/>
      </c>
      <c r="AL626" s="84" t="str" cm="1">
        <f t="array" ref="AL626">CalculerNouvelleDate(V626,AK626)</f>
        <v/>
      </c>
      <c r="AM626" s="1"/>
      <c r="AN626" s="1"/>
      <c r="AO626" s="1"/>
      <c r="AP626" s="1"/>
      <c r="AQ626" s="1"/>
      <c r="AR626" s="1"/>
      <c r="AS626" s="1"/>
      <c r="AT626" s="1"/>
      <c r="AU626" s="1"/>
      <c r="AV626" s="1"/>
      <c r="AW626" s="1"/>
      <c r="AX626" s="1"/>
      <c r="AY626" s="1"/>
      <c r="AZ626" s="1"/>
      <c r="BA626" s="1"/>
    </row>
    <row r="627" spans="1:53" x14ac:dyDescent="0.3">
      <c r="A627" s="1"/>
      <c r="B627" s="1"/>
      <c r="C627" s="1"/>
      <c r="D627" s="1"/>
      <c r="E627" s="1"/>
      <c r="F627" s="1"/>
      <c r="G627" s="1"/>
      <c r="H627" s="69"/>
      <c r="I627" s="1"/>
      <c r="J627" s="1"/>
      <c r="K627" s="1"/>
      <c r="L627" s="1"/>
      <c r="M627" s="1"/>
      <c r="N627" s="1"/>
      <c r="O627" s="1"/>
      <c r="P627" s="1"/>
      <c r="Q627" s="1"/>
      <c r="R627" s="1"/>
      <c r="S627" s="1"/>
      <c r="T627" s="1"/>
      <c r="U627" s="1"/>
      <c r="V627" s="1"/>
      <c r="W627" s="1"/>
      <c r="X627" s="84"/>
      <c r="Y627" s="84" t="str" cm="1">
        <f t="array" ref="Y627">CalculerNouvelleDate(I627,X627)</f>
        <v/>
      </c>
      <c r="Z627" s="84" t="str" cm="1">
        <f t="array" ref="Z627">CalculerNouvelleDate(J627,Y627)</f>
        <v/>
      </c>
      <c r="AA627" s="84" t="str" cm="1">
        <f t="array" ref="AA627">CalculerNouvelleDate(K627,Z627)</f>
        <v/>
      </c>
      <c r="AB627" s="84" t="str" cm="1">
        <f t="array" ref="AB627">CalculerNouvelleDate(L627,AA627)</f>
        <v/>
      </c>
      <c r="AC627" s="84" t="str" cm="1">
        <f t="array" ref="AC627">CalculerNouvelleDate(M627,AB627)</f>
        <v/>
      </c>
      <c r="AD627" s="84" t="str" cm="1">
        <f t="array" ref="AD627">CalculerNouvelleDate(N627,AC627)</f>
        <v/>
      </c>
      <c r="AE627" s="84" t="str" cm="1">
        <f t="array" ref="AE627">CalculerNouvelleDate(O627,AD627)</f>
        <v/>
      </c>
      <c r="AF627" s="84" t="str" cm="1">
        <f t="array" ref="AF627">CalculerNouvelleDate(P627,AE627)</f>
        <v/>
      </c>
      <c r="AG627" s="84" t="str" cm="1">
        <f t="array" ref="AG627">CalculerNouvelleDate(Q627,AF627)</f>
        <v/>
      </c>
      <c r="AH627" s="84" t="str" cm="1">
        <f t="array" ref="AH627">CalculerNouvelleDate(R627,AG627)</f>
        <v/>
      </c>
      <c r="AI627" s="84" t="str" cm="1">
        <f t="array" ref="AI627">CalculerNouvelleDate(S627,AH627)</f>
        <v/>
      </c>
      <c r="AJ627" s="84" t="str" cm="1">
        <f t="array" ref="AJ627">CalculerNouvelleDate(T627,AI627)</f>
        <v/>
      </c>
      <c r="AK627" s="84" t="str" cm="1">
        <f t="array" ref="AK627">CalculerNouvelleDate(U627,AJ627)</f>
        <v/>
      </c>
      <c r="AL627" s="84" t="str" cm="1">
        <f t="array" ref="AL627">CalculerNouvelleDate(V627,AK627)</f>
        <v/>
      </c>
      <c r="AM627" s="1"/>
      <c r="AN627" s="1"/>
      <c r="AO627" s="1"/>
      <c r="AP627" s="1"/>
      <c r="AQ627" s="1"/>
      <c r="AR627" s="1"/>
      <c r="AS627" s="1"/>
      <c r="AT627" s="1"/>
      <c r="AU627" s="1"/>
      <c r="AV627" s="1"/>
      <c r="AW627" s="1"/>
      <c r="AX627" s="1"/>
      <c r="AY627" s="1"/>
      <c r="AZ627" s="1"/>
      <c r="BA627" s="1"/>
    </row>
    <row r="628" spans="1:53" x14ac:dyDescent="0.3">
      <c r="A628" s="1"/>
      <c r="B628" s="1"/>
      <c r="C628" s="1"/>
      <c r="D628" s="1"/>
      <c r="E628" s="1"/>
      <c r="F628" s="1"/>
      <c r="G628" s="1"/>
      <c r="H628" s="69"/>
      <c r="I628" s="1"/>
      <c r="J628" s="1"/>
      <c r="K628" s="1"/>
      <c r="L628" s="1"/>
      <c r="M628" s="1"/>
      <c r="N628" s="1"/>
      <c r="O628" s="1"/>
      <c r="P628" s="1"/>
      <c r="Q628" s="1"/>
      <c r="R628" s="1"/>
      <c r="S628" s="1"/>
      <c r="T628" s="1"/>
      <c r="U628" s="1"/>
      <c r="V628" s="1"/>
      <c r="W628" s="1"/>
      <c r="X628" s="84"/>
      <c r="Y628" s="84" t="str" cm="1">
        <f t="array" ref="Y628">CalculerNouvelleDate(I628,X628)</f>
        <v/>
      </c>
      <c r="Z628" s="84" t="str" cm="1">
        <f t="array" ref="Z628">CalculerNouvelleDate(J628,Y628)</f>
        <v/>
      </c>
      <c r="AA628" s="84" t="str" cm="1">
        <f t="array" ref="AA628">CalculerNouvelleDate(K628,Z628)</f>
        <v/>
      </c>
      <c r="AB628" s="84" t="str" cm="1">
        <f t="array" ref="AB628">CalculerNouvelleDate(L628,AA628)</f>
        <v/>
      </c>
      <c r="AC628" s="84" t="str" cm="1">
        <f t="array" ref="AC628">CalculerNouvelleDate(M628,AB628)</f>
        <v/>
      </c>
      <c r="AD628" s="84" t="str" cm="1">
        <f t="array" ref="AD628">CalculerNouvelleDate(N628,AC628)</f>
        <v/>
      </c>
      <c r="AE628" s="84" t="str" cm="1">
        <f t="array" ref="AE628">CalculerNouvelleDate(O628,AD628)</f>
        <v/>
      </c>
      <c r="AF628" s="84" t="str" cm="1">
        <f t="array" ref="AF628">CalculerNouvelleDate(P628,AE628)</f>
        <v/>
      </c>
      <c r="AG628" s="84" t="str" cm="1">
        <f t="array" ref="AG628">CalculerNouvelleDate(Q628,AF628)</f>
        <v/>
      </c>
      <c r="AH628" s="84" t="str" cm="1">
        <f t="array" ref="AH628">CalculerNouvelleDate(R628,AG628)</f>
        <v/>
      </c>
      <c r="AI628" s="84" t="str" cm="1">
        <f t="array" ref="AI628">CalculerNouvelleDate(S628,AH628)</f>
        <v/>
      </c>
      <c r="AJ628" s="84" t="str" cm="1">
        <f t="array" ref="AJ628">CalculerNouvelleDate(T628,AI628)</f>
        <v/>
      </c>
      <c r="AK628" s="84" t="str" cm="1">
        <f t="array" ref="AK628">CalculerNouvelleDate(U628,AJ628)</f>
        <v/>
      </c>
      <c r="AL628" s="84" t="str" cm="1">
        <f t="array" ref="AL628">CalculerNouvelleDate(V628,AK628)</f>
        <v/>
      </c>
      <c r="AM628" s="1"/>
      <c r="AN628" s="1"/>
      <c r="AO628" s="1"/>
      <c r="AP628" s="1"/>
      <c r="AQ628" s="1"/>
      <c r="AR628" s="1"/>
      <c r="AS628" s="1"/>
      <c r="AT628" s="1"/>
      <c r="AU628" s="1"/>
      <c r="AV628" s="1"/>
      <c r="AW628" s="1"/>
      <c r="AX628" s="1"/>
      <c r="AY628" s="1"/>
      <c r="AZ628" s="1"/>
      <c r="BA628" s="1"/>
    </row>
    <row r="629" spans="1:53" x14ac:dyDescent="0.3">
      <c r="A629" s="1"/>
      <c r="B629" s="1"/>
      <c r="C629" s="1"/>
      <c r="D629" s="1"/>
      <c r="E629" s="1"/>
      <c r="F629" s="1"/>
      <c r="G629" s="1"/>
      <c r="H629" s="69"/>
      <c r="I629" s="1"/>
      <c r="J629" s="1"/>
      <c r="K629" s="1"/>
      <c r="L629" s="1"/>
      <c r="M629" s="1"/>
      <c r="N629" s="1"/>
      <c r="O629" s="1"/>
      <c r="P629" s="1"/>
      <c r="Q629" s="1"/>
      <c r="R629" s="1"/>
      <c r="S629" s="1"/>
      <c r="T629" s="1"/>
      <c r="U629" s="1"/>
      <c r="V629" s="1"/>
      <c r="W629" s="1"/>
      <c r="X629" s="84"/>
      <c r="Y629" s="84" t="str" cm="1">
        <f t="array" ref="Y629">CalculerNouvelleDate(I629,X629)</f>
        <v/>
      </c>
      <c r="Z629" s="84" t="str" cm="1">
        <f t="array" ref="Z629">CalculerNouvelleDate(J629,Y629)</f>
        <v/>
      </c>
      <c r="AA629" s="84" t="str" cm="1">
        <f t="array" ref="AA629">CalculerNouvelleDate(K629,Z629)</f>
        <v/>
      </c>
      <c r="AB629" s="84" t="str" cm="1">
        <f t="array" ref="AB629">CalculerNouvelleDate(L629,AA629)</f>
        <v/>
      </c>
      <c r="AC629" s="84" t="str" cm="1">
        <f t="array" ref="AC629">CalculerNouvelleDate(M629,AB629)</f>
        <v/>
      </c>
      <c r="AD629" s="84" t="str" cm="1">
        <f t="array" ref="AD629">CalculerNouvelleDate(N629,AC629)</f>
        <v/>
      </c>
      <c r="AE629" s="84" t="str" cm="1">
        <f t="array" ref="AE629">CalculerNouvelleDate(O629,AD629)</f>
        <v/>
      </c>
      <c r="AF629" s="84" t="str" cm="1">
        <f t="array" ref="AF629">CalculerNouvelleDate(P629,AE629)</f>
        <v/>
      </c>
      <c r="AG629" s="84" t="str" cm="1">
        <f t="array" ref="AG629">CalculerNouvelleDate(Q629,AF629)</f>
        <v/>
      </c>
      <c r="AH629" s="84" t="str" cm="1">
        <f t="array" ref="AH629">CalculerNouvelleDate(R629,AG629)</f>
        <v/>
      </c>
      <c r="AI629" s="84" t="str" cm="1">
        <f t="array" ref="AI629">CalculerNouvelleDate(S629,AH629)</f>
        <v/>
      </c>
      <c r="AJ629" s="84" t="str" cm="1">
        <f t="array" ref="AJ629">CalculerNouvelleDate(T629,AI629)</f>
        <v/>
      </c>
      <c r="AK629" s="84" t="str" cm="1">
        <f t="array" ref="AK629">CalculerNouvelleDate(U629,AJ629)</f>
        <v/>
      </c>
      <c r="AL629" s="84" t="str" cm="1">
        <f t="array" ref="AL629">CalculerNouvelleDate(V629,AK629)</f>
        <v/>
      </c>
      <c r="AM629" s="1"/>
      <c r="AN629" s="1"/>
      <c r="AO629" s="1"/>
      <c r="AP629" s="1"/>
      <c r="AQ629" s="1"/>
      <c r="AR629" s="1"/>
      <c r="AS629" s="1"/>
      <c r="AT629" s="1"/>
      <c r="AU629" s="1"/>
      <c r="AV629" s="1"/>
      <c r="AW629" s="1"/>
      <c r="AX629" s="1"/>
      <c r="AY629" s="1"/>
      <c r="AZ629" s="1"/>
      <c r="BA629" s="1"/>
    </row>
    <row r="630" spans="1:53" x14ac:dyDescent="0.3">
      <c r="A630" s="1"/>
      <c r="B630" s="1"/>
      <c r="C630" s="1"/>
      <c r="D630" s="1"/>
      <c r="E630" s="1"/>
      <c r="F630" s="1"/>
      <c r="G630" s="1"/>
      <c r="H630" s="69"/>
      <c r="I630" s="1"/>
      <c r="J630" s="1"/>
      <c r="K630" s="1"/>
      <c r="L630" s="1"/>
      <c r="M630" s="1"/>
      <c r="N630" s="1"/>
      <c r="O630" s="1"/>
      <c r="P630" s="1"/>
      <c r="Q630" s="1"/>
      <c r="R630" s="1"/>
      <c r="S630" s="1"/>
      <c r="T630" s="1"/>
      <c r="U630" s="1"/>
      <c r="V630" s="1"/>
      <c r="W630" s="1"/>
      <c r="X630" s="84"/>
      <c r="Y630" s="84" t="str" cm="1">
        <f t="array" ref="Y630">CalculerNouvelleDate(I630,X630)</f>
        <v/>
      </c>
      <c r="Z630" s="84" t="str" cm="1">
        <f t="array" ref="Z630">CalculerNouvelleDate(J630,Y630)</f>
        <v/>
      </c>
      <c r="AA630" s="84" t="str" cm="1">
        <f t="array" ref="AA630">CalculerNouvelleDate(K630,Z630)</f>
        <v/>
      </c>
      <c r="AB630" s="84" t="str" cm="1">
        <f t="array" ref="AB630">CalculerNouvelleDate(L630,AA630)</f>
        <v/>
      </c>
      <c r="AC630" s="84" t="str" cm="1">
        <f t="array" ref="AC630">CalculerNouvelleDate(M630,AB630)</f>
        <v/>
      </c>
      <c r="AD630" s="84" t="str" cm="1">
        <f t="array" ref="AD630">CalculerNouvelleDate(N630,AC630)</f>
        <v/>
      </c>
      <c r="AE630" s="84" t="str" cm="1">
        <f t="array" ref="AE630">CalculerNouvelleDate(O630,AD630)</f>
        <v/>
      </c>
      <c r="AF630" s="84" t="str" cm="1">
        <f t="array" ref="AF630">CalculerNouvelleDate(P630,AE630)</f>
        <v/>
      </c>
      <c r="AG630" s="84" t="str" cm="1">
        <f t="array" ref="AG630">CalculerNouvelleDate(Q630,AF630)</f>
        <v/>
      </c>
      <c r="AH630" s="84" t="str" cm="1">
        <f t="array" ref="AH630">CalculerNouvelleDate(R630,AG630)</f>
        <v/>
      </c>
      <c r="AI630" s="84" t="str" cm="1">
        <f t="array" ref="AI630">CalculerNouvelleDate(S630,AH630)</f>
        <v/>
      </c>
      <c r="AJ630" s="84" t="str" cm="1">
        <f t="array" ref="AJ630">CalculerNouvelleDate(T630,AI630)</f>
        <v/>
      </c>
      <c r="AK630" s="84" t="str" cm="1">
        <f t="array" ref="AK630">CalculerNouvelleDate(U630,AJ630)</f>
        <v/>
      </c>
      <c r="AL630" s="84" t="str" cm="1">
        <f t="array" ref="AL630">CalculerNouvelleDate(V630,AK630)</f>
        <v/>
      </c>
      <c r="AM630" s="1"/>
      <c r="AN630" s="1"/>
      <c r="AO630" s="1"/>
      <c r="AP630" s="1"/>
      <c r="AQ630" s="1"/>
      <c r="AR630" s="1"/>
      <c r="AS630" s="1"/>
      <c r="AT630" s="1"/>
      <c r="AU630" s="1"/>
      <c r="AV630" s="1"/>
      <c r="AW630" s="1"/>
      <c r="AX630" s="1"/>
      <c r="AY630" s="1"/>
      <c r="AZ630" s="1"/>
      <c r="BA630" s="1"/>
    </row>
    <row r="631" spans="1:53" x14ac:dyDescent="0.3">
      <c r="A631" s="1"/>
      <c r="B631" s="1"/>
      <c r="C631" s="1"/>
      <c r="D631" s="1"/>
      <c r="E631" s="1"/>
      <c r="F631" s="1"/>
      <c r="G631" s="1"/>
      <c r="H631" s="69"/>
      <c r="I631" s="1"/>
      <c r="J631" s="1"/>
      <c r="K631" s="1"/>
      <c r="L631" s="1"/>
      <c r="M631" s="1"/>
      <c r="N631" s="1"/>
      <c r="O631" s="1"/>
      <c r="P631" s="1"/>
      <c r="Q631" s="1"/>
      <c r="R631" s="1"/>
      <c r="S631" s="1"/>
      <c r="T631" s="1"/>
      <c r="U631" s="1"/>
      <c r="V631" s="1"/>
      <c r="W631" s="1"/>
      <c r="X631" s="84"/>
      <c r="Y631" s="84" t="str" cm="1">
        <f t="array" ref="Y631">CalculerNouvelleDate(I631,X631)</f>
        <v/>
      </c>
      <c r="Z631" s="84" t="str" cm="1">
        <f t="array" ref="Z631">CalculerNouvelleDate(J631,Y631)</f>
        <v/>
      </c>
      <c r="AA631" s="84" t="str" cm="1">
        <f t="array" ref="AA631">CalculerNouvelleDate(K631,Z631)</f>
        <v/>
      </c>
      <c r="AB631" s="84" t="str" cm="1">
        <f t="array" ref="AB631">CalculerNouvelleDate(L631,AA631)</f>
        <v/>
      </c>
      <c r="AC631" s="84" t="str" cm="1">
        <f t="array" ref="AC631">CalculerNouvelleDate(M631,AB631)</f>
        <v/>
      </c>
      <c r="AD631" s="84" t="str" cm="1">
        <f t="array" ref="AD631">CalculerNouvelleDate(N631,AC631)</f>
        <v/>
      </c>
      <c r="AE631" s="84" t="str" cm="1">
        <f t="array" ref="AE631">CalculerNouvelleDate(O631,AD631)</f>
        <v/>
      </c>
      <c r="AF631" s="84" t="str" cm="1">
        <f t="array" ref="AF631">CalculerNouvelleDate(P631,AE631)</f>
        <v/>
      </c>
      <c r="AG631" s="84" t="str" cm="1">
        <f t="array" ref="AG631">CalculerNouvelleDate(Q631,AF631)</f>
        <v/>
      </c>
      <c r="AH631" s="84" t="str" cm="1">
        <f t="array" ref="AH631">CalculerNouvelleDate(R631,AG631)</f>
        <v/>
      </c>
      <c r="AI631" s="84" t="str" cm="1">
        <f t="array" ref="AI631">CalculerNouvelleDate(S631,AH631)</f>
        <v/>
      </c>
      <c r="AJ631" s="84" t="str" cm="1">
        <f t="array" ref="AJ631">CalculerNouvelleDate(T631,AI631)</f>
        <v/>
      </c>
      <c r="AK631" s="84" t="str" cm="1">
        <f t="array" ref="AK631">CalculerNouvelleDate(U631,AJ631)</f>
        <v/>
      </c>
      <c r="AL631" s="84" t="str" cm="1">
        <f t="array" ref="AL631">CalculerNouvelleDate(V631,AK631)</f>
        <v/>
      </c>
      <c r="AM631" s="1"/>
      <c r="AN631" s="1"/>
      <c r="AO631" s="1"/>
      <c r="AP631" s="1"/>
      <c r="AQ631" s="1"/>
      <c r="AR631" s="1"/>
      <c r="AS631" s="1"/>
      <c r="AT631" s="1"/>
      <c r="AU631" s="1"/>
      <c r="AV631" s="1"/>
      <c r="AW631" s="1"/>
      <c r="AX631" s="1"/>
      <c r="AY631" s="1"/>
      <c r="AZ631" s="1"/>
      <c r="BA631" s="1"/>
    </row>
    <row r="632" spans="1:53" x14ac:dyDescent="0.3">
      <c r="A632" s="1"/>
      <c r="B632" s="1"/>
      <c r="C632" s="1"/>
      <c r="D632" s="1"/>
      <c r="E632" s="1"/>
      <c r="F632" s="1"/>
      <c r="G632" s="1"/>
      <c r="H632" s="69"/>
      <c r="I632" s="1"/>
      <c r="J632" s="1"/>
      <c r="K632" s="1"/>
      <c r="L632" s="1"/>
      <c r="M632" s="1"/>
      <c r="N632" s="1"/>
      <c r="O632" s="1"/>
      <c r="P632" s="1"/>
      <c r="Q632" s="1"/>
      <c r="R632" s="1"/>
      <c r="S632" s="1"/>
      <c r="T632" s="1"/>
      <c r="U632" s="1"/>
      <c r="V632" s="1"/>
      <c r="W632" s="1"/>
      <c r="X632" s="84"/>
      <c r="Y632" s="84" t="str" cm="1">
        <f t="array" ref="Y632">CalculerNouvelleDate(I632,X632)</f>
        <v/>
      </c>
      <c r="Z632" s="84" t="str" cm="1">
        <f t="array" ref="Z632">CalculerNouvelleDate(J632,Y632)</f>
        <v/>
      </c>
      <c r="AA632" s="84" t="str" cm="1">
        <f t="array" ref="AA632">CalculerNouvelleDate(K632,Z632)</f>
        <v/>
      </c>
      <c r="AB632" s="84" t="str" cm="1">
        <f t="array" ref="AB632">CalculerNouvelleDate(L632,AA632)</f>
        <v/>
      </c>
      <c r="AC632" s="84" t="str" cm="1">
        <f t="array" ref="AC632">CalculerNouvelleDate(M632,AB632)</f>
        <v/>
      </c>
      <c r="AD632" s="84" t="str" cm="1">
        <f t="array" ref="AD632">CalculerNouvelleDate(N632,AC632)</f>
        <v/>
      </c>
      <c r="AE632" s="84" t="str" cm="1">
        <f t="array" ref="AE632">CalculerNouvelleDate(O632,AD632)</f>
        <v/>
      </c>
      <c r="AF632" s="84" t="str" cm="1">
        <f t="array" ref="AF632">CalculerNouvelleDate(P632,AE632)</f>
        <v/>
      </c>
      <c r="AG632" s="84" t="str" cm="1">
        <f t="array" ref="AG632">CalculerNouvelleDate(Q632,AF632)</f>
        <v/>
      </c>
      <c r="AH632" s="84" t="str" cm="1">
        <f t="array" ref="AH632">CalculerNouvelleDate(R632,AG632)</f>
        <v/>
      </c>
      <c r="AI632" s="84" t="str" cm="1">
        <f t="array" ref="AI632">CalculerNouvelleDate(S632,AH632)</f>
        <v/>
      </c>
      <c r="AJ632" s="84" t="str" cm="1">
        <f t="array" ref="AJ632">CalculerNouvelleDate(T632,AI632)</f>
        <v/>
      </c>
      <c r="AK632" s="84" t="str" cm="1">
        <f t="array" ref="AK632">CalculerNouvelleDate(U632,AJ632)</f>
        <v/>
      </c>
      <c r="AL632" s="84" t="str" cm="1">
        <f t="array" ref="AL632">CalculerNouvelleDate(V632,AK632)</f>
        <v/>
      </c>
      <c r="AM632" s="1"/>
      <c r="AN632" s="1"/>
      <c r="AO632" s="1"/>
      <c r="AP632" s="1"/>
      <c r="AQ632" s="1"/>
      <c r="AR632" s="1"/>
      <c r="AS632" s="1"/>
      <c r="AT632" s="1"/>
      <c r="AU632" s="1"/>
      <c r="AV632" s="1"/>
      <c r="AW632" s="1"/>
      <c r="AX632" s="1"/>
      <c r="AY632" s="1"/>
      <c r="AZ632" s="1"/>
      <c r="BA632" s="1"/>
    </row>
    <row r="633" spans="1:53" x14ac:dyDescent="0.3">
      <c r="A633" s="1"/>
      <c r="B633" s="1"/>
      <c r="C633" s="1"/>
      <c r="D633" s="1"/>
      <c r="E633" s="1"/>
      <c r="F633" s="1"/>
      <c r="G633" s="1"/>
      <c r="H633" s="69"/>
      <c r="I633" s="1"/>
      <c r="J633" s="1"/>
      <c r="K633" s="1"/>
      <c r="L633" s="1"/>
      <c r="M633" s="1"/>
      <c r="N633" s="1"/>
      <c r="O633" s="1"/>
      <c r="P633" s="1"/>
      <c r="Q633" s="1"/>
      <c r="R633" s="1"/>
      <c r="S633" s="1"/>
      <c r="T633" s="1"/>
      <c r="U633" s="1"/>
      <c r="V633" s="1"/>
      <c r="W633" s="1"/>
      <c r="X633" s="84"/>
      <c r="Y633" s="84" t="str" cm="1">
        <f t="array" ref="Y633">CalculerNouvelleDate(I633,X633)</f>
        <v/>
      </c>
      <c r="Z633" s="84" t="str" cm="1">
        <f t="array" ref="Z633">CalculerNouvelleDate(J633,Y633)</f>
        <v/>
      </c>
      <c r="AA633" s="84" t="str" cm="1">
        <f t="array" ref="AA633">CalculerNouvelleDate(K633,Z633)</f>
        <v/>
      </c>
      <c r="AB633" s="84" t="str" cm="1">
        <f t="array" ref="AB633">CalculerNouvelleDate(L633,AA633)</f>
        <v/>
      </c>
      <c r="AC633" s="84" t="str" cm="1">
        <f t="array" ref="AC633">CalculerNouvelleDate(M633,AB633)</f>
        <v/>
      </c>
      <c r="AD633" s="84" t="str" cm="1">
        <f t="array" ref="AD633">CalculerNouvelleDate(N633,AC633)</f>
        <v/>
      </c>
      <c r="AE633" s="84" t="str" cm="1">
        <f t="array" ref="AE633">CalculerNouvelleDate(O633,AD633)</f>
        <v/>
      </c>
      <c r="AF633" s="84" t="str" cm="1">
        <f t="array" ref="AF633">CalculerNouvelleDate(P633,AE633)</f>
        <v/>
      </c>
      <c r="AG633" s="84" t="str" cm="1">
        <f t="array" ref="AG633">CalculerNouvelleDate(Q633,AF633)</f>
        <v/>
      </c>
      <c r="AH633" s="84" t="str" cm="1">
        <f t="array" ref="AH633">CalculerNouvelleDate(R633,AG633)</f>
        <v/>
      </c>
      <c r="AI633" s="84" t="str" cm="1">
        <f t="array" ref="AI633">CalculerNouvelleDate(S633,AH633)</f>
        <v/>
      </c>
      <c r="AJ633" s="84" t="str" cm="1">
        <f t="array" ref="AJ633">CalculerNouvelleDate(T633,AI633)</f>
        <v/>
      </c>
      <c r="AK633" s="84" t="str" cm="1">
        <f t="array" ref="AK633">CalculerNouvelleDate(U633,AJ633)</f>
        <v/>
      </c>
      <c r="AL633" s="84" t="str" cm="1">
        <f t="array" ref="AL633">CalculerNouvelleDate(V633,AK633)</f>
        <v/>
      </c>
      <c r="AM633" s="1"/>
      <c r="AN633" s="1"/>
      <c r="AO633" s="1"/>
      <c r="AP633" s="1"/>
      <c r="AQ633" s="1"/>
      <c r="AR633" s="1"/>
      <c r="AS633" s="1"/>
      <c r="AT633" s="1"/>
      <c r="AU633" s="1"/>
      <c r="AV633" s="1"/>
      <c r="AW633" s="1"/>
      <c r="AX633" s="1"/>
      <c r="AY633" s="1"/>
      <c r="AZ633" s="1"/>
      <c r="BA633" s="1"/>
    </row>
    <row r="634" spans="1:53" x14ac:dyDescent="0.3">
      <c r="A634" s="1"/>
      <c r="B634" s="1"/>
      <c r="C634" s="1"/>
      <c r="D634" s="1"/>
      <c r="E634" s="1"/>
      <c r="F634" s="1"/>
      <c r="G634" s="1"/>
      <c r="H634" s="69"/>
      <c r="I634" s="1"/>
      <c r="J634" s="1"/>
      <c r="K634" s="1"/>
      <c r="L634" s="1"/>
      <c r="M634" s="1"/>
      <c r="N634" s="1"/>
      <c r="O634" s="1"/>
      <c r="P634" s="1"/>
      <c r="Q634" s="1"/>
      <c r="R634" s="1"/>
      <c r="S634" s="1"/>
      <c r="T634" s="1"/>
      <c r="U634" s="1"/>
      <c r="V634" s="1"/>
      <c r="W634" s="1"/>
      <c r="X634" s="84"/>
      <c r="Y634" s="84" t="str" cm="1">
        <f t="array" ref="Y634">CalculerNouvelleDate(I634,X634)</f>
        <v/>
      </c>
      <c r="Z634" s="84" t="str" cm="1">
        <f t="array" ref="Z634">CalculerNouvelleDate(J634,Y634)</f>
        <v/>
      </c>
      <c r="AA634" s="84" t="str" cm="1">
        <f t="array" ref="AA634">CalculerNouvelleDate(K634,Z634)</f>
        <v/>
      </c>
      <c r="AB634" s="84" t="str" cm="1">
        <f t="array" ref="AB634">CalculerNouvelleDate(L634,AA634)</f>
        <v/>
      </c>
      <c r="AC634" s="84" t="str" cm="1">
        <f t="array" ref="AC634">CalculerNouvelleDate(M634,AB634)</f>
        <v/>
      </c>
      <c r="AD634" s="84" t="str" cm="1">
        <f t="array" ref="AD634">CalculerNouvelleDate(N634,AC634)</f>
        <v/>
      </c>
      <c r="AE634" s="84" t="str" cm="1">
        <f t="array" ref="AE634">CalculerNouvelleDate(O634,AD634)</f>
        <v/>
      </c>
      <c r="AF634" s="84" t="str" cm="1">
        <f t="array" ref="AF634">CalculerNouvelleDate(P634,AE634)</f>
        <v/>
      </c>
      <c r="AG634" s="84" t="str" cm="1">
        <f t="array" ref="AG634">CalculerNouvelleDate(Q634,AF634)</f>
        <v/>
      </c>
      <c r="AH634" s="84" t="str" cm="1">
        <f t="array" ref="AH634">CalculerNouvelleDate(R634,AG634)</f>
        <v/>
      </c>
      <c r="AI634" s="84" t="str" cm="1">
        <f t="array" ref="AI634">CalculerNouvelleDate(S634,AH634)</f>
        <v/>
      </c>
      <c r="AJ634" s="84" t="str" cm="1">
        <f t="array" ref="AJ634">CalculerNouvelleDate(T634,AI634)</f>
        <v/>
      </c>
      <c r="AK634" s="84" t="str" cm="1">
        <f t="array" ref="AK634">CalculerNouvelleDate(U634,AJ634)</f>
        <v/>
      </c>
      <c r="AL634" s="84" t="str" cm="1">
        <f t="array" ref="AL634">CalculerNouvelleDate(V634,AK634)</f>
        <v/>
      </c>
      <c r="AM634" s="1"/>
      <c r="AN634" s="1"/>
      <c r="AO634" s="1"/>
      <c r="AP634" s="1"/>
      <c r="AQ634" s="1"/>
      <c r="AR634" s="1"/>
      <c r="AS634" s="1"/>
      <c r="AT634" s="1"/>
      <c r="AU634" s="1"/>
      <c r="AV634" s="1"/>
      <c r="AW634" s="1"/>
      <c r="AX634" s="1"/>
      <c r="AY634" s="1"/>
      <c r="AZ634" s="1"/>
      <c r="BA634" s="1"/>
    </row>
    <row r="635" spans="1:53" x14ac:dyDescent="0.3">
      <c r="A635" s="1"/>
      <c r="B635" s="1"/>
      <c r="C635" s="1"/>
      <c r="D635" s="1"/>
      <c r="E635" s="1"/>
      <c r="F635" s="1"/>
      <c r="G635" s="1"/>
      <c r="H635" s="69"/>
      <c r="I635" s="1"/>
      <c r="J635" s="1"/>
      <c r="K635" s="1"/>
      <c r="L635" s="1"/>
      <c r="M635" s="1"/>
      <c r="N635" s="1"/>
      <c r="O635" s="1"/>
      <c r="P635" s="1"/>
      <c r="Q635" s="1"/>
      <c r="R635" s="1"/>
      <c r="S635" s="1"/>
      <c r="T635" s="1"/>
      <c r="U635" s="1"/>
      <c r="V635" s="1"/>
      <c r="W635" s="1"/>
      <c r="X635" s="84"/>
      <c r="Y635" s="84" t="str" cm="1">
        <f t="array" ref="Y635">CalculerNouvelleDate(I635,X635)</f>
        <v/>
      </c>
      <c r="Z635" s="84" t="str" cm="1">
        <f t="array" ref="Z635">CalculerNouvelleDate(J635,Y635)</f>
        <v/>
      </c>
      <c r="AA635" s="84" t="str" cm="1">
        <f t="array" ref="AA635">CalculerNouvelleDate(K635,Z635)</f>
        <v/>
      </c>
      <c r="AB635" s="84" t="str" cm="1">
        <f t="array" ref="AB635">CalculerNouvelleDate(L635,AA635)</f>
        <v/>
      </c>
      <c r="AC635" s="84" t="str" cm="1">
        <f t="array" ref="AC635">CalculerNouvelleDate(M635,AB635)</f>
        <v/>
      </c>
      <c r="AD635" s="84" t="str" cm="1">
        <f t="array" ref="AD635">CalculerNouvelleDate(N635,AC635)</f>
        <v/>
      </c>
      <c r="AE635" s="84" t="str" cm="1">
        <f t="array" ref="AE635">CalculerNouvelleDate(O635,AD635)</f>
        <v/>
      </c>
      <c r="AF635" s="84" t="str" cm="1">
        <f t="array" ref="AF635">CalculerNouvelleDate(P635,AE635)</f>
        <v/>
      </c>
      <c r="AG635" s="84" t="str" cm="1">
        <f t="array" ref="AG635">CalculerNouvelleDate(Q635,AF635)</f>
        <v/>
      </c>
      <c r="AH635" s="84" t="str" cm="1">
        <f t="array" ref="AH635">CalculerNouvelleDate(R635,AG635)</f>
        <v/>
      </c>
      <c r="AI635" s="84" t="str" cm="1">
        <f t="array" ref="AI635">CalculerNouvelleDate(S635,AH635)</f>
        <v/>
      </c>
      <c r="AJ635" s="84" t="str" cm="1">
        <f t="array" ref="AJ635">CalculerNouvelleDate(T635,AI635)</f>
        <v/>
      </c>
      <c r="AK635" s="84" t="str" cm="1">
        <f t="array" ref="AK635">CalculerNouvelleDate(U635,AJ635)</f>
        <v/>
      </c>
      <c r="AL635" s="84" t="str" cm="1">
        <f t="array" ref="AL635">CalculerNouvelleDate(V635,AK635)</f>
        <v/>
      </c>
      <c r="AM635" s="1"/>
      <c r="AN635" s="1"/>
      <c r="AO635" s="1"/>
      <c r="AP635" s="1"/>
      <c r="AQ635" s="1"/>
      <c r="AR635" s="1"/>
      <c r="AS635" s="1"/>
      <c r="AT635" s="1"/>
      <c r="AU635" s="1"/>
      <c r="AV635" s="1"/>
      <c r="AW635" s="1"/>
      <c r="AX635" s="1"/>
      <c r="AY635" s="1"/>
      <c r="AZ635" s="1"/>
      <c r="BA635" s="1"/>
    </row>
    <row r="636" spans="1:53" x14ac:dyDescent="0.3">
      <c r="A636" s="1"/>
      <c r="B636" s="1"/>
      <c r="C636" s="1"/>
      <c r="D636" s="1"/>
      <c r="E636" s="1"/>
      <c r="F636" s="1"/>
      <c r="G636" s="1"/>
      <c r="H636" s="69"/>
      <c r="I636" s="1"/>
      <c r="J636" s="1"/>
      <c r="K636" s="1"/>
      <c r="L636" s="1"/>
      <c r="M636" s="1"/>
      <c r="N636" s="1"/>
      <c r="O636" s="1"/>
      <c r="P636" s="1"/>
      <c r="Q636" s="1"/>
      <c r="R636" s="1"/>
      <c r="S636" s="1"/>
      <c r="T636" s="1"/>
      <c r="U636" s="1"/>
      <c r="V636" s="1"/>
      <c r="W636" s="1"/>
      <c r="X636" s="84"/>
      <c r="Y636" s="84" t="str" cm="1">
        <f t="array" ref="Y636">CalculerNouvelleDate(I636,X636)</f>
        <v/>
      </c>
      <c r="Z636" s="84" t="str" cm="1">
        <f t="array" ref="Z636">CalculerNouvelleDate(J636,Y636)</f>
        <v/>
      </c>
      <c r="AA636" s="84" t="str" cm="1">
        <f t="array" ref="AA636">CalculerNouvelleDate(K636,Z636)</f>
        <v/>
      </c>
      <c r="AB636" s="84" t="str" cm="1">
        <f t="array" ref="AB636">CalculerNouvelleDate(L636,AA636)</f>
        <v/>
      </c>
      <c r="AC636" s="84" t="str" cm="1">
        <f t="array" ref="AC636">CalculerNouvelleDate(M636,AB636)</f>
        <v/>
      </c>
      <c r="AD636" s="84" t="str" cm="1">
        <f t="array" ref="AD636">CalculerNouvelleDate(N636,AC636)</f>
        <v/>
      </c>
      <c r="AE636" s="84" t="str" cm="1">
        <f t="array" ref="AE636">CalculerNouvelleDate(O636,AD636)</f>
        <v/>
      </c>
      <c r="AF636" s="84" t="str" cm="1">
        <f t="array" ref="AF636">CalculerNouvelleDate(P636,AE636)</f>
        <v/>
      </c>
      <c r="AG636" s="84" t="str" cm="1">
        <f t="array" ref="AG636">CalculerNouvelleDate(Q636,AF636)</f>
        <v/>
      </c>
      <c r="AH636" s="84" t="str" cm="1">
        <f t="array" ref="AH636">CalculerNouvelleDate(R636,AG636)</f>
        <v/>
      </c>
      <c r="AI636" s="84" t="str" cm="1">
        <f t="array" ref="AI636">CalculerNouvelleDate(S636,AH636)</f>
        <v/>
      </c>
      <c r="AJ636" s="84" t="str" cm="1">
        <f t="array" ref="AJ636">CalculerNouvelleDate(T636,AI636)</f>
        <v/>
      </c>
      <c r="AK636" s="84" t="str" cm="1">
        <f t="array" ref="AK636">CalculerNouvelleDate(U636,AJ636)</f>
        <v/>
      </c>
      <c r="AL636" s="84" t="str" cm="1">
        <f t="array" ref="AL636">CalculerNouvelleDate(V636,AK636)</f>
        <v/>
      </c>
      <c r="AM636" s="1"/>
      <c r="AN636" s="1"/>
      <c r="AO636" s="1"/>
      <c r="AP636" s="1"/>
      <c r="AQ636" s="1"/>
      <c r="AR636" s="1"/>
      <c r="AS636" s="1"/>
      <c r="AT636" s="1"/>
      <c r="AU636" s="1"/>
      <c r="AV636" s="1"/>
      <c r="AW636" s="1"/>
      <c r="AX636" s="1"/>
      <c r="AY636" s="1"/>
      <c r="AZ636" s="1"/>
      <c r="BA636" s="1"/>
    </row>
    <row r="637" spans="1:53" x14ac:dyDescent="0.3">
      <c r="A637" s="1"/>
      <c r="B637" s="1"/>
      <c r="C637" s="1"/>
      <c r="D637" s="1"/>
      <c r="E637" s="1"/>
      <c r="F637" s="1"/>
      <c r="G637" s="1"/>
      <c r="H637" s="69"/>
      <c r="I637" s="1"/>
      <c r="J637" s="1"/>
      <c r="K637" s="1"/>
      <c r="L637" s="1"/>
      <c r="M637" s="1"/>
      <c r="N637" s="1"/>
      <c r="O637" s="1"/>
      <c r="P637" s="1"/>
      <c r="Q637" s="1"/>
      <c r="R637" s="1"/>
      <c r="S637" s="1"/>
      <c r="T637" s="1"/>
      <c r="U637" s="1"/>
      <c r="V637" s="1"/>
      <c r="W637" s="1"/>
      <c r="X637" s="84"/>
      <c r="Y637" s="84" t="str" cm="1">
        <f t="array" ref="Y637">CalculerNouvelleDate(I637,X637)</f>
        <v/>
      </c>
      <c r="Z637" s="84" t="str" cm="1">
        <f t="array" ref="Z637">CalculerNouvelleDate(J637,Y637)</f>
        <v/>
      </c>
      <c r="AA637" s="84" t="str" cm="1">
        <f t="array" ref="AA637">CalculerNouvelleDate(K637,Z637)</f>
        <v/>
      </c>
      <c r="AB637" s="84" t="str" cm="1">
        <f t="array" ref="AB637">CalculerNouvelleDate(L637,AA637)</f>
        <v/>
      </c>
      <c r="AC637" s="84" t="str" cm="1">
        <f t="array" ref="AC637">CalculerNouvelleDate(M637,AB637)</f>
        <v/>
      </c>
      <c r="AD637" s="84" t="str" cm="1">
        <f t="array" ref="AD637">CalculerNouvelleDate(N637,AC637)</f>
        <v/>
      </c>
      <c r="AE637" s="84" t="str" cm="1">
        <f t="array" ref="AE637">CalculerNouvelleDate(O637,AD637)</f>
        <v/>
      </c>
      <c r="AF637" s="84" t="str" cm="1">
        <f t="array" ref="AF637">CalculerNouvelleDate(P637,AE637)</f>
        <v/>
      </c>
      <c r="AG637" s="84" t="str" cm="1">
        <f t="array" ref="AG637">CalculerNouvelleDate(Q637,AF637)</f>
        <v/>
      </c>
      <c r="AH637" s="84" t="str" cm="1">
        <f t="array" ref="AH637">CalculerNouvelleDate(R637,AG637)</f>
        <v/>
      </c>
      <c r="AI637" s="84" t="str" cm="1">
        <f t="array" ref="AI637">CalculerNouvelleDate(S637,AH637)</f>
        <v/>
      </c>
      <c r="AJ637" s="84" t="str" cm="1">
        <f t="array" ref="AJ637">CalculerNouvelleDate(T637,AI637)</f>
        <v/>
      </c>
      <c r="AK637" s="84" t="str" cm="1">
        <f t="array" ref="AK637">CalculerNouvelleDate(U637,AJ637)</f>
        <v/>
      </c>
      <c r="AL637" s="84" t="str" cm="1">
        <f t="array" ref="AL637">CalculerNouvelleDate(V637,AK637)</f>
        <v/>
      </c>
      <c r="AM637" s="1"/>
      <c r="AN637" s="1"/>
      <c r="AO637" s="1"/>
      <c r="AP637" s="1"/>
      <c r="AQ637" s="1"/>
      <c r="AR637" s="1"/>
      <c r="AS637" s="1"/>
      <c r="AT637" s="1"/>
      <c r="AU637" s="1"/>
      <c r="AV637" s="1"/>
      <c r="AW637" s="1"/>
      <c r="AX637" s="1"/>
      <c r="AY637" s="1"/>
      <c r="AZ637" s="1"/>
      <c r="BA637" s="1"/>
    </row>
    <row r="638" spans="1:53" x14ac:dyDescent="0.3">
      <c r="A638" s="1"/>
      <c r="B638" s="1"/>
      <c r="C638" s="1"/>
      <c r="D638" s="1"/>
      <c r="E638" s="1"/>
      <c r="F638" s="1"/>
      <c r="G638" s="1"/>
      <c r="H638" s="69"/>
      <c r="I638" s="1"/>
      <c r="J638" s="1"/>
      <c r="K638" s="1"/>
      <c r="L638" s="1"/>
      <c r="M638" s="1"/>
      <c r="N638" s="1"/>
      <c r="O638" s="1"/>
      <c r="P638" s="1"/>
      <c r="Q638" s="1"/>
      <c r="R638" s="1"/>
      <c r="S638" s="1"/>
      <c r="T638" s="1"/>
      <c r="U638" s="1"/>
      <c r="V638" s="1"/>
      <c r="W638" s="1"/>
      <c r="X638" s="84"/>
      <c r="Y638" s="84" t="str" cm="1">
        <f t="array" ref="Y638">CalculerNouvelleDate(I638,X638)</f>
        <v/>
      </c>
      <c r="Z638" s="84" t="str" cm="1">
        <f t="array" ref="Z638">CalculerNouvelleDate(J638,Y638)</f>
        <v/>
      </c>
      <c r="AA638" s="84" t="str" cm="1">
        <f t="array" ref="AA638">CalculerNouvelleDate(K638,Z638)</f>
        <v/>
      </c>
      <c r="AB638" s="84" t="str" cm="1">
        <f t="array" ref="AB638">CalculerNouvelleDate(L638,AA638)</f>
        <v/>
      </c>
      <c r="AC638" s="84" t="str" cm="1">
        <f t="array" ref="AC638">CalculerNouvelleDate(M638,AB638)</f>
        <v/>
      </c>
      <c r="AD638" s="84" t="str" cm="1">
        <f t="array" ref="AD638">CalculerNouvelleDate(N638,AC638)</f>
        <v/>
      </c>
      <c r="AE638" s="84" t="str" cm="1">
        <f t="array" ref="AE638">CalculerNouvelleDate(O638,AD638)</f>
        <v/>
      </c>
      <c r="AF638" s="84" t="str" cm="1">
        <f t="array" ref="AF638">CalculerNouvelleDate(P638,AE638)</f>
        <v/>
      </c>
      <c r="AG638" s="84" t="str" cm="1">
        <f t="array" ref="AG638">CalculerNouvelleDate(Q638,AF638)</f>
        <v/>
      </c>
      <c r="AH638" s="84" t="str" cm="1">
        <f t="array" ref="AH638">CalculerNouvelleDate(R638,AG638)</f>
        <v/>
      </c>
      <c r="AI638" s="84" t="str" cm="1">
        <f t="array" ref="AI638">CalculerNouvelleDate(S638,AH638)</f>
        <v/>
      </c>
      <c r="AJ638" s="84" t="str" cm="1">
        <f t="array" ref="AJ638">CalculerNouvelleDate(T638,AI638)</f>
        <v/>
      </c>
      <c r="AK638" s="84" t="str" cm="1">
        <f t="array" ref="AK638">CalculerNouvelleDate(U638,AJ638)</f>
        <v/>
      </c>
      <c r="AL638" s="84" t="str" cm="1">
        <f t="array" ref="AL638">CalculerNouvelleDate(V638,AK638)</f>
        <v/>
      </c>
      <c r="AM638" s="1"/>
      <c r="AN638" s="1"/>
      <c r="AO638" s="1"/>
      <c r="AP638" s="1"/>
      <c r="AQ638" s="1"/>
      <c r="AR638" s="1"/>
      <c r="AS638" s="1"/>
      <c r="AT638" s="1"/>
      <c r="AU638" s="1"/>
      <c r="AV638" s="1"/>
      <c r="AW638" s="1"/>
      <c r="AX638" s="1"/>
      <c r="AY638" s="1"/>
      <c r="AZ638" s="1"/>
      <c r="BA638" s="1"/>
    </row>
    <row r="639" spans="1:53" x14ac:dyDescent="0.3">
      <c r="A639" s="1"/>
      <c r="B639" s="1"/>
      <c r="C639" s="1"/>
      <c r="D639" s="1"/>
      <c r="E639" s="1"/>
      <c r="F639" s="1"/>
      <c r="G639" s="1"/>
      <c r="H639" s="69"/>
      <c r="I639" s="1"/>
      <c r="J639" s="1"/>
      <c r="K639" s="1"/>
      <c r="L639" s="1"/>
      <c r="M639" s="1"/>
      <c r="N639" s="1"/>
      <c r="O639" s="1"/>
      <c r="P639" s="1"/>
      <c r="Q639" s="1"/>
      <c r="R639" s="1"/>
      <c r="S639" s="1"/>
      <c r="T639" s="1"/>
      <c r="U639" s="1"/>
      <c r="V639" s="1"/>
      <c r="W639" s="1"/>
      <c r="X639" s="84"/>
      <c r="Y639" s="84" t="str" cm="1">
        <f t="array" ref="Y639">CalculerNouvelleDate(I639,X639)</f>
        <v/>
      </c>
      <c r="Z639" s="84" t="str" cm="1">
        <f t="array" ref="Z639">CalculerNouvelleDate(J639,Y639)</f>
        <v/>
      </c>
      <c r="AA639" s="84" t="str" cm="1">
        <f t="array" ref="AA639">CalculerNouvelleDate(K639,Z639)</f>
        <v/>
      </c>
      <c r="AB639" s="84" t="str" cm="1">
        <f t="array" ref="AB639">CalculerNouvelleDate(L639,AA639)</f>
        <v/>
      </c>
      <c r="AC639" s="84" t="str" cm="1">
        <f t="array" ref="AC639">CalculerNouvelleDate(M639,AB639)</f>
        <v/>
      </c>
      <c r="AD639" s="84" t="str" cm="1">
        <f t="array" ref="AD639">CalculerNouvelleDate(N639,AC639)</f>
        <v/>
      </c>
      <c r="AE639" s="84" t="str" cm="1">
        <f t="array" ref="AE639">CalculerNouvelleDate(O639,AD639)</f>
        <v/>
      </c>
      <c r="AF639" s="84" t="str" cm="1">
        <f t="array" ref="AF639">CalculerNouvelleDate(P639,AE639)</f>
        <v/>
      </c>
      <c r="AG639" s="84" t="str" cm="1">
        <f t="array" ref="AG639">CalculerNouvelleDate(Q639,AF639)</f>
        <v/>
      </c>
      <c r="AH639" s="84" t="str" cm="1">
        <f t="array" ref="AH639">CalculerNouvelleDate(R639,AG639)</f>
        <v/>
      </c>
      <c r="AI639" s="84" t="str" cm="1">
        <f t="array" ref="AI639">CalculerNouvelleDate(S639,AH639)</f>
        <v/>
      </c>
      <c r="AJ639" s="84" t="str" cm="1">
        <f t="array" ref="AJ639">CalculerNouvelleDate(T639,AI639)</f>
        <v/>
      </c>
      <c r="AK639" s="84" t="str" cm="1">
        <f t="array" ref="AK639">CalculerNouvelleDate(U639,AJ639)</f>
        <v/>
      </c>
      <c r="AL639" s="84" t="str" cm="1">
        <f t="array" ref="AL639">CalculerNouvelleDate(V639,AK639)</f>
        <v/>
      </c>
      <c r="AM639" s="1"/>
      <c r="AN639" s="1"/>
      <c r="AO639" s="1"/>
      <c r="AP639" s="1"/>
      <c r="AQ639" s="1"/>
      <c r="AR639" s="1"/>
      <c r="AS639" s="1"/>
      <c r="AT639" s="1"/>
      <c r="AU639" s="1"/>
      <c r="AV639" s="1"/>
      <c r="AW639" s="1"/>
      <c r="AX639" s="1"/>
      <c r="AY639" s="1"/>
      <c r="AZ639" s="1"/>
      <c r="BA639" s="1"/>
    </row>
    <row r="640" spans="1:53" x14ac:dyDescent="0.3">
      <c r="A640" s="1"/>
      <c r="B640" s="1"/>
      <c r="C640" s="1"/>
      <c r="D640" s="1"/>
      <c r="E640" s="1"/>
      <c r="F640" s="1"/>
      <c r="G640" s="1"/>
      <c r="H640" s="69"/>
      <c r="I640" s="1"/>
      <c r="J640" s="1"/>
      <c r="K640" s="1"/>
      <c r="L640" s="1"/>
      <c r="M640" s="1"/>
      <c r="N640" s="1"/>
      <c r="O640" s="1"/>
      <c r="P640" s="1"/>
      <c r="Q640" s="1"/>
      <c r="R640" s="1"/>
      <c r="S640" s="1"/>
      <c r="T640" s="1"/>
      <c r="U640" s="1"/>
      <c r="V640" s="1"/>
      <c r="W640" s="1"/>
      <c r="X640" s="84"/>
      <c r="Y640" s="84" t="str" cm="1">
        <f t="array" ref="Y640">CalculerNouvelleDate(I640,X640)</f>
        <v/>
      </c>
      <c r="Z640" s="84" t="str" cm="1">
        <f t="array" ref="Z640">CalculerNouvelleDate(J640,Y640)</f>
        <v/>
      </c>
      <c r="AA640" s="84" t="str" cm="1">
        <f t="array" ref="AA640">CalculerNouvelleDate(K640,Z640)</f>
        <v/>
      </c>
      <c r="AB640" s="84" t="str" cm="1">
        <f t="array" ref="AB640">CalculerNouvelleDate(L640,AA640)</f>
        <v/>
      </c>
      <c r="AC640" s="84" t="str" cm="1">
        <f t="array" ref="AC640">CalculerNouvelleDate(M640,AB640)</f>
        <v/>
      </c>
      <c r="AD640" s="84" t="str" cm="1">
        <f t="array" ref="AD640">CalculerNouvelleDate(N640,AC640)</f>
        <v/>
      </c>
      <c r="AE640" s="84" t="str" cm="1">
        <f t="array" ref="AE640">CalculerNouvelleDate(O640,AD640)</f>
        <v/>
      </c>
      <c r="AF640" s="84" t="str" cm="1">
        <f t="array" ref="AF640">CalculerNouvelleDate(P640,AE640)</f>
        <v/>
      </c>
      <c r="AG640" s="84" t="str" cm="1">
        <f t="array" ref="AG640">CalculerNouvelleDate(Q640,AF640)</f>
        <v/>
      </c>
      <c r="AH640" s="84" t="str" cm="1">
        <f t="array" ref="AH640">CalculerNouvelleDate(R640,AG640)</f>
        <v/>
      </c>
      <c r="AI640" s="84" t="str" cm="1">
        <f t="array" ref="AI640">CalculerNouvelleDate(S640,AH640)</f>
        <v/>
      </c>
      <c r="AJ640" s="84" t="str" cm="1">
        <f t="array" ref="AJ640">CalculerNouvelleDate(T640,AI640)</f>
        <v/>
      </c>
      <c r="AK640" s="84" t="str" cm="1">
        <f t="array" ref="AK640">CalculerNouvelleDate(U640,AJ640)</f>
        <v/>
      </c>
      <c r="AL640" s="84" t="str" cm="1">
        <f t="array" ref="AL640">CalculerNouvelleDate(V640,AK640)</f>
        <v/>
      </c>
      <c r="AM640" s="1"/>
      <c r="AN640" s="1"/>
      <c r="AO640" s="1"/>
      <c r="AP640" s="1"/>
      <c r="AQ640" s="1"/>
      <c r="AR640" s="1"/>
      <c r="AS640" s="1"/>
      <c r="AT640" s="1"/>
      <c r="AU640" s="1"/>
      <c r="AV640" s="1"/>
      <c r="AW640" s="1"/>
      <c r="AX640" s="1"/>
      <c r="AY640" s="1"/>
      <c r="AZ640" s="1"/>
      <c r="BA640" s="1"/>
    </row>
    <row r="641" spans="1:53" x14ac:dyDescent="0.3">
      <c r="A641" s="1"/>
      <c r="B641" s="1"/>
      <c r="C641" s="1"/>
      <c r="D641" s="1"/>
      <c r="E641" s="1"/>
      <c r="F641" s="1"/>
      <c r="G641" s="1"/>
      <c r="H641" s="69"/>
      <c r="I641" s="1"/>
      <c r="J641" s="1"/>
      <c r="K641" s="1"/>
      <c r="L641" s="1"/>
      <c r="M641" s="1"/>
      <c r="N641" s="1"/>
      <c r="O641" s="1"/>
      <c r="P641" s="1"/>
      <c r="Q641" s="1"/>
      <c r="R641" s="1"/>
      <c r="S641" s="1"/>
      <c r="T641" s="1"/>
      <c r="U641" s="1"/>
      <c r="V641" s="1"/>
      <c r="W641" s="1"/>
      <c r="X641" s="84"/>
      <c r="Y641" s="84" t="str" cm="1">
        <f t="array" ref="Y641">CalculerNouvelleDate(I641,X641)</f>
        <v/>
      </c>
      <c r="Z641" s="84" t="str" cm="1">
        <f t="array" ref="Z641">CalculerNouvelleDate(J641,Y641)</f>
        <v/>
      </c>
      <c r="AA641" s="84" t="str" cm="1">
        <f t="array" ref="AA641">CalculerNouvelleDate(K641,Z641)</f>
        <v/>
      </c>
      <c r="AB641" s="84" t="str" cm="1">
        <f t="array" ref="AB641">CalculerNouvelleDate(L641,AA641)</f>
        <v/>
      </c>
      <c r="AC641" s="84" t="str" cm="1">
        <f t="array" ref="AC641">CalculerNouvelleDate(M641,AB641)</f>
        <v/>
      </c>
      <c r="AD641" s="84" t="str" cm="1">
        <f t="array" ref="AD641">CalculerNouvelleDate(N641,AC641)</f>
        <v/>
      </c>
      <c r="AE641" s="84" t="str" cm="1">
        <f t="array" ref="AE641">CalculerNouvelleDate(O641,AD641)</f>
        <v/>
      </c>
      <c r="AF641" s="84" t="str" cm="1">
        <f t="array" ref="AF641">CalculerNouvelleDate(P641,AE641)</f>
        <v/>
      </c>
      <c r="AG641" s="84" t="str" cm="1">
        <f t="array" ref="AG641">CalculerNouvelleDate(Q641,AF641)</f>
        <v/>
      </c>
      <c r="AH641" s="84" t="str" cm="1">
        <f t="array" ref="AH641">CalculerNouvelleDate(R641,AG641)</f>
        <v/>
      </c>
      <c r="AI641" s="84" t="str" cm="1">
        <f t="array" ref="AI641">CalculerNouvelleDate(S641,AH641)</f>
        <v/>
      </c>
      <c r="AJ641" s="84" t="str" cm="1">
        <f t="array" ref="AJ641">CalculerNouvelleDate(T641,AI641)</f>
        <v/>
      </c>
      <c r="AK641" s="84" t="str" cm="1">
        <f t="array" ref="AK641">CalculerNouvelleDate(U641,AJ641)</f>
        <v/>
      </c>
      <c r="AL641" s="84" t="str" cm="1">
        <f t="array" ref="AL641">CalculerNouvelleDate(V641,AK641)</f>
        <v/>
      </c>
      <c r="AM641" s="1"/>
      <c r="AN641" s="1"/>
      <c r="AO641" s="1"/>
      <c r="AP641" s="1"/>
      <c r="AQ641" s="1"/>
      <c r="AR641" s="1"/>
      <c r="AS641" s="1"/>
      <c r="AT641" s="1"/>
      <c r="AU641" s="1"/>
      <c r="AV641" s="1"/>
      <c r="AW641" s="1"/>
      <c r="AX641" s="1"/>
      <c r="AY641" s="1"/>
      <c r="AZ641" s="1"/>
      <c r="BA641" s="1"/>
    </row>
    <row r="642" spans="1:53" x14ac:dyDescent="0.3">
      <c r="A642" s="1"/>
      <c r="B642" s="1"/>
      <c r="C642" s="1"/>
      <c r="D642" s="1"/>
      <c r="E642" s="1"/>
      <c r="F642" s="1"/>
      <c r="G642" s="1"/>
      <c r="H642" s="69"/>
      <c r="I642" s="1"/>
      <c r="J642" s="1"/>
      <c r="K642" s="1"/>
      <c r="L642" s="1"/>
      <c r="M642" s="1"/>
      <c r="N642" s="1"/>
      <c r="O642" s="1"/>
      <c r="P642" s="1"/>
      <c r="Q642" s="1"/>
      <c r="R642" s="1"/>
      <c r="S642" s="1"/>
      <c r="T642" s="1"/>
      <c r="U642" s="1"/>
      <c r="V642" s="1"/>
      <c r="W642" s="1"/>
      <c r="X642" s="84"/>
      <c r="Y642" s="84" t="str" cm="1">
        <f t="array" ref="Y642">CalculerNouvelleDate(I642,X642)</f>
        <v/>
      </c>
      <c r="Z642" s="84" t="str" cm="1">
        <f t="array" ref="Z642">CalculerNouvelleDate(J642,Y642)</f>
        <v/>
      </c>
      <c r="AA642" s="84" t="str" cm="1">
        <f t="array" ref="AA642">CalculerNouvelleDate(K642,Z642)</f>
        <v/>
      </c>
      <c r="AB642" s="84" t="str" cm="1">
        <f t="array" ref="AB642">CalculerNouvelleDate(L642,AA642)</f>
        <v/>
      </c>
      <c r="AC642" s="84" t="str" cm="1">
        <f t="array" ref="AC642">CalculerNouvelleDate(M642,AB642)</f>
        <v/>
      </c>
      <c r="AD642" s="84" t="str" cm="1">
        <f t="array" ref="AD642">CalculerNouvelleDate(N642,AC642)</f>
        <v/>
      </c>
      <c r="AE642" s="84" t="str" cm="1">
        <f t="array" ref="AE642">CalculerNouvelleDate(O642,AD642)</f>
        <v/>
      </c>
      <c r="AF642" s="84" t="str" cm="1">
        <f t="array" ref="AF642">CalculerNouvelleDate(P642,AE642)</f>
        <v/>
      </c>
      <c r="AG642" s="84" t="str" cm="1">
        <f t="array" ref="AG642">CalculerNouvelleDate(Q642,AF642)</f>
        <v/>
      </c>
      <c r="AH642" s="84" t="str" cm="1">
        <f t="array" ref="AH642">CalculerNouvelleDate(R642,AG642)</f>
        <v/>
      </c>
      <c r="AI642" s="84" t="str" cm="1">
        <f t="array" ref="AI642">CalculerNouvelleDate(S642,AH642)</f>
        <v/>
      </c>
      <c r="AJ642" s="84" t="str" cm="1">
        <f t="array" ref="AJ642">CalculerNouvelleDate(T642,AI642)</f>
        <v/>
      </c>
      <c r="AK642" s="84" t="str" cm="1">
        <f t="array" ref="AK642">CalculerNouvelleDate(U642,AJ642)</f>
        <v/>
      </c>
      <c r="AL642" s="84" t="str" cm="1">
        <f t="array" ref="AL642">CalculerNouvelleDate(V642,AK642)</f>
        <v/>
      </c>
      <c r="AM642" s="1"/>
      <c r="AN642" s="1"/>
      <c r="AO642" s="1"/>
      <c r="AP642" s="1"/>
      <c r="AQ642" s="1"/>
      <c r="AR642" s="1"/>
      <c r="AS642" s="1"/>
      <c r="AT642" s="1"/>
      <c r="AU642" s="1"/>
      <c r="AV642" s="1"/>
      <c r="AW642" s="1"/>
      <c r="AX642" s="1"/>
      <c r="AY642" s="1"/>
      <c r="AZ642" s="1"/>
      <c r="BA642" s="1"/>
    </row>
    <row r="643" spans="1:53" x14ac:dyDescent="0.3">
      <c r="A643" s="1"/>
      <c r="B643" s="1"/>
      <c r="C643" s="1"/>
      <c r="D643" s="1"/>
      <c r="E643" s="1"/>
      <c r="F643" s="1"/>
      <c r="G643" s="1"/>
      <c r="H643" s="69"/>
      <c r="I643" s="1"/>
      <c r="J643" s="1"/>
      <c r="K643" s="1"/>
      <c r="L643" s="1"/>
      <c r="M643" s="1"/>
      <c r="N643" s="1"/>
      <c r="O643" s="1"/>
      <c r="P643" s="1"/>
      <c r="Q643" s="1"/>
      <c r="R643" s="1"/>
      <c r="S643" s="1"/>
      <c r="T643" s="1"/>
      <c r="U643" s="1"/>
      <c r="V643" s="1"/>
      <c r="W643" s="1"/>
      <c r="X643" s="84"/>
      <c r="Y643" s="84" t="str" cm="1">
        <f t="array" ref="Y643">CalculerNouvelleDate(I643,X643)</f>
        <v/>
      </c>
      <c r="Z643" s="84" t="str" cm="1">
        <f t="array" ref="Z643">CalculerNouvelleDate(J643,Y643)</f>
        <v/>
      </c>
      <c r="AA643" s="84" t="str" cm="1">
        <f t="array" ref="AA643">CalculerNouvelleDate(K643,Z643)</f>
        <v/>
      </c>
      <c r="AB643" s="84" t="str" cm="1">
        <f t="array" ref="AB643">CalculerNouvelleDate(L643,AA643)</f>
        <v/>
      </c>
      <c r="AC643" s="84" t="str" cm="1">
        <f t="array" ref="AC643">CalculerNouvelleDate(M643,AB643)</f>
        <v/>
      </c>
      <c r="AD643" s="84" t="str" cm="1">
        <f t="array" ref="AD643">CalculerNouvelleDate(N643,AC643)</f>
        <v/>
      </c>
      <c r="AE643" s="84" t="str" cm="1">
        <f t="array" ref="AE643">CalculerNouvelleDate(O643,AD643)</f>
        <v/>
      </c>
      <c r="AF643" s="84" t="str" cm="1">
        <f t="array" ref="AF643">CalculerNouvelleDate(P643,AE643)</f>
        <v/>
      </c>
      <c r="AG643" s="84" t="str" cm="1">
        <f t="array" ref="AG643">CalculerNouvelleDate(Q643,AF643)</f>
        <v/>
      </c>
      <c r="AH643" s="84" t="str" cm="1">
        <f t="array" ref="AH643">CalculerNouvelleDate(R643,AG643)</f>
        <v/>
      </c>
      <c r="AI643" s="84" t="str" cm="1">
        <f t="array" ref="AI643">CalculerNouvelleDate(S643,AH643)</f>
        <v/>
      </c>
      <c r="AJ643" s="84" t="str" cm="1">
        <f t="array" ref="AJ643">CalculerNouvelleDate(T643,AI643)</f>
        <v/>
      </c>
      <c r="AK643" s="84" t="str" cm="1">
        <f t="array" ref="AK643">CalculerNouvelleDate(U643,AJ643)</f>
        <v/>
      </c>
      <c r="AL643" s="84" t="str" cm="1">
        <f t="array" ref="AL643">CalculerNouvelleDate(V643,AK643)</f>
        <v/>
      </c>
      <c r="AM643" s="1"/>
      <c r="AN643" s="1"/>
      <c r="AO643" s="1"/>
      <c r="AP643" s="1"/>
      <c r="AQ643" s="1"/>
      <c r="AR643" s="1"/>
      <c r="AS643" s="1"/>
      <c r="AT643" s="1"/>
      <c r="AU643" s="1"/>
      <c r="AV643" s="1"/>
      <c r="AW643" s="1"/>
      <c r="AX643" s="1"/>
      <c r="AY643" s="1"/>
      <c r="AZ643" s="1"/>
      <c r="BA643" s="1"/>
    </row>
    <row r="644" spans="1:53" x14ac:dyDescent="0.3">
      <c r="A644" s="1"/>
      <c r="B644" s="1"/>
      <c r="C644" s="1"/>
      <c r="D644" s="1"/>
      <c r="E644" s="1"/>
      <c r="F644" s="1"/>
      <c r="G644" s="1"/>
      <c r="H644" s="69"/>
      <c r="I644" s="1"/>
      <c r="J644" s="1"/>
      <c r="K644" s="1"/>
      <c r="L644" s="1"/>
      <c r="M644" s="1"/>
      <c r="N644" s="1"/>
      <c r="O644" s="1"/>
      <c r="P644" s="1"/>
      <c r="Q644" s="1"/>
      <c r="R644" s="1"/>
      <c r="S644" s="1"/>
      <c r="T644" s="1"/>
      <c r="U644" s="1"/>
      <c r="V644" s="1"/>
      <c r="W644" s="1"/>
      <c r="X644" s="84"/>
      <c r="Y644" s="84" t="str" cm="1">
        <f t="array" ref="Y644">CalculerNouvelleDate(I644,X644)</f>
        <v/>
      </c>
      <c r="Z644" s="84" t="str" cm="1">
        <f t="array" ref="Z644">CalculerNouvelleDate(J644,Y644)</f>
        <v/>
      </c>
      <c r="AA644" s="84" t="str" cm="1">
        <f t="array" ref="AA644">CalculerNouvelleDate(K644,Z644)</f>
        <v/>
      </c>
      <c r="AB644" s="84" t="str" cm="1">
        <f t="array" ref="AB644">CalculerNouvelleDate(L644,AA644)</f>
        <v/>
      </c>
      <c r="AC644" s="84" t="str" cm="1">
        <f t="array" ref="AC644">CalculerNouvelleDate(M644,AB644)</f>
        <v/>
      </c>
      <c r="AD644" s="84" t="str" cm="1">
        <f t="array" ref="AD644">CalculerNouvelleDate(N644,AC644)</f>
        <v/>
      </c>
      <c r="AE644" s="84" t="str" cm="1">
        <f t="array" ref="AE644">CalculerNouvelleDate(O644,AD644)</f>
        <v/>
      </c>
      <c r="AF644" s="84" t="str" cm="1">
        <f t="array" ref="AF644">CalculerNouvelleDate(P644,AE644)</f>
        <v/>
      </c>
      <c r="AG644" s="84" t="str" cm="1">
        <f t="array" ref="AG644">CalculerNouvelleDate(Q644,AF644)</f>
        <v/>
      </c>
      <c r="AH644" s="84" t="str" cm="1">
        <f t="array" ref="AH644">CalculerNouvelleDate(R644,AG644)</f>
        <v/>
      </c>
      <c r="AI644" s="84" t="str" cm="1">
        <f t="array" ref="AI644">CalculerNouvelleDate(S644,AH644)</f>
        <v/>
      </c>
      <c r="AJ644" s="84" t="str" cm="1">
        <f t="array" ref="AJ644">CalculerNouvelleDate(T644,AI644)</f>
        <v/>
      </c>
      <c r="AK644" s="84" t="str" cm="1">
        <f t="array" ref="AK644">CalculerNouvelleDate(U644,AJ644)</f>
        <v/>
      </c>
      <c r="AL644" s="84" t="str" cm="1">
        <f t="array" ref="AL644">CalculerNouvelleDate(V644,AK644)</f>
        <v/>
      </c>
      <c r="AM644" s="1"/>
      <c r="AN644" s="1"/>
      <c r="AO644" s="1"/>
      <c r="AP644" s="1"/>
      <c r="AQ644" s="1"/>
      <c r="AR644" s="1"/>
      <c r="AS644" s="1"/>
      <c r="AT644" s="1"/>
      <c r="AU644" s="1"/>
      <c r="AV644" s="1"/>
      <c r="AW644" s="1"/>
      <c r="AX644" s="1"/>
      <c r="AY644" s="1"/>
      <c r="AZ644" s="1"/>
      <c r="BA644" s="1"/>
    </row>
    <row r="645" spans="1:53" x14ac:dyDescent="0.3">
      <c r="A645" s="1"/>
      <c r="B645" s="1"/>
      <c r="C645" s="1"/>
      <c r="D645" s="1"/>
      <c r="E645" s="1"/>
      <c r="F645" s="1"/>
      <c r="G645" s="1"/>
      <c r="H645" s="69"/>
      <c r="I645" s="1"/>
      <c r="J645" s="1"/>
      <c r="K645" s="1"/>
      <c r="L645" s="1"/>
      <c r="M645" s="1"/>
      <c r="N645" s="1"/>
      <c r="O645" s="1"/>
      <c r="P645" s="1"/>
      <c r="Q645" s="1"/>
      <c r="R645" s="1"/>
      <c r="S645" s="1"/>
      <c r="T645" s="1"/>
      <c r="U645" s="1"/>
      <c r="V645" s="1"/>
      <c r="W645" s="1"/>
      <c r="X645" s="84"/>
      <c r="Y645" s="84" t="str" cm="1">
        <f t="array" ref="Y645">CalculerNouvelleDate(I645,X645)</f>
        <v/>
      </c>
      <c r="Z645" s="84" t="str" cm="1">
        <f t="array" ref="Z645">CalculerNouvelleDate(J645,Y645)</f>
        <v/>
      </c>
      <c r="AA645" s="84" t="str" cm="1">
        <f t="array" ref="AA645">CalculerNouvelleDate(K645,Z645)</f>
        <v/>
      </c>
      <c r="AB645" s="84" t="str" cm="1">
        <f t="array" ref="AB645">CalculerNouvelleDate(L645,AA645)</f>
        <v/>
      </c>
      <c r="AC645" s="84" t="str" cm="1">
        <f t="array" ref="AC645">CalculerNouvelleDate(M645,AB645)</f>
        <v/>
      </c>
      <c r="AD645" s="84" t="str" cm="1">
        <f t="array" ref="AD645">CalculerNouvelleDate(N645,AC645)</f>
        <v/>
      </c>
      <c r="AE645" s="84" t="str" cm="1">
        <f t="array" ref="AE645">CalculerNouvelleDate(O645,AD645)</f>
        <v/>
      </c>
      <c r="AF645" s="84" t="str" cm="1">
        <f t="array" ref="AF645">CalculerNouvelleDate(P645,AE645)</f>
        <v/>
      </c>
      <c r="AG645" s="84" t="str" cm="1">
        <f t="array" ref="AG645">CalculerNouvelleDate(Q645,AF645)</f>
        <v/>
      </c>
      <c r="AH645" s="84" t="str" cm="1">
        <f t="array" ref="AH645">CalculerNouvelleDate(R645,AG645)</f>
        <v/>
      </c>
      <c r="AI645" s="84" t="str" cm="1">
        <f t="array" ref="AI645">CalculerNouvelleDate(S645,AH645)</f>
        <v/>
      </c>
      <c r="AJ645" s="84" t="str" cm="1">
        <f t="array" ref="AJ645">CalculerNouvelleDate(T645,AI645)</f>
        <v/>
      </c>
      <c r="AK645" s="84" t="str" cm="1">
        <f t="array" ref="AK645">CalculerNouvelleDate(U645,AJ645)</f>
        <v/>
      </c>
      <c r="AL645" s="84" t="str" cm="1">
        <f t="array" ref="AL645">CalculerNouvelleDate(V645,AK645)</f>
        <v/>
      </c>
      <c r="AM645" s="1"/>
      <c r="AN645" s="1"/>
      <c r="AO645" s="1"/>
      <c r="AP645" s="1"/>
      <c r="AQ645" s="1"/>
      <c r="AR645" s="1"/>
      <c r="AS645" s="1"/>
      <c r="AT645" s="1"/>
      <c r="AU645" s="1"/>
      <c r="AV645" s="1"/>
      <c r="AW645" s="1"/>
      <c r="AX645" s="1"/>
      <c r="AY645" s="1"/>
      <c r="AZ645" s="1"/>
      <c r="BA645" s="1"/>
    </row>
    <row r="646" spans="1:53" x14ac:dyDescent="0.3">
      <c r="A646" s="1"/>
      <c r="B646" s="1"/>
      <c r="C646" s="1"/>
      <c r="D646" s="1"/>
      <c r="E646" s="1"/>
      <c r="F646" s="1"/>
      <c r="G646" s="1"/>
      <c r="H646" s="69"/>
      <c r="I646" s="1"/>
      <c r="J646" s="1"/>
      <c r="K646" s="1"/>
      <c r="L646" s="1"/>
      <c r="M646" s="1"/>
      <c r="N646" s="1"/>
      <c r="O646" s="1"/>
      <c r="P646" s="1"/>
      <c r="Q646" s="1"/>
      <c r="R646" s="1"/>
      <c r="S646" s="1"/>
      <c r="T646" s="1"/>
      <c r="U646" s="1"/>
      <c r="V646" s="1"/>
      <c r="W646" s="1"/>
      <c r="X646" s="84"/>
      <c r="Y646" s="84" t="str" cm="1">
        <f t="array" ref="Y646">CalculerNouvelleDate(I646,X646)</f>
        <v/>
      </c>
      <c r="Z646" s="84" t="str" cm="1">
        <f t="array" ref="Z646">CalculerNouvelleDate(J646,Y646)</f>
        <v/>
      </c>
      <c r="AA646" s="84" t="str" cm="1">
        <f t="array" ref="AA646">CalculerNouvelleDate(K646,Z646)</f>
        <v/>
      </c>
      <c r="AB646" s="84" t="str" cm="1">
        <f t="array" ref="AB646">CalculerNouvelleDate(L646,AA646)</f>
        <v/>
      </c>
      <c r="AC646" s="84" t="str" cm="1">
        <f t="array" ref="AC646">CalculerNouvelleDate(M646,AB646)</f>
        <v/>
      </c>
      <c r="AD646" s="84" t="str" cm="1">
        <f t="array" ref="AD646">CalculerNouvelleDate(N646,AC646)</f>
        <v/>
      </c>
      <c r="AE646" s="84" t="str" cm="1">
        <f t="array" ref="AE646">CalculerNouvelleDate(O646,AD646)</f>
        <v/>
      </c>
      <c r="AF646" s="84" t="str" cm="1">
        <f t="array" ref="AF646">CalculerNouvelleDate(P646,AE646)</f>
        <v/>
      </c>
      <c r="AG646" s="84" t="str" cm="1">
        <f t="array" ref="AG646">CalculerNouvelleDate(Q646,AF646)</f>
        <v/>
      </c>
      <c r="AH646" s="84" t="str" cm="1">
        <f t="array" ref="AH646">CalculerNouvelleDate(R646,AG646)</f>
        <v/>
      </c>
      <c r="AI646" s="84" t="str" cm="1">
        <f t="array" ref="AI646">CalculerNouvelleDate(S646,AH646)</f>
        <v/>
      </c>
      <c r="AJ646" s="84" t="str" cm="1">
        <f t="array" ref="AJ646">CalculerNouvelleDate(T646,AI646)</f>
        <v/>
      </c>
      <c r="AK646" s="84" t="str" cm="1">
        <f t="array" ref="AK646">CalculerNouvelleDate(U646,AJ646)</f>
        <v/>
      </c>
      <c r="AL646" s="84" t="str" cm="1">
        <f t="array" ref="AL646">CalculerNouvelleDate(V646,AK646)</f>
        <v/>
      </c>
      <c r="AM646" s="1"/>
      <c r="AN646" s="1"/>
      <c r="AO646" s="1"/>
      <c r="AP646" s="1"/>
      <c r="AQ646" s="1"/>
      <c r="AR646" s="1"/>
      <c r="AS646" s="1"/>
      <c r="AT646" s="1"/>
      <c r="AU646" s="1"/>
      <c r="AV646" s="1"/>
      <c r="AW646" s="1"/>
      <c r="AX646" s="1"/>
      <c r="AY646" s="1"/>
      <c r="AZ646" s="1"/>
      <c r="BA646" s="1"/>
    </row>
    <row r="647" spans="1:53" x14ac:dyDescent="0.3">
      <c r="A647" s="1"/>
      <c r="B647" s="1"/>
      <c r="C647" s="1"/>
      <c r="D647" s="1"/>
      <c r="E647" s="1"/>
      <c r="F647" s="1"/>
      <c r="G647" s="1"/>
      <c r="H647" s="69"/>
      <c r="I647" s="1"/>
      <c r="J647" s="1"/>
      <c r="K647" s="1"/>
      <c r="L647" s="1"/>
      <c r="M647" s="1"/>
      <c r="N647" s="1"/>
      <c r="O647" s="1"/>
      <c r="P647" s="1"/>
      <c r="Q647" s="1"/>
      <c r="R647" s="1"/>
      <c r="S647" s="1"/>
      <c r="T647" s="1"/>
      <c r="U647" s="1"/>
      <c r="V647" s="1"/>
      <c r="W647" s="1"/>
      <c r="X647" s="84"/>
      <c r="Y647" s="84" t="str" cm="1">
        <f t="array" ref="Y647">CalculerNouvelleDate(I647,X647)</f>
        <v/>
      </c>
      <c r="Z647" s="84" t="str" cm="1">
        <f t="array" ref="Z647">CalculerNouvelleDate(J647,Y647)</f>
        <v/>
      </c>
      <c r="AA647" s="84" t="str" cm="1">
        <f t="array" ref="AA647">CalculerNouvelleDate(K647,Z647)</f>
        <v/>
      </c>
      <c r="AB647" s="84" t="str" cm="1">
        <f t="array" ref="AB647">CalculerNouvelleDate(L647,AA647)</f>
        <v/>
      </c>
      <c r="AC647" s="84" t="str" cm="1">
        <f t="array" ref="AC647">CalculerNouvelleDate(M647,AB647)</f>
        <v/>
      </c>
      <c r="AD647" s="84" t="str" cm="1">
        <f t="array" ref="AD647">CalculerNouvelleDate(N647,AC647)</f>
        <v/>
      </c>
      <c r="AE647" s="84" t="str" cm="1">
        <f t="array" ref="AE647">CalculerNouvelleDate(O647,AD647)</f>
        <v/>
      </c>
      <c r="AF647" s="84" t="str" cm="1">
        <f t="array" ref="AF647">CalculerNouvelleDate(P647,AE647)</f>
        <v/>
      </c>
      <c r="AG647" s="84" t="str" cm="1">
        <f t="array" ref="AG647">CalculerNouvelleDate(Q647,AF647)</f>
        <v/>
      </c>
      <c r="AH647" s="84" t="str" cm="1">
        <f t="array" ref="AH647">CalculerNouvelleDate(R647,AG647)</f>
        <v/>
      </c>
      <c r="AI647" s="84" t="str" cm="1">
        <f t="array" ref="AI647">CalculerNouvelleDate(S647,AH647)</f>
        <v/>
      </c>
      <c r="AJ647" s="84" t="str" cm="1">
        <f t="array" ref="AJ647">CalculerNouvelleDate(T647,AI647)</f>
        <v/>
      </c>
      <c r="AK647" s="84" t="str" cm="1">
        <f t="array" ref="AK647">CalculerNouvelleDate(U647,AJ647)</f>
        <v/>
      </c>
      <c r="AL647" s="84" t="str" cm="1">
        <f t="array" ref="AL647">CalculerNouvelleDate(V647,AK647)</f>
        <v/>
      </c>
      <c r="AM647" s="1"/>
      <c r="AN647" s="1"/>
      <c r="AO647" s="1"/>
      <c r="AP647" s="1"/>
      <c r="AQ647" s="1"/>
      <c r="AR647" s="1"/>
      <c r="AS647" s="1"/>
      <c r="AT647" s="1"/>
      <c r="AU647" s="1"/>
      <c r="AV647" s="1"/>
      <c r="AW647" s="1"/>
      <c r="AX647" s="1"/>
      <c r="AY647" s="1"/>
      <c r="AZ647" s="1"/>
      <c r="BA647" s="1"/>
    </row>
    <row r="648" spans="1:53" x14ac:dyDescent="0.3">
      <c r="A648" s="1"/>
      <c r="B648" s="1"/>
      <c r="C648" s="1"/>
      <c r="D648" s="1"/>
      <c r="E648" s="1"/>
      <c r="F648" s="1"/>
      <c r="G648" s="1"/>
      <c r="H648" s="69"/>
      <c r="I648" s="1"/>
      <c r="J648" s="1"/>
      <c r="K648" s="1"/>
      <c r="L648" s="1"/>
      <c r="M648" s="1"/>
      <c r="N648" s="1"/>
      <c r="O648" s="1"/>
      <c r="P648" s="1"/>
      <c r="Q648" s="1"/>
      <c r="R648" s="1"/>
      <c r="S648" s="1"/>
      <c r="T648" s="1"/>
      <c r="U648" s="1"/>
      <c r="V648" s="1"/>
      <c r="W648" s="1"/>
      <c r="X648" s="84"/>
      <c r="Y648" s="84" t="str" cm="1">
        <f t="array" ref="Y648">CalculerNouvelleDate(I648,X648)</f>
        <v/>
      </c>
      <c r="Z648" s="84" t="str" cm="1">
        <f t="array" ref="Z648">CalculerNouvelleDate(J648,Y648)</f>
        <v/>
      </c>
      <c r="AA648" s="84" t="str" cm="1">
        <f t="array" ref="AA648">CalculerNouvelleDate(K648,Z648)</f>
        <v/>
      </c>
      <c r="AB648" s="84" t="str" cm="1">
        <f t="array" ref="AB648">CalculerNouvelleDate(L648,AA648)</f>
        <v/>
      </c>
      <c r="AC648" s="84" t="str" cm="1">
        <f t="array" ref="AC648">CalculerNouvelleDate(M648,AB648)</f>
        <v/>
      </c>
      <c r="AD648" s="84" t="str" cm="1">
        <f t="array" ref="AD648">CalculerNouvelleDate(N648,AC648)</f>
        <v/>
      </c>
      <c r="AE648" s="84" t="str" cm="1">
        <f t="array" ref="AE648">CalculerNouvelleDate(O648,AD648)</f>
        <v/>
      </c>
      <c r="AF648" s="84" t="str" cm="1">
        <f t="array" ref="AF648">CalculerNouvelleDate(P648,AE648)</f>
        <v/>
      </c>
      <c r="AG648" s="84" t="str" cm="1">
        <f t="array" ref="AG648">CalculerNouvelleDate(Q648,AF648)</f>
        <v/>
      </c>
      <c r="AH648" s="84" t="str" cm="1">
        <f t="array" ref="AH648">CalculerNouvelleDate(R648,AG648)</f>
        <v/>
      </c>
      <c r="AI648" s="84" t="str" cm="1">
        <f t="array" ref="AI648">CalculerNouvelleDate(S648,AH648)</f>
        <v/>
      </c>
      <c r="AJ648" s="84" t="str" cm="1">
        <f t="array" ref="AJ648">CalculerNouvelleDate(T648,AI648)</f>
        <v/>
      </c>
      <c r="AK648" s="84" t="str" cm="1">
        <f t="array" ref="AK648">CalculerNouvelleDate(U648,AJ648)</f>
        <v/>
      </c>
      <c r="AL648" s="84" t="str" cm="1">
        <f t="array" ref="AL648">CalculerNouvelleDate(V648,AK648)</f>
        <v/>
      </c>
      <c r="AM648" s="1"/>
      <c r="AN648" s="1"/>
      <c r="AO648" s="1"/>
      <c r="AP648" s="1"/>
      <c r="AQ648" s="1"/>
      <c r="AR648" s="1"/>
      <c r="AS648" s="1"/>
      <c r="AT648" s="1"/>
      <c r="AU648" s="1"/>
      <c r="AV648" s="1"/>
      <c r="AW648" s="1"/>
      <c r="AX648" s="1"/>
      <c r="AY648" s="1"/>
      <c r="AZ648" s="1"/>
      <c r="BA648" s="1"/>
    </row>
    <row r="649" spans="1:53" x14ac:dyDescent="0.3">
      <c r="A649" s="1"/>
      <c r="B649" s="1"/>
      <c r="C649" s="1"/>
      <c r="D649" s="1"/>
      <c r="E649" s="1"/>
      <c r="F649" s="1"/>
      <c r="G649" s="1"/>
      <c r="H649" s="69"/>
      <c r="I649" s="1"/>
      <c r="J649" s="1"/>
      <c r="K649" s="1"/>
      <c r="L649" s="1"/>
      <c r="M649" s="1"/>
      <c r="N649" s="1"/>
      <c r="O649" s="1"/>
      <c r="P649" s="1"/>
      <c r="Q649" s="1"/>
      <c r="R649" s="1"/>
      <c r="S649" s="1"/>
      <c r="T649" s="1"/>
      <c r="U649" s="1"/>
      <c r="V649" s="1"/>
      <c r="W649" s="1"/>
      <c r="X649" s="84"/>
      <c r="Y649" s="84" t="str" cm="1">
        <f t="array" ref="Y649">CalculerNouvelleDate(I649,X649)</f>
        <v/>
      </c>
      <c r="Z649" s="84" t="str" cm="1">
        <f t="array" ref="Z649">CalculerNouvelleDate(J649,Y649)</f>
        <v/>
      </c>
      <c r="AA649" s="84" t="str" cm="1">
        <f t="array" ref="AA649">CalculerNouvelleDate(K649,Z649)</f>
        <v/>
      </c>
      <c r="AB649" s="84" t="str" cm="1">
        <f t="array" ref="AB649">CalculerNouvelleDate(L649,AA649)</f>
        <v/>
      </c>
      <c r="AC649" s="84" t="str" cm="1">
        <f t="array" ref="AC649">CalculerNouvelleDate(M649,AB649)</f>
        <v/>
      </c>
      <c r="AD649" s="84" t="str" cm="1">
        <f t="array" ref="AD649">CalculerNouvelleDate(N649,AC649)</f>
        <v/>
      </c>
      <c r="AE649" s="84" t="str" cm="1">
        <f t="array" ref="AE649">CalculerNouvelleDate(O649,AD649)</f>
        <v/>
      </c>
      <c r="AF649" s="84" t="str" cm="1">
        <f t="array" ref="AF649">CalculerNouvelleDate(P649,AE649)</f>
        <v/>
      </c>
      <c r="AG649" s="84" t="str" cm="1">
        <f t="array" ref="AG649">CalculerNouvelleDate(Q649,AF649)</f>
        <v/>
      </c>
      <c r="AH649" s="84" t="str" cm="1">
        <f t="array" ref="AH649">CalculerNouvelleDate(R649,AG649)</f>
        <v/>
      </c>
      <c r="AI649" s="84" t="str" cm="1">
        <f t="array" ref="AI649">CalculerNouvelleDate(S649,AH649)</f>
        <v/>
      </c>
      <c r="AJ649" s="84" t="str" cm="1">
        <f t="array" ref="AJ649">CalculerNouvelleDate(T649,AI649)</f>
        <v/>
      </c>
      <c r="AK649" s="84" t="str" cm="1">
        <f t="array" ref="AK649">CalculerNouvelleDate(U649,AJ649)</f>
        <v/>
      </c>
      <c r="AL649" s="84" t="str" cm="1">
        <f t="array" ref="AL649">CalculerNouvelleDate(V649,AK649)</f>
        <v/>
      </c>
      <c r="AM649" s="1"/>
      <c r="AN649" s="1"/>
      <c r="AO649" s="1"/>
      <c r="AP649" s="1"/>
      <c r="AQ649" s="1"/>
      <c r="AR649" s="1"/>
      <c r="AS649" s="1"/>
      <c r="AT649" s="1"/>
      <c r="AU649" s="1"/>
      <c r="AV649" s="1"/>
      <c r="AW649" s="1"/>
      <c r="AX649" s="1"/>
      <c r="AY649" s="1"/>
      <c r="AZ649" s="1"/>
      <c r="BA649" s="1"/>
    </row>
    <row r="650" spans="1:53" x14ac:dyDescent="0.3">
      <c r="A650" s="1"/>
      <c r="B650" s="1"/>
      <c r="C650" s="1"/>
      <c r="D650" s="1"/>
      <c r="E650" s="1"/>
      <c r="F650" s="1"/>
      <c r="G650" s="1"/>
      <c r="H650" s="69"/>
      <c r="I650" s="1"/>
      <c r="J650" s="1"/>
      <c r="K650" s="1"/>
      <c r="L650" s="1"/>
      <c r="M650" s="1"/>
      <c r="N650" s="1"/>
      <c r="O650" s="1"/>
      <c r="P650" s="1"/>
      <c r="Q650" s="1"/>
      <c r="R650" s="1"/>
      <c r="S650" s="1"/>
      <c r="T650" s="1"/>
      <c r="U650" s="1"/>
      <c r="V650" s="1"/>
      <c r="W650" s="1"/>
      <c r="X650" s="84"/>
      <c r="Y650" s="84" t="str" cm="1">
        <f t="array" ref="Y650">CalculerNouvelleDate(I650,X650)</f>
        <v/>
      </c>
      <c r="Z650" s="84" t="str" cm="1">
        <f t="array" ref="Z650">CalculerNouvelleDate(J650,Y650)</f>
        <v/>
      </c>
      <c r="AA650" s="84" t="str" cm="1">
        <f t="array" ref="AA650">CalculerNouvelleDate(K650,Z650)</f>
        <v/>
      </c>
      <c r="AB650" s="84" t="str" cm="1">
        <f t="array" ref="AB650">CalculerNouvelleDate(L650,AA650)</f>
        <v/>
      </c>
      <c r="AC650" s="84" t="str" cm="1">
        <f t="array" ref="AC650">CalculerNouvelleDate(M650,AB650)</f>
        <v/>
      </c>
      <c r="AD650" s="84" t="str" cm="1">
        <f t="array" ref="AD650">CalculerNouvelleDate(N650,AC650)</f>
        <v/>
      </c>
      <c r="AE650" s="84" t="str" cm="1">
        <f t="array" ref="AE650">CalculerNouvelleDate(O650,AD650)</f>
        <v/>
      </c>
      <c r="AF650" s="84" t="str" cm="1">
        <f t="array" ref="AF650">CalculerNouvelleDate(P650,AE650)</f>
        <v/>
      </c>
      <c r="AG650" s="84" t="str" cm="1">
        <f t="array" ref="AG650">CalculerNouvelleDate(Q650,AF650)</f>
        <v/>
      </c>
      <c r="AH650" s="84" t="str" cm="1">
        <f t="array" ref="AH650">CalculerNouvelleDate(R650,AG650)</f>
        <v/>
      </c>
      <c r="AI650" s="84" t="str" cm="1">
        <f t="array" ref="AI650">CalculerNouvelleDate(S650,AH650)</f>
        <v/>
      </c>
      <c r="AJ650" s="84" t="str" cm="1">
        <f t="array" ref="AJ650">CalculerNouvelleDate(T650,AI650)</f>
        <v/>
      </c>
      <c r="AK650" s="84" t="str" cm="1">
        <f t="array" ref="AK650">CalculerNouvelleDate(U650,AJ650)</f>
        <v/>
      </c>
      <c r="AL650" s="84" t="str" cm="1">
        <f t="array" ref="AL650">CalculerNouvelleDate(V650,AK650)</f>
        <v/>
      </c>
      <c r="AM650" s="1"/>
      <c r="AN650" s="1"/>
      <c r="AO650" s="1"/>
      <c r="AP650" s="1"/>
      <c r="AQ650" s="1"/>
      <c r="AR650" s="1"/>
      <c r="AS650" s="1"/>
      <c r="AT650" s="1"/>
      <c r="AU650" s="1"/>
      <c r="AV650" s="1"/>
      <c r="AW650" s="1"/>
      <c r="AX650" s="1"/>
      <c r="AY650" s="1"/>
      <c r="AZ650" s="1"/>
      <c r="BA650" s="1"/>
    </row>
    <row r="651" spans="1:53" x14ac:dyDescent="0.3">
      <c r="A651" s="1"/>
      <c r="B651" s="1"/>
      <c r="C651" s="1"/>
      <c r="D651" s="1"/>
      <c r="E651" s="1"/>
      <c r="F651" s="1"/>
      <c r="G651" s="1"/>
      <c r="H651" s="69"/>
      <c r="I651" s="1"/>
      <c r="J651" s="1"/>
      <c r="K651" s="1"/>
      <c r="L651" s="1"/>
      <c r="M651" s="1"/>
      <c r="N651" s="1"/>
      <c r="O651" s="1"/>
      <c r="P651" s="1"/>
      <c r="Q651" s="1"/>
      <c r="R651" s="1"/>
      <c r="S651" s="1"/>
      <c r="T651" s="1"/>
      <c r="U651" s="1"/>
      <c r="V651" s="1"/>
      <c r="W651" s="1"/>
      <c r="X651" s="84"/>
      <c r="Y651" s="84" t="str" cm="1">
        <f t="array" ref="Y651">CalculerNouvelleDate(I651,X651)</f>
        <v/>
      </c>
      <c r="Z651" s="84" t="str" cm="1">
        <f t="array" ref="Z651">CalculerNouvelleDate(J651,Y651)</f>
        <v/>
      </c>
      <c r="AA651" s="84" t="str" cm="1">
        <f t="array" ref="AA651">CalculerNouvelleDate(K651,Z651)</f>
        <v/>
      </c>
      <c r="AB651" s="84" t="str" cm="1">
        <f t="array" ref="AB651">CalculerNouvelleDate(L651,AA651)</f>
        <v/>
      </c>
      <c r="AC651" s="84" t="str" cm="1">
        <f t="array" ref="AC651">CalculerNouvelleDate(M651,AB651)</f>
        <v/>
      </c>
      <c r="AD651" s="84" t="str" cm="1">
        <f t="array" ref="AD651">CalculerNouvelleDate(N651,AC651)</f>
        <v/>
      </c>
      <c r="AE651" s="84" t="str" cm="1">
        <f t="array" ref="AE651">CalculerNouvelleDate(O651,AD651)</f>
        <v/>
      </c>
      <c r="AF651" s="84" t="str" cm="1">
        <f t="array" ref="AF651">CalculerNouvelleDate(P651,AE651)</f>
        <v/>
      </c>
      <c r="AG651" s="84" t="str" cm="1">
        <f t="array" ref="AG651">CalculerNouvelleDate(Q651,AF651)</f>
        <v/>
      </c>
      <c r="AH651" s="84" t="str" cm="1">
        <f t="array" ref="AH651">CalculerNouvelleDate(R651,AG651)</f>
        <v/>
      </c>
      <c r="AI651" s="84" t="str" cm="1">
        <f t="array" ref="AI651">CalculerNouvelleDate(S651,AH651)</f>
        <v/>
      </c>
      <c r="AJ651" s="84" t="str" cm="1">
        <f t="array" ref="AJ651">CalculerNouvelleDate(T651,AI651)</f>
        <v/>
      </c>
      <c r="AK651" s="84" t="str" cm="1">
        <f t="array" ref="AK651">CalculerNouvelleDate(U651,AJ651)</f>
        <v/>
      </c>
      <c r="AL651" s="84" t="str" cm="1">
        <f t="array" ref="AL651">CalculerNouvelleDate(V651,AK651)</f>
        <v/>
      </c>
      <c r="AM651" s="1"/>
      <c r="AN651" s="1"/>
      <c r="AO651" s="1"/>
      <c r="AP651" s="1"/>
      <c r="AQ651" s="1"/>
      <c r="AR651" s="1"/>
      <c r="AS651" s="1"/>
      <c r="AT651" s="1"/>
      <c r="AU651" s="1"/>
      <c r="AV651" s="1"/>
      <c r="AW651" s="1"/>
      <c r="AX651" s="1"/>
      <c r="AY651" s="1"/>
      <c r="AZ651" s="1"/>
      <c r="BA651" s="1"/>
    </row>
    <row r="652" spans="1:53" x14ac:dyDescent="0.3">
      <c r="A652" s="1"/>
      <c r="B652" s="1"/>
      <c r="C652" s="1"/>
      <c r="D652" s="1"/>
      <c r="E652" s="1"/>
      <c r="F652" s="1"/>
      <c r="G652" s="1"/>
      <c r="H652" s="69"/>
      <c r="I652" s="1"/>
      <c r="J652" s="1"/>
      <c r="K652" s="1"/>
      <c r="L652" s="1"/>
      <c r="M652" s="1"/>
      <c r="N652" s="1"/>
      <c r="O652" s="1"/>
      <c r="P652" s="1"/>
      <c r="Q652" s="1"/>
      <c r="R652" s="1"/>
      <c r="S652" s="1"/>
      <c r="T652" s="1"/>
      <c r="U652" s="1"/>
      <c r="V652" s="1"/>
      <c r="W652" s="1"/>
      <c r="X652" s="84"/>
      <c r="Y652" s="84" t="str" cm="1">
        <f t="array" ref="Y652">CalculerNouvelleDate(I652,X652)</f>
        <v/>
      </c>
      <c r="Z652" s="84" t="str" cm="1">
        <f t="array" ref="Z652">CalculerNouvelleDate(J652,Y652)</f>
        <v/>
      </c>
      <c r="AA652" s="84" t="str" cm="1">
        <f t="array" ref="AA652">CalculerNouvelleDate(K652,Z652)</f>
        <v/>
      </c>
      <c r="AB652" s="84" t="str" cm="1">
        <f t="array" ref="AB652">CalculerNouvelleDate(L652,AA652)</f>
        <v/>
      </c>
      <c r="AC652" s="84" t="str" cm="1">
        <f t="array" ref="AC652">CalculerNouvelleDate(M652,AB652)</f>
        <v/>
      </c>
      <c r="AD652" s="84" t="str" cm="1">
        <f t="array" ref="AD652">CalculerNouvelleDate(N652,AC652)</f>
        <v/>
      </c>
      <c r="AE652" s="84" t="str" cm="1">
        <f t="array" ref="AE652">CalculerNouvelleDate(O652,AD652)</f>
        <v/>
      </c>
      <c r="AF652" s="84" t="str" cm="1">
        <f t="array" ref="AF652">CalculerNouvelleDate(P652,AE652)</f>
        <v/>
      </c>
      <c r="AG652" s="84" t="str" cm="1">
        <f t="array" ref="AG652">CalculerNouvelleDate(Q652,AF652)</f>
        <v/>
      </c>
      <c r="AH652" s="84" t="str" cm="1">
        <f t="array" ref="AH652">CalculerNouvelleDate(R652,AG652)</f>
        <v/>
      </c>
      <c r="AI652" s="84" t="str" cm="1">
        <f t="array" ref="AI652">CalculerNouvelleDate(S652,AH652)</f>
        <v/>
      </c>
      <c r="AJ652" s="84" t="str" cm="1">
        <f t="array" ref="AJ652">CalculerNouvelleDate(T652,AI652)</f>
        <v/>
      </c>
      <c r="AK652" s="84" t="str" cm="1">
        <f t="array" ref="AK652">CalculerNouvelleDate(U652,AJ652)</f>
        <v/>
      </c>
      <c r="AL652" s="84" t="str" cm="1">
        <f t="array" ref="AL652">CalculerNouvelleDate(V652,AK652)</f>
        <v/>
      </c>
      <c r="AM652" s="1"/>
      <c r="AN652" s="1"/>
      <c r="AO652" s="1"/>
      <c r="AP652" s="1"/>
      <c r="AQ652" s="1"/>
      <c r="AR652" s="1"/>
      <c r="AS652" s="1"/>
      <c r="AT652" s="1"/>
      <c r="AU652" s="1"/>
      <c r="AV652" s="1"/>
      <c r="AW652" s="1"/>
      <c r="AX652" s="1"/>
      <c r="AY652" s="1"/>
      <c r="AZ652" s="1"/>
      <c r="BA652" s="1"/>
    </row>
    <row r="653" spans="1:53" x14ac:dyDescent="0.3">
      <c r="A653" s="1"/>
      <c r="B653" s="1"/>
      <c r="C653" s="1"/>
      <c r="D653" s="1"/>
      <c r="E653" s="1"/>
      <c r="F653" s="1"/>
      <c r="G653" s="1"/>
      <c r="H653" s="69"/>
      <c r="I653" s="1"/>
      <c r="J653" s="1"/>
      <c r="K653" s="1"/>
      <c r="L653" s="1"/>
      <c r="M653" s="1"/>
      <c r="N653" s="1"/>
      <c r="O653" s="1"/>
      <c r="P653" s="1"/>
      <c r="Q653" s="1"/>
      <c r="R653" s="1"/>
      <c r="S653" s="1"/>
      <c r="T653" s="1"/>
      <c r="U653" s="1"/>
      <c r="V653" s="1"/>
      <c r="W653" s="1"/>
      <c r="X653" s="84"/>
      <c r="Y653" s="84" t="str" cm="1">
        <f t="array" ref="Y653">CalculerNouvelleDate(I653,X653)</f>
        <v/>
      </c>
      <c r="Z653" s="84" t="str" cm="1">
        <f t="array" ref="Z653">CalculerNouvelleDate(J653,Y653)</f>
        <v/>
      </c>
      <c r="AA653" s="84" t="str" cm="1">
        <f t="array" ref="AA653">CalculerNouvelleDate(K653,Z653)</f>
        <v/>
      </c>
      <c r="AB653" s="84" t="str" cm="1">
        <f t="array" ref="AB653">CalculerNouvelleDate(L653,AA653)</f>
        <v/>
      </c>
      <c r="AC653" s="84" t="str" cm="1">
        <f t="array" ref="AC653">CalculerNouvelleDate(M653,AB653)</f>
        <v/>
      </c>
      <c r="AD653" s="84" t="str" cm="1">
        <f t="array" ref="AD653">CalculerNouvelleDate(N653,AC653)</f>
        <v/>
      </c>
      <c r="AE653" s="84" t="str" cm="1">
        <f t="array" ref="AE653">CalculerNouvelleDate(O653,AD653)</f>
        <v/>
      </c>
      <c r="AF653" s="84" t="str" cm="1">
        <f t="array" ref="AF653">CalculerNouvelleDate(P653,AE653)</f>
        <v/>
      </c>
      <c r="AG653" s="84" t="str" cm="1">
        <f t="array" ref="AG653">CalculerNouvelleDate(Q653,AF653)</f>
        <v/>
      </c>
      <c r="AH653" s="84" t="str" cm="1">
        <f t="array" ref="AH653">CalculerNouvelleDate(R653,AG653)</f>
        <v/>
      </c>
      <c r="AI653" s="84" t="str" cm="1">
        <f t="array" ref="AI653">CalculerNouvelleDate(S653,AH653)</f>
        <v/>
      </c>
      <c r="AJ653" s="84" t="str" cm="1">
        <f t="array" ref="AJ653">CalculerNouvelleDate(T653,AI653)</f>
        <v/>
      </c>
      <c r="AK653" s="84" t="str" cm="1">
        <f t="array" ref="AK653">CalculerNouvelleDate(U653,AJ653)</f>
        <v/>
      </c>
      <c r="AL653" s="84" t="str" cm="1">
        <f t="array" ref="AL653">CalculerNouvelleDate(V653,AK653)</f>
        <v/>
      </c>
      <c r="AM653" s="1"/>
      <c r="AN653" s="1"/>
      <c r="AO653" s="1"/>
      <c r="AP653" s="1"/>
      <c r="AQ653" s="1"/>
      <c r="AR653" s="1"/>
      <c r="AS653" s="1"/>
      <c r="AT653" s="1"/>
      <c r="AU653" s="1"/>
      <c r="AV653" s="1"/>
      <c r="AW653" s="1"/>
      <c r="AX653" s="1"/>
      <c r="AY653" s="1"/>
      <c r="AZ653" s="1"/>
      <c r="BA653" s="1"/>
    </row>
    <row r="654" spans="1:53" x14ac:dyDescent="0.3">
      <c r="A654" s="1"/>
      <c r="B654" s="1"/>
      <c r="C654" s="1"/>
      <c r="D654" s="1"/>
      <c r="E654" s="1"/>
      <c r="F654" s="1"/>
      <c r="G654" s="1"/>
      <c r="H654" s="69"/>
      <c r="I654" s="1"/>
      <c r="J654" s="1"/>
      <c r="K654" s="1"/>
      <c r="L654" s="1"/>
      <c r="M654" s="1"/>
      <c r="N654" s="1"/>
      <c r="O654" s="1"/>
      <c r="P654" s="1"/>
      <c r="Q654" s="1"/>
      <c r="R654" s="1"/>
      <c r="S654" s="1"/>
      <c r="T654" s="1"/>
      <c r="U654" s="1"/>
      <c r="V654" s="1"/>
      <c r="W654" s="1"/>
      <c r="X654" s="84"/>
      <c r="Y654" s="84" t="str" cm="1">
        <f t="array" ref="Y654">CalculerNouvelleDate(I654,X654)</f>
        <v/>
      </c>
      <c r="Z654" s="84" t="str" cm="1">
        <f t="array" ref="Z654">CalculerNouvelleDate(J654,Y654)</f>
        <v/>
      </c>
      <c r="AA654" s="84" t="str" cm="1">
        <f t="array" ref="AA654">CalculerNouvelleDate(K654,Z654)</f>
        <v/>
      </c>
      <c r="AB654" s="84" t="str" cm="1">
        <f t="array" ref="AB654">CalculerNouvelleDate(L654,AA654)</f>
        <v/>
      </c>
      <c r="AC654" s="84" t="str" cm="1">
        <f t="array" ref="AC654">CalculerNouvelleDate(M654,AB654)</f>
        <v/>
      </c>
      <c r="AD654" s="84" t="str" cm="1">
        <f t="array" ref="AD654">CalculerNouvelleDate(N654,AC654)</f>
        <v/>
      </c>
      <c r="AE654" s="84" t="str" cm="1">
        <f t="array" ref="AE654">CalculerNouvelleDate(O654,AD654)</f>
        <v/>
      </c>
      <c r="AF654" s="84" t="str" cm="1">
        <f t="array" ref="AF654">CalculerNouvelleDate(P654,AE654)</f>
        <v/>
      </c>
      <c r="AG654" s="84" t="str" cm="1">
        <f t="array" ref="AG654">CalculerNouvelleDate(Q654,AF654)</f>
        <v/>
      </c>
      <c r="AH654" s="84" t="str" cm="1">
        <f t="array" ref="AH654">CalculerNouvelleDate(R654,AG654)</f>
        <v/>
      </c>
      <c r="AI654" s="84" t="str" cm="1">
        <f t="array" ref="AI654">CalculerNouvelleDate(S654,AH654)</f>
        <v/>
      </c>
      <c r="AJ654" s="84" t="str" cm="1">
        <f t="array" ref="AJ654">CalculerNouvelleDate(T654,AI654)</f>
        <v/>
      </c>
      <c r="AK654" s="84" t="str" cm="1">
        <f t="array" ref="AK654">CalculerNouvelleDate(U654,AJ654)</f>
        <v/>
      </c>
      <c r="AL654" s="84" t="str" cm="1">
        <f t="array" ref="AL654">CalculerNouvelleDate(V654,AK654)</f>
        <v/>
      </c>
      <c r="AM654" s="1"/>
      <c r="AN654" s="1"/>
      <c r="AO654" s="1"/>
      <c r="AP654" s="1"/>
      <c r="AQ654" s="1"/>
      <c r="AR654" s="1"/>
      <c r="AS654" s="1"/>
      <c r="AT654" s="1"/>
      <c r="AU654" s="1"/>
      <c r="AV654" s="1"/>
      <c r="AW654" s="1"/>
      <c r="AX654" s="1"/>
      <c r="AY654" s="1"/>
      <c r="AZ654" s="1"/>
      <c r="BA654" s="1"/>
    </row>
    <row r="655" spans="1:53" x14ac:dyDescent="0.3">
      <c r="A655" s="1"/>
      <c r="B655" s="1"/>
      <c r="C655" s="1"/>
      <c r="D655" s="1"/>
      <c r="E655" s="1"/>
      <c r="F655" s="1"/>
      <c r="G655" s="1"/>
      <c r="H655" s="69"/>
      <c r="I655" s="1"/>
      <c r="J655" s="1"/>
      <c r="K655" s="1"/>
      <c r="L655" s="1"/>
      <c r="M655" s="1"/>
      <c r="N655" s="1"/>
      <c r="O655" s="1"/>
      <c r="P655" s="1"/>
      <c r="Q655" s="1"/>
      <c r="R655" s="1"/>
      <c r="S655" s="1"/>
      <c r="T655" s="1"/>
      <c r="U655" s="1"/>
      <c r="V655" s="1"/>
      <c r="W655" s="1"/>
      <c r="X655" s="84"/>
      <c r="Y655" s="84" t="str" cm="1">
        <f t="array" ref="Y655">CalculerNouvelleDate(I655,X655)</f>
        <v/>
      </c>
      <c r="Z655" s="84" t="str" cm="1">
        <f t="array" ref="Z655">CalculerNouvelleDate(J655,Y655)</f>
        <v/>
      </c>
      <c r="AA655" s="84" t="str" cm="1">
        <f t="array" ref="AA655">CalculerNouvelleDate(K655,Z655)</f>
        <v/>
      </c>
      <c r="AB655" s="84" t="str" cm="1">
        <f t="array" ref="AB655">CalculerNouvelleDate(L655,AA655)</f>
        <v/>
      </c>
      <c r="AC655" s="84" t="str" cm="1">
        <f t="array" ref="AC655">CalculerNouvelleDate(M655,AB655)</f>
        <v/>
      </c>
      <c r="AD655" s="84" t="str" cm="1">
        <f t="array" ref="AD655">CalculerNouvelleDate(N655,AC655)</f>
        <v/>
      </c>
      <c r="AE655" s="84" t="str" cm="1">
        <f t="array" ref="AE655">CalculerNouvelleDate(O655,AD655)</f>
        <v/>
      </c>
      <c r="AF655" s="84" t="str" cm="1">
        <f t="array" ref="AF655">CalculerNouvelleDate(P655,AE655)</f>
        <v/>
      </c>
      <c r="AG655" s="84" t="str" cm="1">
        <f t="array" ref="AG655">CalculerNouvelleDate(Q655,AF655)</f>
        <v/>
      </c>
      <c r="AH655" s="84" t="str" cm="1">
        <f t="array" ref="AH655">CalculerNouvelleDate(R655,AG655)</f>
        <v/>
      </c>
      <c r="AI655" s="84" t="str" cm="1">
        <f t="array" ref="AI655">CalculerNouvelleDate(S655,AH655)</f>
        <v/>
      </c>
      <c r="AJ655" s="84" t="str" cm="1">
        <f t="array" ref="AJ655">CalculerNouvelleDate(T655,AI655)</f>
        <v/>
      </c>
      <c r="AK655" s="84" t="str" cm="1">
        <f t="array" ref="AK655">CalculerNouvelleDate(U655,AJ655)</f>
        <v/>
      </c>
      <c r="AL655" s="84" t="str" cm="1">
        <f t="array" ref="AL655">CalculerNouvelleDate(V655,AK655)</f>
        <v/>
      </c>
      <c r="AM655" s="1"/>
      <c r="AN655" s="1"/>
      <c r="AO655" s="1"/>
      <c r="AP655" s="1"/>
      <c r="AQ655" s="1"/>
      <c r="AR655" s="1"/>
      <c r="AS655" s="1"/>
      <c r="AT655" s="1"/>
      <c r="AU655" s="1"/>
      <c r="AV655" s="1"/>
      <c r="AW655" s="1"/>
      <c r="AX655" s="1"/>
      <c r="AY655" s="1"/>
      <c r="AZ655" s="1"/>
      <c r="BA655" s="1"/>
    </row>
    <row r="656" spans="1:53" x14ac:dyDescent="0.3">
      <c r="A656" s="1"/>
      <c r="B656" s="1"/>
      <c r="C656" s="1"/>
      <c r="D656" s="1"/>
      <c r="E656" s="1"/>
      <c r="F656" s="1"/>
      <c r="G656" s="1"/>
      <c r="H656" s="69"/>
      <c r="I656" s="1"/>
      <c r="J656" s="1"/>
      <c r="K656" s="1"/>
      <c r="L656" s="1"/>
      <c r="M656" s="1"/>
      <c r="N656" s="1"/>
      <c r="O656" s="1"/>
      <c r="P656" s="1"/>
      <c r="Q656" s="1"/>
      <c r="R656" s="1"/>
      <c r="S656" s="1"/>
      <c r="T656" s="1"/>
      <c r="U656" s="1"/>
      <c r="V656" s="1"/>
      <c r="W656" s="1"/>
      <c r="X656" s="84"/>
      <c r="Y656" s="84" t="str" cm="1">
        <f t="array" ref="Y656">CalculerNouvelleDate(I656,X656)</f>
        <v/>
      </c>
      <c r="Z656" s="84" t="str" cm="1">
        <f t="array" ref="Z656">CalculerNouvelleDate(J656,Y656)</f>
        <v/>
      </c>
      <c r="AA656" s="84" t="str" cm="1">
        <f t="array" ref="AA656">CalculerNouvelleDate(K656,Z656)</f>
        <v/>
      </c>
      <c r="AB656" s="84" t="str" cm="1">
        <f t="array" ref="AB656">CalculerNouvelleDate(L656,AA656)</f>
        <v/>
      </c>
      <c r="AC656" s="84" t="str" cm="1">
        <f t="array" ref="AC656">CalculerNouvelleDate(M656,AB656)</f>
        <v/>
      </c>
      <c r="AD656" s="84" t="str" cm="1">
        <f t="array" ref="AD656">CalculerNouvelleDate(N656,AC656)</f>
        <v/>
      </c>
      <c r="AE656" s="84" t="str" cm="1">
        <f t="array" ref="AE656">CalculerNouvelleDate(O656,AD656)</f>
        <v/>
      </c>
      <c r="AF656" s="84" t="str" cm="1">
        <f t="array" ref="AF656">CalculerNouvelleDate(P656,AE656)</f>
        <v/>
      </c>
      <c r="AG656" s="84" t="str" cm="1">
        <f t="array" ref="AG656">CalculerNouvelleDate(Q656,AF656)</f>
        <v/>
      </c>
      <c r="AH656" s="84" t="str" cm="1">
        <f t="array" ref="AH656">CalculerNouvelleDate(R656,AG656)</f>
        <v/>
      </c>
      <c r="AI656" s="84" t="str" cm="1">
        <f t="array" ref="AI656">CalculerNouvelleDate(S656,AH656)</f>
        <v/>
      </c>
      <c r="AJ656" s="84" t="str" cm="1">
        <f t="array" ref="AJ656">CalculerNouvelleDate(T656,AI656)</f>
        <v/>
      </c>
      <c r="AK656" s="84" t="str" cm="1">
        <f t="array" ref="AK656">CalculerNouvelleDate(U656,AJ656)</f>
        <v/>
      </c>
      <c r="AL656" s="84" t="str" cm="1">
        <f t="array" ref="AL656">CalculerNouvelleDate(V656,AK656)</f>
        <v/>
      </c>
      <c r="AM656" s="1"/>
      <c r="AN656" s="1"/>
      <c r="AO656" s="1"/>
      <c r="AP656" s="1"/>
      <c r="AQ656" s="1"/>
      <c r="AR656" s="1"/>
      <c r="AS656" s="1"/>
      <c r="AT656" s="1"/>
      <c r="AU656" s="1"/>
      <c r="AV656" s="1"/>
      <c r="AW656" s="1"/>
      <c r="AX656" s="1"/>
      <c r="AY656" s="1"/>
      <c r="AZ656" s="1"/>
      <c r="BA656" s="1"/>
    </row>
    <row r="657" spans="1:53" x14ac:dyDescent="0.3">
      <c r="A657" s="1"/>
      <c r="B657" s="1"/>
      <c r="C657" s="1"/>
      <c r="D657" s="1"/>
      <c r="E657" s="1"/>
      <c r="F657" s="1"/>
      <c r="G657" s="1"/>
      <c r="H657" s="69"/>
      <c r="I657" s="1"/>
      <c r="J657" s="1"/>
      <c r="K657" s="1"/>
      <c r="L657" s="1"/>
      <c r="M657" s="1"/>
      <c r="N657" s="1"/>
      <c r="O657" s="1"/>
      <c r="P657" s="1"/>
      <c r="Q657" s="1"/>
      <c r="R657" s="1"/>
      <c r="S657" s="1"/>
      <c r="T657" s="1"/>
      <c r="U657" s="1"/>
      <c r="V657" s="1"/>
      <c r="W657" s="1"/>
      <c r="X657" s="84"/>
      <c r="Y657" s="84" t="str" cm="1">
        <f t="array" ref="Y657">CalculerNouvelleDate(I657,X657)</f>
        <v/>
      </c>
      <c r="Z657" s="84" t="str" cm="1">
        <f t="array" ref="Z657">CalculerNouvelleDate(J657,Y657)</f>
        <v/>
      </c>
      <c r="AA657" s="84" t="str" cm="1">
        <f t="array" ref="AA657">CalculerNouvelleDate(K657,Z657)</f>
        <v/>
      </c>
      <c r="AB657" s="84" t="str" cm="1">
        <f t="array" ref="AB657">CalculerNouvelleDate(L657,AA657)</f>
        <v/>
      </c>
      <c r="AC657" s="84" t="str" cm="1">
        <f t="array" ref="AC657">CalculerNouvelleDate(M657,AB657)</f>
        <v/>
      </c>
      <c r="AD657" s="84" t="str" cm="1">
        <f t="array" ref="AD657">CalculerNouvelleDate(N657,AC657)</f>
        <v/>
      </c>
      <c r="AE657" s="84" t="str" cm="1">
        <f t="array" ref="AE657">CalculerNouvelleDate(O657,AD657)</f>
        <v/>
      </c>
      <c r="AF657" s="84" t="str" cm="1">
        <f t="array" ref="AF657">CalculerNouvelleDate(P657,AE657)</f>
        <v/>
      </c>
      <c r="AG657" s="84" t="str" cm="1">
        <f t="array" ref="AG657">CalculerNouvelleDate(Q657,AF657)</f>
        <v/>
      </c>
      <c r="AH657" s="84" t="str" cm="1">
        <f t="array" ref="AH657">CalculerNouvelleDate(R657,AG657)</f>
        <v/>
      </c>
      <c r="AI657" s="84" t="str" cm="1">
        <f t="array" ref="AI657">CalculerNouvelleDate(S657,AH657)</f>
        <v/>
      </c>
      <c r="AJ657" s="84" t="str" cm="1">
        <f t="array" ref="AJ657">CalculerNouvelleDate(T657,AI657)</f>
        <v/>
      </c>
      <c r="AK657" s="84" t="str" cm="1">
        <f t="array" ref="AK657">CalculerNouvelleDate(U657,AJ657)</f>
        <v/>
      </c>
      <c r="AL657" s="84" t="str" cm="1">
        <f t="array" ref="AL657">CalculerNouvelleDate(V657,AK657)</f>
        <v/>
      </c>
      <c r="AM657" s="1"/>
      <c r="AN657" s="1"/>
      <c r="AO657" s="1"/>
      <c r="AP657" s="1"/>
      <c r="AQ657" s="1"/>
      <c r="AR657" s="1"/>
      <c r="AS657" s="1"/>
      <c r="AT657" s="1"/>
      <c r="AU657" s="1"/>
      <c r="AV657" s="1"/>
      <c r="AW657" s="1"/>
      <c r="AX657" s="1"/>
      <c r="AY657" s="1"/>
      <c r="AZ657" s="1"/>
      <c r="BA657" s="1"/>
    </row>
    <row r="658" spans="1:53" x14ac:dyDescent="0.3">
      <c r="A658" s="1"/>
      <c r="B658" s="1"/>
      <c r="C658" s="1"/>
      <c r="D658" s="1"/>
      <c r="E658" s="1"/>
      <c r="F658" s="1"/>
      <c r="G658" s="1"/>
      <c r="H658" s="69"/>
      <c r="I658" s="1"/>
      <c r="J658" s="1"/>
      <c r="K658" s="1"/>
      <c r="L658" s="1"/>
      <c r="M658" s="1"/>
      <c r="N658" s="1"/>
      <c r="O658" s="1"/>
      <c r="P658" s="1"/>
      <c r="Q658" s="1"/>
      <c r="R658" s="1"/>
      <c r="S658" s="1"/>
      <c r="T658" s="1"/>
      <c r="U658" s="1"/>
      <c r="V658" s="1"/>
      <c r="W658" s="1"/>
      <c r="X658" s="84"/>
      <c r="Y658" s="84" t="str" cm="1">
        <f t="array" ref="Y658">CalculerNouvelleDate(I658,X658)</f>
        <v/>
      </c>
      <c r="Z658" s="84" t="str" cm="1">
        <f t="array" ref="Z658">CalculerNouvelleDate(J658,Y658)</f>
        <v/>
      </c>
      <c r="AA658" s="84" t="str" cm="1">
        <f t="array" ref="AA658">CalculerNouvelleDate(K658,Z658)</f>
        <v/>
      </c>
      <c r="AB658" s="84" t="str" cm="1">
        <f t="array" ref="AB658">CalculerNouvelleDate(L658,AA658)</f>
        <v/>
      </c>
      <c r="AC658" s="84" t="str" cm="1">
        <f t="array" ref="AC658">CalculerNouvelleDate(M658,AB658)</f>
        <v/>
      </c>
      <c r="AD658" s="84" t="str" cm="1">
        <f t="array" ref="AD658">CalculerNouvelleDate(N658,AC658)</f>
        <v/>
      </c>
      <c r="AE658" s="84" t="str" cm="1">
        <f t="array" ref="AE658">CalculerNouvelleDate(O658,AD658)</f>
        <v/>
      </c>
      <c r="AF658" s="84" t="str" cm="1">
        <f t="array" ref="AF658">CalculerNouvelleDate(P658,AE658)</f>
        <v/>
      </c>
      <c r="AG658" s="84" t="str" cm="1">
        <f t="array" ref="AG658">CalculerNouvelleDate(Q658,AF658)</f>
        <v/>
      </c>
      <c r="AH658" s="84" t="str" cm="1">
        <f t="array" ref="AH658">CalculerNouvelleDate(R658,AG658)</f>
        <v/>
      </c>
      <c r="AI658" s="84" t="str" cm="1">
        <f t="array" ref="AI658">CalculerNouvelleDate(S658,AH658)</f>
        <v/>
      </c>
      <c r="AJ658" s="84" t="str" cm="1">
        <f t="array" ref="AJ658">CalculerNouvelleDate(T658,AI658)</f>
        <v/>
      </c>
      <c r="AK658" s="84" t="str" cm="1">
        <f t="array" ref="AK658">CalculerNouvelleDate(U658,AJ658)</f>
        <v/>
      </c>
      <c r="AL658" s="84" t="str" cm="1">
        <f t="array" ref="AL658">CalculerNouvelleDate(V658,AK658)</f>
        <v/>
      </c>
      <c r="AM658" s="1"/>
      <c r="AN658" s="1"/>
      <c r="AO658" s="1"/>
      <c r="AP658" s="1"/>
      <c r="AQ658" s="1"/>
      <c r="AR658" s="1"/>
      <c r="AS658" s="1"/>
      <c r="AT658" s="1"/>
      <c r="AU658" s="1"/>
      <c r="AV658" s="1"/>
      <c r="AW658" s="1"/>
      <c r="AX658" s="1"/>
      <c r="AY658" s="1"/>
      <c r="AZ658" s="1"/>
      <c r="BA658" s="1"/>
    </row>
    <row r="659" spans="1:53" x14ac:dyDescent="0.3">
      <c r="A659" s="1"/>
      <c r="B659" s="1"/>
      <c r="C659" s="1"/>
      <c r="D659" s="1"/>
      <c r="E659" s="1"/>
      <c r="F659" s="1"/>
      <c r="G659" s="1"/>
      <c r="H659" s="69"/>
      <c r="I659" s="1"/>
      <c r="J659" s="1"/>
      <c r="K659" s="1"/>
      <c r="L659" s="1"/>
      <c r="M659" s="1"/>
      <c r="N659" s="1"/>
      <c r="O659" s="1"/>
      <c r="P659" s="1"/>
      <c r="Q659" s="1"/>
      <c r="R659" s="1"/>
      <c r="S659" s="1"/>
      <c r="T659" s="1"/>
      <c r="U659" s="1"/>
      <c r="V659" s="1"/>
      <c r="W659" s="1"/>
      <c r="X659" s="84"/>
      <c r="Y659" s="84" t="str" cm="1">
        <f t="array" ref="Y659">CalculerNouvelleDate(I659,X659)</f>
        <v/>
      </c>
      <c r="Z659" s="84" t="str" cm="1">
        <f t="array" ref="Z659">CalculerNouvelleDate(J659,Y659)</f>
        <v/>
      </c>
      <c r="AA659" s="84" t="str" cm="1">
        <f t="array" ref="AA659">CalculerNouvelleDate(K659,Z659)</f>
        <v/>
      </c>
      <c r="AB659" s="84" t="str" cm="1">
        <f t="array" ref="AB659">CalculerNouvelleDate(L659,AA659)</f>
        <v/>
      </c>
      <c r="AC659" s="84" t="str" cm="1">
        <f t="array" ref="AC659">CalculerNouvelleDate(M659,AB659)</f>
        <v/>
      </c>
      <c r="AD659" s="84" t="str" cm="1">
        <f t="array" ref="AD659">CalculerNouvelleDate(N659,AC659)</f>
        <v/>
      </c>
      <c r="AE659" s="84" t="str" cm="1">
        <f t="array" ref="AE659">CalculerNouvelleDate(O659,AD659)</f>
        <v/>
      </c>
      <c r="AF659" s="84" t="str" cm="1">
        <f t="array" ref="AF659">CalculerNouvelleDate(P659,AE659)</f>
        <v/>
      </c>
      <c r="AG659" s="84" t="str" cm="1">
        <f t="array" ref="AG659">CalculerNouvelleDate(Q659,AF659)</f>
        <v/>
      </c>
      <c r="AH659" s="84" t="str" cm="1">
        <f t="array" ref="AH659">CalculerNouvelleDate(R659,AG659)</f>
        <v/>
      </c>
      <c r="AI659" s="84" t="str" cm="1">
        <f t="array" ref="AI659">CalculerNouvelleDate(S659,AH659)</f>
        <v/>
      </c>
      <c r="AJ659" s="84" t="str" cm="1">
        <f t="array" ref="AJ659">CalculerNouvelleDate(T659,AI659)</f>
        <v/>
      </c>
      <c r="AK659" s="84" t="str" cm="1">
        <f t="array" ref="AK659">CalculerNouvelleDate(U659,AJ659)</f>
        <v/>
      </c>
      <c r="AL659" s="84" t="str" cm="1">
        <f t="array" ref="AL659">CalculerNouvelleDate(V659,AK659)</f>
        <v/>
      </c>
      <c r="AM659" s="1"/>
      <c r="AN659" s="1"/>
      <c r="AO659" s="1"/>
      <c r="AP659" s="1"/>
      <c r="AQ659" s="1"/>
      <c r="AR659" s="1"/>
      <c r="AS659" s="1"/>
      <c r="AT659" s="1"/>
      <c r="AU659" s="1"/>
      <c r="AV659" s="1"/>
      <c r="AW659" s="1"/>
      <c r="AX659" s="1"/>
      <c r="AY659" s="1"/>
      <c r="AZ659" s="1"/>
      <c r="BA659" s="1"/>
    </row>
    <row r="660" spans="1:53" x14ac:dyDescent="0.3">
      <c r="A660" s="1"/>
      <c r="B660" s="1"/>
      <c r="C660" s="1"/>
      <c r="D660" s="1"/>
      <c r="E660" s="1"/>
      <c r="F660" s="1"/>
      <c r="G660" s="1"/>
      <c r="H660" s="69"/>
      <c r="I660" s="1"/>
      <c r="J660" s="1"/>
      <c r="K660" s="1"/>
      <c r="L660" s="1"/>
      <c r="M660" s="1"/>
      <c r="N660" s="1"/>
      <c r="O660" s="1"/>
      <c r="P660" s="1"/>
      <c r="Q660" s="1"/>
      <c r="R660" s="1"/>
      <c r="S660" s="1"/>
      <c r="T660" s="1"/>
      <c r="U660" s="1"/>
      <c r="V660" s="1"/>
      <c r="W660" s="1"/>
      <c r="X660" s="84"/>
      <c r="Y660" s="84" t="str" cm="1">
        <f t="array" ref="Y660">CalculerNouvelleDate(I660,X660)</f>
        <v/>
      </c>
      <c r="Z660" s="84" t="str" cm="1">
        <f t="array" ref="Z660">CalculerNouvelleDate(J660,Y660)</f>
        <v/>
      </c>
      <c r="AA660" s="84" t="str" cm="1">
        <f t="array" ref="AA660">CalculerNouvelleDate(K660,Z660)</f>
        <v/>
      </c>
      <c r="AB660" s="84" t="str" cm="1">
        <f t="array" ref="AB660">CalculerNouvelleDate(L660,AA660)</f>
        <v/>
      </c>
      <c r="AC660" s="84" t="str" cm="1">
        <f t="array" ref="AC660">CalculerNouvelleDate(M660,AB660)</f>
        <v/>
      </c>
      <c r="AD660" s="84" t="str" cm="1">
        <f t="array" ref="AD660">CalculerNouvelleDate(N660,AC660)</f>
        <v/>
      </c>
      <c r="AE660" s="84" t="str" cm="1">
        <f t="array" ref="AE660">CalculerNouvelleDate(O660,AD660)</f>
        <v/>
      </c>
      <c r="AF660" s="84" t="str" cm="1">
        <f t="array" ref="AF660">CalculerNouvelleDate(P660,AE660)</f>
        <v/>
      </c>
      <c r="AG660" s="84" t="str" cm="1">
        <f t="array" ref="AG660">CalculerNouvelleDate(Q660,AF660)</f>
        <v/>
      </c>
      <c r="AH660" s="84" t="str" cm="1">
        <f t="array" ref="AH660">CalculerNouvelleDate(R660,AG660)</f>
        <v/>
      </c>
      <c r="AI660" s="84" t="str" cm="1">
        <f t="array" ref="AI660">CalculerNouvelleDate(S660,AH660)</f>
        <v/>
      </c>
      <c r="AJ660" s="84" t="str" cm="1">
        <f t="array" ref="AJ660">CalculerNouvelleDate(T660,AI660)</f>
        <v/>
      </c>
      <c r="AK660" s="84" t="str" cm="1">
        <f t="array" ref="AK660">CalculerNouvelleDate(U660,AJ660)</f>
        <v/>
      </c>
      <c r="AL660" s="84" t="str" cm="1">
        <f t="array" ref="AL660">CalculerNouvelleDate(V660,AK660)</f>
        <v/>
      </c>
      <c r="AM660" s="1"/>
      <c r="AN660" s="1"/>
      <c r="AO660" s="1"/>
      <c r="AP660" s="1"/>
      <c r="AQ660" s="1"/>
      <c r="AR660" s="1"/>
      <c r="AS660" s="1"/>
      <c r="AT660" s="1"/>
      <c r="AU660" s="1"/>
      <c r="AV660" s="1"/>
      <c r="AW660" s="1"/>
      <c r="AX660" s="1"/>
      <c r="AY660" s="1"/>
      <c r="AZ660" s="1"/>
      <c r="BA660" s="1"/>
    </row>
    <row r="661" spans="1:53" x14ac:dyDescent="0.3">
      <c r="A661" s="1"/>
      <c r="B661" s="1"/>
      <c r="C661" s="1"/>
      <c r="D661" s="1"/>
      <c r="E661" s="1"/>
      <c r="F661" s="1"/>
      <c r="G661" s="1"/>
      <c r="H661" s="69"/>
      <c r="I661" s="1"/>
      <c r="J661" s="1"/>
      <c r="K661" s="1"/>
      <c r="L661" s="1"/>
      <c r="M661" s="1"/>
      <c r="N661" s="1"/>
      <c r="O661" s="1"/>
      <c r="P661" s="1"/>
      <c r="Q661" s="1"/>
      <c r="R661" s="1"/>
      <c r="S661" s="1"/>
      <c r="T661" s="1"/>
      <c r="U661" s="1"/>
      <c r="V661" s="1"/>
      <c r="W661" s="1"/>
      <c r="X661" s="84"/>
      <c r="Y661" s="84" t="str" cm="1">
        <f t="array" ref="Y661">CalculerNouvelleDate(I661,X661)</f>
        <v/>
      </c>
      <c r="Z661" s="84" t="str" cm="1">
        <f t="array" ref="Z661">CalculerNouvelleDate(J661,Y661)</f>
        <v/>
      </c>
      <c r="AA661" s="84" t="str" cm="1">
        <f t="array" ref="AA661">CalculerNouvelleDate(K661,Z661)</f>
        <v/>
      </c>
      <c r="AB661" s="84" t="str" cm="1">
        <f t="array" ref="AB661">CalculerNouvelleDate(L661,AA661)</f>
        <v/>
      </c>
      <c r="AC661" s="84" t="str" cm="1">
        <f t="array" ref="AC661">CalculerNouvelleDate(M661,AB661)</f>
        <v/>
      </c>
      <c r="AD661" s="84" t="str" cm="1">
        <f t="array" ref="AD661">CalculerNouvelleDate(N661,AC661)</f>
        <v/>
      </c>
      <c r="AE661" s="84" t="str" cm="1">
        <f t="array" ref="AE661">CalculerNouvelleDate(O661,AD661)</f>
        <v/>
      </c>
      <c r="AF661" s="84" t="str" cm="1">
        <f t="array" ref="AF661">CalculerNouvelleDate(P661,AE661)</f>
        <v/>
      </c>
      <c r="AG661" s="84" t="str" cm="1">
        <f t="array" ref="AG661">CalculerNouvelleDate(Q661,AF661)</f>
        <v/>
      </c>
      <c r="AH661" s="84" t="str" cm="1">
        <f t="array" ref="AH661">CalculerNouvelleDate(R661,AG661)</f>
        <v/>
      </c>
      <c r="AI661" s="84" t="str" cm="1">
        <f t="array" ref="AI661">CalculerNouvelleDate(S661,AH661)</f>
        <v/>
      </c>
      <c r="AJ661" s="84" t="str" cm="1">
        <f t="array" ref="AJ661">CalculerNouvelleDate(T661,AI661)</f>
        <v/>
      </c>
      <c r="AK661" s="84" t="str" cm="1">
        <f t="array" ref="AK661">CalculerNouvelleDate(U661,AJ661)</f>
        <v/>
      </c>
      <c r="AL661" s="84" t="str" cm="1">
        <f t="array" ref="AL661">CalculerNouvelleDate(V661,AK661)</f>
        <v/>
      </c>
      <c r="AM661" s="1"/>
      <c r="AN661" s="1"/>
      <c r="AO661" s="1"/>
      <c r="AP661" s="1"/>
      <c r="AQ661" s="1"/>
      <c r="AR661" s="1"/>
      <c r="AS661" s="1"/>
      <c r="AT661" s="1"/>
      <c r="AU661" s="1"/>
      <c r="AV661" s="1"/>
      <c r="AW661" s="1"/>
      <c r="AX661" s="1"/>
      <c r="AY661" s="1"/>
      <c r="AZ661" s="1"/>
      <c r="BA661" s="1"/>
    </row>
    <row r="662" spans="1:53" x14ac:dyDescent="0.3">
      <c r="A662" s="1"/>
      <c r="B662" s="1"/>
      <c r="C662" s="1"/>
      <c r="D662" s="1"/>
      <c r="E662" s="1"/>
      <c r="F662" s="1"/>
      <c r="G662" s="1"/>
      <c r="H662" s="69"/>
      <c r="I662" s="1"/>
      <c r="J662" s="1"/>
      <c r="K662" s="1"/>
      <c r="L662" s="1"/>
      <c r="M662" s="1"/>
      <c r="N662" s="1"/>
      <c r="O662" s="1"/>
      <c r="P662" s="1"/>
      <c r="Q662" s="1"/>
      <c r="R662" s="1"/>
      <c r="S662" s="1"/>
      <c r="T662" s="1"/>
      <c r="U662" s="1"/>
      <c r="V662" s="1"/>
      <c r="W662" s="1"/>
      <c r="X662" s="84"/>
      <c r="Y662" s="84" t="str" cm="1">
        <f t="array" ref="Y662">CalculerNouvelleDate(I662,X662)</f>
        <v/>
      </c>
      <c r="Z662" s="84" t="str" cm="1">
        <f t="array" ref="Z662">CalculerNouvelleDate(J662,Y662)</f>
        <v/>
      </c>
      <c r="AA662" s="84" t="str" cm="1">
        <f t="array" ref="AA662">CalculerNouvelleDate(K662,Z662)</f>
        <v/>
      </c>
      <c r="AB662" s="84" t="str" cm="1">
        <f t="array" ref="AB662">CalculerNouvelleDate(L662,AA662)</f>
        <v/>
      </c>
      <c r="AC662" s="84" t="str" cm="1">
        <f t="array" ref="AC662">CalculerNouvelleDate(M662,AB662)</f>
        <v/>
      </c>
      <c r="AD662" s="84" t="str" cm="1">
        <f t="array" ref="AD662">CalculerNouvelleDate(N662,AC662)</f>
        <v/>
      </c>
      <c r="AE662" s="84" t="str" cm="1">
        <f t="array" ref="AE662">CalculerNouvelleDate(O662,AD662)</f>
        <v/>
      </c>
      <c r="AF662" s="84" t="str" cm="1">
        <f t="array" ref="AF662">CalculerNouvelleDate(P662,AE662)</f>
        <v/>
      </c>
      <c r="AG662" s="84" t="str" cm="1">
        <f t="array" ref="AG662">CalculerNouvelleDate(Q662,AF662)</f>
        <v/>
      </c>
      <c r="AH662" s="84" t="str" cm="1">
        <f t="array" ref="AH662">CalculerNouvelleDate(R662,AG662)</f>
        <v/>
      </c>
      <c r="AI662" s="84" t="str" cm="1">
        <f t="array" ref="AI662">CalculerNouvelleDate(S662,AH662)</f>
        <v/>
      </c>
      <c r="AJ662" s="84" t="str" cm="1">
        <f t="array" ref="AJ662">CalculerNouvelleDate(T662,AI662)</f>
        <v/>
      </c>
      <c r="AK662" s="84" t="str" cm="1">
        <f t="array" ref="AK662">CalculerNouvelleDate(U662,AJ662)</f>
        <v/>
      </c>
      <c r="AL662" s="84" t="str" cm="1">
        <f t="array" ref="AL662">CalculerNouvelleDate(V662,AK662)</f>
        <v/>
      </c>
      <c r="AM662" s="1"/>
      <c r="AN662" s="1"/>
      <c r="AO662" s="1"/>
      <c r="AP662" s="1"/>
      <c r="AQ662" s="1"/>
      <c r="AR662" s="1"/>
      <c r="AS662" s="1"/>
      <c r="AT662" s="1"/>
      <c r="AU662" s="1"/>
      <c r="AV662" s="1"/>
      <c r="AW662" s="1"/>
      <c r="AX662" s="1"/>
      <c r="AY662" s="1"/>
      <c r="AZ662" s="1"/>
      <c r="BA662" s="1"/>
    </row>
    <row r="663" spans="1:53" x14ac:dyDescent="0.3">
      <c r="A663" s="1"/>
      <c r="B663" s="1"/>
      <c r="C663" s="1"/>
      <c r="D663" s="1"/>
      <c r="E663" s="1"/>
      <c r="F663" s="1"/>
      <c r="G663" s="1"/>
      <c r="H663" s="69"/>
      <c r="I663" s="1"/>
      <c r="J663" s="1"/>
      <c r="K663" s="1"/>
      <c r="L663" s="1"/>
      <c r="M663" s="1"/>
      <c r="N663" s="1"/>
      <c r="O663" s="1"/>
      <c r="P663" s="1"/>
      <c r="Q663" s="1"/>
      <c r="R663" s="1"/>
      <c r="S663" s="1"/>
      <c r="T663" s="1"/>
      <c r="U663" s="1"/>
      <c r="V663" s="1"/>
      <c r="W663" s="1"/>
      <c r="X663" s="84"/>
      <c r="Y663" s="84" t="str" cm="1">
        <f t="array" ref="Y663">CalculerNouvelleDate(I663,X663)</f>
        <v/>
      </c>
      <c r="Z663" s="84" t="str" cm="1">
        <f t="array" ref="Z663">CalculerNouvelleDate(J663,Y663)</f>
        <v/>
      </c>
      <c r="AA663" s="84" t="str" cm="1">
        <f t="array" ref="AA663">CalculerNouvelleDate(K663,Z663)</f>
        <v/>
      </c>
      <c r="AB663" s="84" t="str" cm="1">
        <f t="array" ref="AB663">CalculerNouvelleDate(L663,AA663)</f>
        <v/>
      </c>
      <c r="AC663" s="84" t="str" cm="1">
        <f t="array" ref="AC663">CalculerNouvelleDate(M663,AB663)</f>
        <v/>
      </c>
      <c r="AD663" s="84" t="str" cm="1">
        <f t="array" ref="AD663">CalculerNouvelleDate(N663,AC663)</f>
        <v/>
      </c>
      <c r="AE663" s="84" t="str" cm="1">
        <f t="array" ref="AE663">CalculerNouvelleDate(O663,AD663)</f>
        <v/>
      </c>
      <c r="AF663" s="84" t="str" cm="1">
        <f t="array" ref="AF663">CalculerNouvelleDate(P663,AE663)</f>
        <v/>
      </c>
      <c r="AG663" s="84" t="str" cm="1">
        <f t="array" ref="AG663">CalculerNouvelleDate(Q663,AF663)</f>
        <v/>
      </c>
      <c r="AH663" s="84" t="str" cm="1">
        <f t="array" ref="AH663">CalculerNouvelleDate(R663,AG663)</f>
        <v/>
      </c>
      <c r="AI663" s="84" t="str" cm="1">
        <f t="array" ref="AI663">CalculerNouvelleDate(S663,AH663)</f>
        <v/>
      </c>
      <c r="AJ663" s="84" t="str" cm="1">
        <f t="array" ref="AJ663">CalculerNouvelleDate(T663,AI663)</f>
        <v/>
      </c>
      <c r="AK663" s="84" t="str" cm="1">
        <f t="array" ref="AK663">CalculerNouvelleDate(U663,AJ663)</f>
        <v/>
      </c>
      <c r="AL663" s="84" t="str" cm="1">
        <f t="array" ref="AL663">CalculerNouvelleDate(V663,AK663)</f>
        <v/>
      </c>
      <c r="AM663" s="1"/>
      <c r="AN663" s="1"/>
      <c r="AO663" s="1"/>
      <c r="AP663" s="1"/>
      <c r="AQ663" s="1"/>
      <c r="AR663" s="1"/>
      <c r="AS663" s="1"/>
      <c r="AT663" s="1"/>
      <c r="AU663" s="1"/>
      <c r="AV663" s="1"/>
      <c r="AW663" s="1"/>
      <c r="AX663" s="1"/>
      <c r="AY663" s="1"/>
      <c r="AZ663" s="1"/>
      <c r="BA663" s="1"/>
    </row>
    <row r="664" spans="1:53" x14ac:dyDescent="0.3">
      <c r="A664" s="1"/>
      <c r="B664" s="1"/>
      <c r="C664" s="1"/>
      <c r="D664" s="1"/>
      <c r="E664" s="1"/>
      <c r="F664" s="1"/>
      <c r="G664" s="1"/>
      <c r="H664" s="69"/>
      <c r="I664" s="1"/>
      <c r="J664" s="1"/>
      <c r="K664" s="1"/>
      <c r="L664" s="1"/>
      <c r="M664" s="1"/>
      <c r="N664" s="1"/>
      <c r="O664" s="1"/>
      <c r="P664" s="1"/>
      <c r="Q664" s="1"/>
      <c r="R664" s="1"/>
      <c r="S664" s="1"/>
      <c r="T664" s="1"/>
      <c r="U664" s="1"/>
      <c r="V664" s="1"/>
      <c r="W664" s="1"/>
      <c r="X664" s="84"/>
      <c r="Y664" s="84" t="str" cm="1">
        <f t="array" ref="Y664">CalculerNouvelleDate(I664,X664)</f>
        <v/>
      </c>
      <c r="Z664" s="84" t="str" cm="1">
        <f t="array" ref="Z664">CalculerNouvelleDate(J664,Y664)</f>
        <v/>
      </c>
      <c r="AA664" s="84" t="str" cm="1">
        <f t="array" ref="AA664">CalculerNouvelleDate(K664,Z664)</f>
        <v/>
      </c>
      <c r="AB664" s="84" t="str" cm="1">
        <f t="array" ref="AB664">CalculerNouvelleDate(L664,AA664)</f>
        <v/>
      </c>
      <c r="AC664" s="84" t="str" cm="1">
        <f t="array" ref="AC664">CalculerNouvelleDate(M664,AB664)</f>
        <v/>
      </c>
      <c r="AD664" s="84" t="str" cm="1">
        <f t="array" ref="AD664">CalculerNouvelleDate(N664,AC664)</f>
        <v/>
      </c>
      <c r="AE664" s="84" t="str" cm="1">
        <f t="array" ref="AE664">CalculerNouvelleDate(O664,AD664)</f>
        <v/>
      </c>
      <c r="AF664" s="84" t="str" cm="1">
        <f t="array" ref="AF664">CalculerNouvelleDate(P664,AE664)</f>
        <v/>
      </c>
      <c r="AG664" s="84" t="str" cm="1">
        <f t="array" ref="AG664">CalculerNouvelleDate(Q664,AF664)</f>
        <v/>
      </c>
      <c r="AH664" s="84" t="str" cm="1">
        <f t="array" ref="AH664">CalculerNouvelleDate(R664,AG664)</f>
        <v/>
      </c>
      <c r="AI664" s="84" t="str" cm="1">
        <f t="array" ref="AI664">CalculerNouvelleDate(S664,AH664)</f>
        <v/>
      </c>
      <c r="AJ664" s="84" t="str" cm="1">
        <f t="array" ref="AJ664">CalculerNouvelleDate(T664,AI664)</f>
        <v/>
      </c>
      <c r="AK664" s="84" t="str" cm="1">
        <f t="array" ref="AK664">CalculerNouvelleDate(U664,AJ664)</f>
        <v/>
      </c>
      <c r="AL664" s="84" t="str" cm="1">
        <f t="array" ref="AL664">CalculerNouvelleDate(V664,AK664)</f>
        <v/>
      </c>
      <c r="AM664" s="1"/>
      <c r="AN664" s="1"/>
      <c r="AO664" s="1"/>
      <c r="AP664" s="1"/>
      <c r="AQ664" s="1"/>
      <c r="AR664" s="1"/>
      <c r="AS664" s="1"/>
      <c r="AT664" s="1"/>
      <c r="AU664" s="1"/>
      <c r="AV664" s="1"/>
      <c r="AW664" s="1"/>
      <c r="AX664" s="1"/>
      <c r="AY664" s="1"/>
      <c r="AZ664" s="1"/>
      <c r="BA664" s="1"/>
    </row>
    <row r="665" spans="1:53" x14ac:dyDescent="0.3">
      <c r="A665" s="1"/>
      <c r="B665" s="1"/>
      <c r="C665" s="1"/>
      <c r="D665" s="1"/>
      <c r="E665" s="1"/>
      <c r="F665" s="1"/>
      <c r="G665" s="1"/>
      <c r="H665" s="69"/>
      <c r="I665" s="1"/>
      <c r="J665" s="1"/>
      <c r="K665" s="1"/>
      <c r="L665" s="1"/>
      <c r="M665" s="1"/>
      <c r="N665" s="1"/>
      <c r="O665" s="1"/>
      <c r="P665" s="1"/>
      <c r="Q665" s="1"/>
      <c r="R665" s="1"/>
      <c r="S665" s="1"/>
      <c r="T665" s="1"/>
      <c r="U665" s="1"/>
      <c r="V665" s="1"/>
      <c r="W665" s="1"/>
      <c r="X665" s="84"/>
      <c r="Y665" s="84" t="str" cm="1">
        <f t="array" ref="Y665">CalculerNouvelleDate(I665,X665)</f>
        <v/>
      </c>
      <c r="Z665" s="84" t="str" cm="1">
        <f t="array" ref="Z665">CalculerNouvelleDate(J665,Y665)</f>
        <v/>
      </c>
      <c r="AA665" s="84" t="str" cm="1">
        <f t="array" ref="AA665">CalculerNouvelleDate(K665,Z665)</f>
        <v/>
      </c>
      <c r="AB665" s="84" t="str" cm="1">
        <f t="array" ref="AB665">CalculerNouvelleDate(L665,AA665)</f>
        <v/>
      </c>
      <c r="AC665" s="84" t="str" cm="1">
        <f t="array" ref="AC665">CalculerNouvelleDate(M665,AB665)</f>
        <v/>
      </c>
      <c r="AD665" s="84" t="str" cm="1">
        <f t="array" ref="AD665">CalculerNouvelleDate(N665,AC665)</f>
        <v/>
      </c>
      <c r="AE665" s="84" t="str" cm="1">
        <f t="array" ref="AE665">CalculerNouvelleDate(O665,AD665)</f>
        <v/>
      </c>
      <c r="AF665" s="84" t="str" cm="1">
        <f t="array" ref="AF665">CalculerNouvelleDate(P665,AE665)</f>
        <v/>
      </c>
      <c r="AG665" s="84" t="str" cm="1">
        <f t="array" ref="AG665">CalculerNouvelleDate(Q665,AF665)</f>
        <v/>
      </c>
      <c r="AH665" s="84" t="str" cm="1">
        <f t="array" ref="AH665">CalculerNouvelleDate(R665,AG665)</f>
        <v/>
      </c>
      <c r="AI665" s="84" t="str" cm="1">
        <f t="array" ref="AI665">CalculerNouvelleDate(S665,AH665)</f>
        <v/>
      </c>
      <c r="AJ665" s="84" t="str" cm="1">
        <f t="array" ref="AJ665">CalculerNouvelleDate(T665,AI665)</f>
        <v/>
      </c>
      <c r="AK665" s="84" t="str" cm="1">
        <f t="array" ref="AK665">CalculerNouvelleDate(U665,AJ665)</f>
        <v/>
      </c>
      <c r="AL665" s="84" t="str" cm="1">
        <f t="array" ref="AL665">CalculerNouvelleDate(V665,AK665)</f>
        <v/>
      </c>
      <c r="AM665" s="1"/>
      <c r="AN665" s="1"/>
      <c r="AO665" s="1"/>
      <c r="AP665" s="1"/>
      <c r="AQ665" s="1"/>
      <c r="AR665" s="1"/>
      <c r="AS665" s="1"/>
      <c r="AT665" s="1"/>
      <c r="AU665" s="1"/>
      <c r="AV665" s="1"/>
      <c r="AW665" s="1"/>
      <c r="AX665" s="1"/>
      <c r="AY665" s="1"/>
      <c r="AZ665" s="1"/>
      <c r="BA665" s="1"/>
    </row>
    <row r="666" spans="1:53" x14ac:dyDescent="0.3">
      <c r="A666" s="1"/>
      <c r="B666" s="1"/>
      <c r="C666" s="1"/>
      <c r="D666" s="1"/>
      <c r="E666" s="1"/>
      <c r="F666" s="1"/>
      <c r="G666" s="1"/>
      <c r="H666" s="69"/>
      <c r="I666" s="1"/>
      <c r="J666" s="1"/>
      <c r="K666" s="1"/>
      <c r="L666" s="1"/>
      <c r="M666" s="1"/>
      <c r="N666" s="1"/>
      <c r="O666" s="1"/>
      <c r="P666" s="1"/>
      <c r="Q666" s="1"/>
      <c r="R666" s="1"/>
      <c r="S666" s="1"/>
      <c r="T666" s="1"/>
      <c r="U666" s="1"/>
      <c r="V666" s="1"/>
      <c r="W666" s="1"/>
      <c r="X666" s="84"/>
      <c r="Y666" s="84" t="str" cm="1">
        <f t="array" ref="Y666">CalculerNouvelleDate(I666,X666)</f>
        <v/>
      </c>
      <c r="Z666" s="84" t="str" cm="1">
        <f t="array" ref="Z666">CalculerNouvelleDate(J666,Y666)</f>
        <v/>
      </c>
      <c r="AA666" s="84" t="str" cm="1">
        <f t="array" ref="AA666">CalculerNouvelleDate(K666,Z666)</f>
        <v/>
      </c>
      <c r="AB666" s="84" t="str" cm="1">
        <f t="array" ref="AB666">CalculerNouvelleDate(L666,AA666)</f>
        <v/>
      </c>
      <c r="AC666" s="84" t="str" cm="1">
        <f t="array" ref="AC666">CalculerNouvelleDate(M666,AB666)</f>
        <v/>
      </c>
      <c r="AD666" s="84" t="str" cm="1">
        <f t="array" ref="AD666">CalculerNouvelleDate(N666,AC666)</f>
        <v/>
      </c>
      <c r="AE666" s="84" t="str" cm="1">
        <f t="array" ref="AE666">CalculerNouvelleDate(O666,AD666)</f>
        <v/>
      </c>
      <c r="AF666" s="84" t="str" cm="1">
        <f t="array" ref="AF666">CalculerNouvelleDate(P666,AE666)</f>
        <v/>
      </c>
      <c r="AG666" s="84" t="str" cm="1">
        <f t="array" ref="AG666">CalculerNouvelleDate(Q666,AF666)</f>
        <v/>
      </c>
      <c r="AH666" s="84" t="str" cm="1">
        <f t="array" ref="AH666">CalculerNouvelleDate(R666,AG666)</f>
        <v/>
      </c>
      <c r="AI666" s="84" t="str" cm="1">
        <f t="array" ref="AI666">CalculerNouvelleDate(S666,AH666)</f>
        <v/>
      </c>
      <c r="AJ666" s="84" t="str" cm="1">
        <f t="array" ref="AJ666">CalculerNouvelleDate(T666,AI666)</f>
        <v/>
      </c>
      <c r="AK666" s="84" t="str" cm="1">
        <f t="array" ref="AK666">CalculerNouvelleDate(U666,AJ666)</f>
        <v/>
      </c>
      <c r="AL666" s="84" t="str" cm="1">
        <f t="array" ref="AL666">CalculerNouvelleDate(V666,AK666)</f>
        <v/>
      </c>
      <c r="AM666" s="1"/>
      <c r="AN666" s="1"/>
      <c r="AO666" s="1"/>
      <c r="AP666" s="1"/>
      <c r="AQ666" s="1"/>
      <c r="AR666" s="1"/>
      <c r="AS666" s="1"/>
      <c r="AT666" s="1"/>
      <c r="AU666" s="1"/>
      <c r="AV666" s="1"/>
      <c r="AW666" s="1"/>
      <c r="AX666" s="1"/>
      <c r="AY666" s="1"/>
      <c r="AZ666" s="1"/>
      <c r="BA666" s="1"/>
    </row>
    <row r="667" spans="1:53" x14ac:dyDescent="0.3">
      <c r="A667" s="1"/>
      <c r="B667" s="1"/>
      <c r="C667" s="1"/>
      <c r="D667" s="1"/>
      <c r="E667" s="1"/>
      <c r="F667" s="1"/>
      <c r="G667" s="1"/>
      <c r="H667" s="69"/>
      <c r="I667" s="1"/>
      <c r="J667" s="1"/>
      <c r="K667" s="1"/>
      <c r="L667" s="1"/>
      <c r="M667" s="1"/>
      <c r="N667" s="1"/>
      <c r="O667" s="1"/>
      <c r="P667" s="1"/>
      <c r="Q667" s="1"/>
      <c r="R667" s="1"/>
      <c r="S667" s="1"/>
      <c r="T667" s="1"/>
      <c r="U667" s="1"/>
      <c r="V667" s="1"/>
      <c r="W667" s="1"/>
      <c r="X667" s="84"/>
      <c r="Y667" s="84" t="str" cm="1">
        <f t="array" ref="Y667">CalculerNouvelleDate(I667,X667)</f>
        <v/>
      </c>
      <c r="Z667" s="84" t="str" cm="1">
        <f t="array" ref="Z667">CalculerNouvelleDate(J667,Y667)</f>
        <v/>
      </c>
      <c r="AA667" s="84" t="str" cm="1">
        <f t="array" ref="AA667">CalculerNouvelleDate(K667,Z667)</f>
        <v/>
      </c>
      <c r="AB667" s="84" t="str" cm="1">
        <f t="array" ref="AB667">CalculerNouvelleDate(L667,AA667)</f>
        <v/>
      </c>
      <c r="AC667" s="84" t="str" cm="1">
        <f t="array" ref="AC667">CalculerNouvelleDate(M667,AB667)</f>
        <v/>
      </c>
      <c r="AD667" s="84" t="str" cm="1">
        <f t="array" ref="AD667">CalculerNouvelleDate(N667,AC667)</f>
        <v/>
      </c>
      <c r="AE667" s="84" t="str" cm="1">
        <f t="array" ref="AE667">CalculerNouvelleDate(O667,AD667)</f>
        <v/>
      </c>
      <c r="AF667" s="84" t="str" cm="1">
        <f t="array" ref="AF667">CalculerNouvelleDate(P667,AE667)</f>
        <v/>
      </c>
      <c r="AG667" s="84" t="str" cm="1">
        <f t="array" ref="AG667">CalculerNouvelleDate(Q667,AF667)</f>
        <v/>
      </c>
      <c r="AH667" s="84" t="str" cm="1">
        <f t="array" ref="AH667">CalculerNouvelleDate(R667,AG667)</f>
        <v/>
      </c>
      <c r="AI667" s="84" t="str" cm="1">
        <f t="array" ref="AI667">CalculerNouvelleDate(S667,AH667)</f>
        <v/>
      </c>
      <c r="AJ667" s="84" t="str" cm="1">
        <f t="array" ref="AJ667">CalculerNouvelleDate(T667,AI667)</f>
        <v/>
      </c>
      <c r="AK667" s="84" t="str" cm="1">
        <f t="array" ref="AK667">CalculerNouvelleDate(U667,AJ667)</f>
        <v/>
      </c>
      <c r="AL667" s="84" t="str" cm="1">
        <f t="array" ref="AL667">CalculerNouvelleDate(V667,AK667)</f>
        <v/>
      </c>
      <c r="AM667" s="1"/>
      <c r="AN667" s="1"/>
      <c r="AO667" s="1"/>
      <c r="AP667" s="1"/>
      <c r="AQ667" s="1"/>
      <c r="AR667" s="1"/>
      <c r="AS667" s="1"/>
      <c r="AT667" s="1"/>
      <c r="AU667" s="1"/>
      <c r="AV667" s="1"/>
      <c r="AW667" s="1"/>
      <c r="AX667" s="1"/>
      <c r="AY667" s="1"/>
      <c r="AZ667" s="1"/>
      <c r="BA667" s="1"/>
    </row>
    <row r="668" spans="1:53" x14ac:dyDescent="0.3">
      <c r="A668" s="1"/>
      <c r="B668" s="1"/>
      <c r="C668" s="1"/>
      <c r="D668" s="1"/>
      <c r="E668" s="1"/>
      <c r="F668" s="1"/>
      <c r="G668" s="1"/>
      <c r="H668" s="69"/>
      <c r="I668" s="1"/>
      <c r="J668" s="1"/>
      <c r="K668" s="1"/>
      <c r="L668" s="1"/>
      <c r="M668" s="1"/>
      <c r="N668" s="1"/>
      <c r="O668" s="1"/>
      <c r="P668" s="1"/>
      <c r="Q668" s="1"/>
      <c r="R668" s="1"/>
      <c r="S668" s="1"/>
      <c r="T668" s="1"/>
      <c r="U668" s="1"/>
      <c r="V668" s="1"/>
      <c r="W668" s="1"/>
      <c r="X668" s="84"/>
      <c r="Y668" s="84" t="str" cm="1">
        <f t="array" ref="Y668">CalculerNouvelleDate(I668,X668)</f>
        <v/>
      </c>
      <c r="Z668" s="84" t="str" cm="1">
        <f t="array" ref="Z668">CalculerNouvelleDate(J668,Y668)</f>
        <v/>
      </c>
      <c r="AA668" s="84" t="str" cm="1">
        <f t="array" ref="AA668">CalculerNouvelleDate(K668,Z668)</f>
        <v/>
      </c>
      <c r="AB668" s="84" t="str" cm="1">
        <f t="array" ref="AB668">CalculerNouvelleDate(L668,AA668)</f>
        <v/>
      </c>
      <c r="AC668" s="84" t="str" cm="1">
        <f t="array" ref="AC668">CalculerNouvelleDate(M668,AB668)</f>
        <v/>
      </c>
      <c r="AD668" s="84" t="str" cm="1">
        <f t="array" ref="AD668">CalculerNouvelleDate(N668,AC668)</f>
        <v/>
      </c>
      <c r="AE668" s="84" t="str" cm="1">
        <f t="array" ref="AE668">CalculerNouvelleDate(O668,AD668)</f>
        <v/>
      </c>
      <c r="AF668" s="84" t="str" cm="1">
        <f t="array" ref="AF668">CalculerNouvelleDate(P668,AE668)</f>
        <v/>
      </c>
      <c r="AG668" s="84" t="str" cm="1">
        <f t="array" ref="AG668">CalculerNouvelleDate(Q668,AF668)</f>
        <v/>
      </c>
      <c r="AH668" s="84" t="str" cm="1">
        <f t="array" ref="AH668">CalculerNouvelleDate(R668,AG668)</f>
        <v/>
      </c>
      <c r="AI668" s="84" t="str" cm="1">
        <f t="array" ref="AI668">CalculerNouvelleDate(S668,AH668)</f>
        <v/>
      </c>
      <c r="AJ668" s="84" t="str" cm="1">
        <f t="array" ref="AJ668">CalculerNouvelleDate(T668,AI668)</f>
        <v/>
      </c>
      <c r="AK668" s="84" t="str" cm="1">
        <f t="array" ref="AK668">CalculerNouvelleDate(U668,AJ668)</f>
        <v/>
      </c>
      <c r="AL668" s="84" t="str" cm="1">
        <f t="array" ref="AL668">CalculerNouvelleDate(V668,AK668)</f>
        <v/>
      </c>
      <c r="AM668" s="1"/>
      <c r="AN668" s="1"/>
      <c r="AO668" s="1"/>
      <c r="AP668" s="1"/>
      <c r="AQ668" s="1"/>
      <c r="AR668" s="1"/>
      <c r="AS668" s="1"/>
      <c r="AT668" s="1"/>
      <c r="AU668" s="1"/>
      <c r="AV668" s="1"/>
      <c r="AW668" s="1"/>
      <c r="AX668" s="1"/>
      <c r="AY668" s="1"/>
      <c r="AZ668" s="1"/>
      <c r="BA668" s="1"/>
    </row>
    <row r="669" spans="1:53" x14ac:dyDescent="0.3">
      <c r="A669" s="1"/>
      <c r="B669" s="1"/>
      <c r="C669" s="1"/>
      <c r="D669" s="1"/>
      <c r="E669" s="1"/>
      <c r="F669" s="1"/>
      <c r="G669" s="1"/>
      <c r="H669" s="69"/>
      <c r="I669" s="1"/>
      <c r="J669" s="1"/>
      <c r="K669" s="1"/>
      <c r="L669" s="1"/>
      <c r="M669" s="1"/>
      <c r="N669" s="1"/>
      <c r="O669" s="1"/>
      <c r="P669" s="1"/>
      <c r="Q669" s="1"/>
      <c r="R669" s="1"/>
      <c r="S669" s="1"/>
      <c r="T669" s="1"/>
      <c r="U669" s="1"/>
      <c r="V669" s="1"/>
      <c r="W669" s="1"/>
      <c r="X669" s="84"/>
      <c r="Y669" s="84" t="str" cm="1">
        <f t="array" ref="Y669">CalculerNouvelleDate(I669,X669)</f>
        <v/>
      </c>
      <c r="Z669" s="84" t="str" cm="1">
        <f t="array" ref="Z669">CalculerNouvelleDate(J669,Y669)</f>
        <v/>
      </c>
      <c r="AA669" s="84" t="str" cm="1">
        <f t="array" ref="AA669">CalculerNouvelleDate(K669,Z669)</f>
        <v/>
      </c>
      <c r="AB669" s="84" t="str" cm="1">
        <f t="array" ref="AB669">CalculerNouvelleDate(L669,AA669)</f>
        <v/>
      </c>
      <c r="AC669" s="84" t="str" cm="1">
        <f t="array" ref="AC669">CalculerNouvelleDate(M669,AB669)</f>
        <v/>
      </c>
      <c r="AD669" s="84" t="str" cm="1">
        <f t="array" ref="AD669">CalculerNouvelleDate(N669,AC669)</f>
        <v/>
      </c>
      <c r="AE669" s="84" t="str" cm="1">
        <f t="array" ref="AE669">CalculerNouvelleDate(O669,AD669)</f>
        <v/>
      </c>
      <c r="AF669" s="84" t="str" cm="1">
        <f t="array" ref="AF669">CalculerNouvelleDate(P669,AE669)</f>
        <v/>
      </c>
      <c r="AG669" s="84" t="str" cm="1">
        <f t="array" ref="AG669">CalculerNouvelleDate(Q669,AF669)</f>
        <v/>
      </c>
      <c r="AH669" s="84" t="str" cm="1">
        <f t="array" ref="AH669">CalculerNouvelleDate(R669,AG669)</f>
        <v/>
      </c>
      <c r="AI669" s="84" t="str" cm="1">
        <f t="array" ref="AI669">CalculerNouvelleDate(S669,AH669)</f>
        <v/>
      </c>
      <c r="AJ669" s="84" t="str" cm="1">
        <f t="array" ref="AJ669">CalculerNouvelleDate(T669,AI669)</f>
        <v/>
      </c>
      <c r="AK669" s="84" t="str" cm="1">
        <f t="array" ref="AK669">CalculerNouvelleDate(U669,AJ669)</f>
        <v/>
      </c>
      <c r="AL669" s="84" t="str" cm="1">
        <f t="array" ref="AL669">CalculerNouvelleDate(V669,AK669)</f>
        <v/>
      </c>
      <c r="AM669" s="1"/>
      <c r="AN669" s="1"/>
      <c r="AO669" s="1"/>
      <c r="AP669" s="1"/>
      <c r="AQ669" s="1"/>
      <c r="AR669" s="1"/>
      <c r="AS669" s="1"/>
      <c r="AT669" s="1"/>
      <c r="AU669" s="1"/>
      <c r="AV669" s="1"/>
      <c r="AW669" s="1"/>
      <c r="AX669" s="1"/>
      <c r="AY669" s="1"/>
      <c r="AZ669" s="1"/>
      <c r="BA669" s="1"/>
    </row>
    <row r="670" spans="1:53" x14ac:dyDescent="0.3">
      <c r="A670" s="1"/>
      <c r="B670" s="1"/>
      <c r="C670" s="1"/>
      <c r="D670" s="1"/>
      <c r="E670" s="1"/>
      <c r="F670" s="1"/>
      <c r="G670" s="1"/>
      <c r="H670" s="69"/>
      <c r="I670" s="1"/>
      <c r="J670" s="1"/>
      <c r="K670" s="1"/>
      <c r="L670" s="1"/>
      <c r="M670" s="1"/>
      <c r="N670" s="1"/>
      <c r="O670" s="1"/>
      <c r="P670" s="1"/>
      <c r="Q670" s="1"/>
      <c r="R670" s="1"/>
      <c r="S670" s="1"/>
      <c r="T670" s="1"/>
      <c r="U670" s="1"/>
      <c r="V670" s="1"/>
      <c r="W670" s="1"/>
      <c r="X670" s="84"/>
      <c r="Y670" s="84" t="str" cm="1">
        <f t="array" ref="Y670">CalculerNouvelleDate(I670,X670)</f>
        <v/>
      </c>
      <c r="Z670" s="84" t="str" cm="1">
        <f t="array" ref="Z670">CalculerNouvelleDate(J670,Y670)</f>
        <v/>
      </c>
      <c r="AA670" s="84" t="str" cm="1">
        <f t="array" ref="AA670">CalculerNouvelleDate(K670,Z670)</f>
        <v/>
      </c>
      <c r="AB670" s="84" t="str" cm="1">
        <f t="array" ref="AB670">CalculerNouvelleDate(L670,AA670)</f>
        <v/>
      </c>
      <c r="AC670" s="84" t="str" cm="1">
        <f t="array" ref="AC670">CalculerNouvelleDate(M670,AB670)</f>
        <v/>
      </c>
      <c r="AD670" s="84" t="str" cm="1">
        <f t="array" ref="AD670">CalculerNouvelleDate(N670,AC670)</f>
        <v/>
      </c>
      <c r="AE670" s="84" t="str" cm="1">
        <f t="array" ref="AE670">CalculerNouvelleDate(O670,AD670)</f>
        <v/>
      </c>
      <c r="AF670" s="84" t="str" cm="1">
        <f t="array" ref="AF670">CalculerNouvelleDate(P670,AE670)</f>
        <v/>
      </c>
      <c r="AG670" s="84" t="str" cm="1">
        <f t="array" ref="AG670">CalculerNouvelleDate(Q670,AF670)</f>
        <v/>
      </c>
      <c r="AH670" s="84" t="str" cm="1">
        <f t="array" ref="AH670">CalculerNouvelleDate(R670,AG670)</f>
        <v/>
      </c>
      <c r="AI670" s="84" t="str" cm="1">
        <f t="array" ref="AI670">CalculerNouvelleDate(S670,AH670)</f>
        <v/>
      </c>
      <c r="AJ670" s="84" t="str" cm="1">
        <f t="array" ref="AJ670">CalculerNouvelleDate(T670,AI670)</f>
        <v/>
      </c>
      <c r="AK670" s="84" t="str" cm="1">
        <f t="array" ref="AK670">CalculerNouvelleDate(U670,AJ670)</f>
        <v/>
      </c>
      <c r="AL670" s="84" t="str" cm="1">
        <f t="array" ref="AL670">CalculerNouvelleDate(V670,AK670)</f>
        <v/>
      </c>
      <c r="AM670" s="1"/>
      <c r="AN670" s="1"/>
      <c r="AO670" s="1"/>
      <c r="AP670" s="1"/>
      <c r="AQ670" s="1"/>
      <c r="AR670" s="1"/>
      <c r="AS670" s="1"/>
      <c r="AT670" s="1"/>
      <c r="AU670" s="1"/>
      <c r="AV670" s="1"/>
      <c r="AW670" s="1"/>
      <c r="AX670" s="1"/>
      <c r="AY670" s="1"/>
      <c r="AZ670" s="1"/>
      <c r="BA670" s="1"/>
    </row>
    <row r="671" spans="1:53" x14ac:dyDescent="0.3">
      <c r="A671" s="1"/>
      <c r="B671" s="1"/>
      <c r="C671" s="1"/>
      <c r="D671" s="1"/>
      <c r="E671" s="1"/>
      <c r="F671" s="1"/>
      <c r="G671" s="1"/>
      <c r="H671" s="69"/>
      <c r="I671" s="1"/>
      <c r="J671" s="1"/>
      <c r="K671" s="1"/>
      <c r="L671" s="1"/>
      <c r="M671" s="1"/>
      <c r="N671" s="1"/>
      <c r="O671" s="1"/>
      <c r="P671" s="1"/>
      <c r="Q671" s="1"/>
      <c r="R671" s="1"/>
      <c r="S671" s="1"/>
      <c r="T671" s="1"/>
      <c r="U671" s="1"/>
      <c r="V671" s="1"/>
      <c r="W671" s="1"/>
      <c r="X671" s="84"/>
      <c r="Y671" s="84" t="str" cm="1">
        <f t="array" ref="Y671">CalculerNouvelleDate(I671,X671)</f>
        <v/>
      </c>
      <c r="Z671" s="84" t="str" cm="1">
        <f t="array" ref="Z671">CalculerNouvelleDate(J671,Y671)</f>
        <v/>
      </c>
      <c r="AA671" s="84" t="str" cm="1">
        <f t="array" ref="AA671">CalculerNouvelleDate(K671,Z671)</f>
        <v/>
      </c>
      <c r="AB671" s="84" t="str" cm="1">
        <f t="array" ref="AB671">CalculerNouvelleDate(L671,AA671)</f>
        <v/>
      </c>
      <c r="AC671" s="84" t="str" cm="1">
        <f t="array" ref="AC671">CalculerNouvelleDate(M671,AB671)</f>
        <v/>
      </c>
      <c r="AD671" s="84" t="str" cm="1">
        <f t="array" ref="AD671">CalculerNouvelleDate(N671,AC671)</f>
        <v/>
      </c>
      <c r="AE671" s="84" t="str" cm="1">
        <f t="array" ref="AE671">CalculerNouvelleDate(O671,AD671)</f>
        <v/>
      </c>
      <c r="AF671" s="84" t="str" cm="1">
        <f t="array" ref="AF671">CalculerNouvelleDate(P671,AE671)</f>
        <v/>
      </c>
      <c r="AG671" s="84" t="str" cm="1">
        <f t="array" ref="AG671">CalculerNouvelleDate(Q671,AF671)</f>
        <v/>
      </c>
      <c r="AH671" s="84" t="str" cm="1">
        <f t="array" ref="AH671">CalculerNouvelleDate(R671,AG671)</f>
        <v/>
      </c>
      <c r="AI671" s="84" t="str" cm="1">
        <f t="array" ref="AI671">CalculerNouvelleDate(S671,AH671)</f>
        <v/>
      </c>
      <c r="AJ671" s="84" t="str" cm="1">
        <f t="array" ref="AJ671">CalculerNouvelleDate(T671,AI671)</f>
        <v/>
      </c>
      <c r="AK671" s="84" t="str" cm="1">
        <f t="array" ref="AK671">CalculerNouvelleDate(U671,AJ671)</f>
        <v/>
      </c>
      <c r="AL671" s="84" t="str" cm="1">
        <f t="array" ref="AL671">CalculerNouvelleDate(V671,AK671)</f>
        <v/>
      </c>
      <c r="AM671" s="1"/>
      <c r="AN671" s="1"/>
      <c r="AO671" s="1"/>
      <c r="AP671" s="1"/>
      <c r="AQ671" s="1"/>
      <c r="AR671" s="1"/>
      <c r="AS671" s="1"/>
      <c r="AT671" s="1"/>
      <c r="AU671" s="1"/>
      <c r="AV671" s="1"/>
      <c r="AW671" s="1"/>
      <c r="AX671" s="1"/>
      <c r="AY671" s="1"/>
      <c r="AZ671" s="1"/>
      <c r="BA671" s="1"/>
    </row>
    <row r="672" spans="1:53" x14ac:dyDescent="0.3">
      <c r="A672" s="1"/>
      <c r="B672" s="1"/>
      <c r="C672" s="1"/>
      <c r="D672" s="1"/>
      <c r="E672" s="1"/>
      <c r="F672" s="1"/>
      <c r="G672" s="1"/>
      <c r="H672" s="69"/>
      <c r="I672" s="1"/>
      <c r="J672" s="1"/>
      <c r="K672" s="1"/>
      <c r="L672" s="1"/>
      <c r="M672" s="1"/>
      <c r="N672" s="1"/>
      <c r="O672" s="1"/>
      <c r="P672" s="1"/>
      <c r="Q672" s="1"/>
      <c r="R672" s="1"/>
      <c r="S672" s="1"/>
      <c r="T672" s="1"/>
      <c r="U672" s="1"/>
      <c r="V672" s="1"/>
      <c r="W672" s="1"/>
      <c r="X672" s="84"/>
      <c r="Y672" s="84" t="str" cm="1">
        <f t="array" ref="Y672">CalculerNouvelleDate(I672,X672)</f>
        <v/>
      </c>
      <c r="Z672" s="84" t="str" cm="1">
        <f t="array" ref="Z672">CalculerNouvelleDate(J672,Y672)</f>
        <v/>
      </c>
      <c r="AA672" s="84" t="str" cm="1">
        <f t="array" ref="AA672">CalculerNouvelleDate(K672,Z672)</f>
        <v/>
      </c>
      <c r="AB672" s="84" t="str" cm="1">
        <f t="array" ref="AB672">CalculerNouvelleDate(L672,AA672)</f>
        <v/>
      </c>
      <c r="AC672" s="84" t="str" cm="1">
        <f t="array" ref="AC672">CalculerNouvelleDate(M672,AB672)</f>
        <v/>
      </c>
      <c r="AD672" s="84" t="str" cm="1">
        <f t="array" ref="AD672">CalculerNouvelleDate(N672,AC672)</f>
        <v/>
      </c>
      <c r="AE672" s="84" t="str" cm="1">
        <f t="array" ref="AE672">CalculerNouvelleDate(O672,AD672)</f>
        <v/>
      </c>
      <c r="AF672" s="84" t="str" cm="1">
        <f t="array" ref="AF672">CalculerNouvelleDate(P672,AE672)</f>
        <v/>
      </c>
      <c r="AG672" s="84" t="str" cm="1">
        <f t="array" ref="AG672">CalculerNouvelleDate(Q672,AF672)</f>
        <v/>
      </c>
      <c r="AH672" s="84" t="str" cm="1">
        <f t="array" ref="AH672">CalculerNouvelleDate(R672,AG672)</f>
        <v/>
      </c>
      <c r="AI672" s="84" t="str" cm="1">
        <f t="array" ref="AI672">CalculerNouvelleDate(S672,AH672)</f>
        <v/>
      </c>
      <c r="AJ672" s="84" t="str" cm="1">
        <f t="array" ref="AJ672">CalculerNouvelleDate(T672,AI672)</f>
        <v/>
      </c>
      <c r="AK672" s="84" t="str" cm="1">
        <f t="array" ref="AK672">CalculerNouvelleDate(U672,AJ672)</f>
        <v/>
      </c>
      <c r="AL672" s="84" t="str" cm="1">
        <f t="array" ref="AL672">CalculerNouvelleDate(V672,AK672)</f>
        <v/>
      </c>
      <c r="AM672" s="1"/>
      <c r="AN672" s="1"/>
      <c r="AO672" s="1"/>
      <c r="AP672" s="1"/>
      <c r="AQ672" s="1"/>
      <c r="AR672" s="1"/>
      <c r="AS672" s="1"/>
      <c r="AT672" s="1"/>
      <c r="AU672" s="1"/>
      <c r="AV672" s="1"/>
      <c r="AW672" s="1"/>
      <c r="AX672" s="1"/>
      <c r="AY672" s="1"/>
      <c r="AZ672" s="1"/>
      <c r="BA672" s="1"/>
    </row>
    <row r="673" spans="1:53" x14ac:dyDescent="0.3">
      <c r="A673" s="1"/>
      <c r="B673" s="1"/>
      <c r="C673" s="1"/>
      <c r="D673" s="1"/>
      <c r="E673" s="1"/>
      <c r="F673" s="1"/>
      <c r="G673" s="1"/>
      <c r="H673" s="69"/>
      <c r="I673" s="1"/>
      <c r="J673" s="1"/>
      <c r="K673" s="1"/>
      <c r="L673" s="1"/>
      <c r="M673" s="1"/>
      <c r="N673" s="1"/>
      <c r="O673" s="1"/>
      <c r="P673" s="1"/>
      <c r="Q673" s="1"/>
      <c r="R673" s="1"/>
      <c r="S673" s="1"/>
      <c r="T673" s="1"/>
      <c r="U673" s="1"/>
      <c r="V673" s="1"/>
      <c r="W673" s="1"/>
      <c r="X673" s="84"/>
      <c r="Y673" s="84" t="str" cm="1">
        <f t="array" ref="Y673">CalculerNouvelleDate(I673,X673)</f>
        <v/>
      </c>
      <c r="Z673" s="84" t="str" cm="1">
        <f t="array" ref="Z673">CalculerNouvelleDate(J673,Y673)</f>
        <v/>
      </c>
      <c r="AA673" s="84" t="str" cm="1">
        <f t="array" ref="AA673">CalculerNouvelleDate(K673,Z673)</f>
        <v/>
      </c>
      <c r="AB673" s="84" t="str" cm="1">
        <f t="array" ref="AB673">CalculerNouvelleDate(L673,AA673)</f>
        <v/>
      </c>
      <c r="AC673" s="84" t="str" cm="1">
        <f t="array" ref="AC673">CalculerNouvelleDate(M673,AB673)</f>
        <v/>
      </c>
      <c r="AD673" s="84" t="str" cm="1">
        <f t="array" ref="AD673">CalculerNouvelleDate(N673,AC673)</f>
        <v/>
      </c>
      <c r="AE673" s="84" t="str" cm="1">
        <f t="array" ref="AE673">CalculerNouvelleDate(O673,AD673)</f>
        <v/>
      </c>
      <c r="AF673" s="84" t="str" cm="1">
        <f t="array" ref="AF673">CalculerNouvelleDate(P673,AE673)</f>
        <v/>
      </c>
      <c r="AG673" s="84" t="str" cm="1">
        <f t="array" ref="AG673">CalculerNouvelleDate(Q673,AF673)</f>
        <v/>
      </c>
      <c r="AH673" s="84" t="str" cm="1">
        <f t="array" ref="AH673">CalculerNouvelleDate(R673,AG673)</f>
        <v/>
      </c>
      <c r="AI673" s="84" t="str" cm="1">
        <f t="array" ref="AI673">CalculerNouvelleDate(S673,AH673)</f>
        <v/>
      </c>
      <c r="AJ673" s="84" t="str" cm="1">
        <f t="array" ref="AJ673">CalculerNouvelleDate(T673,AI673)</f>
        <v/>
      </c>
      <c r="AK673" s="84" t="str" cm="1">
        <f t="array" ref="AK673">CalculerNouvelleDate(U673,AJ673)</f>
        <v/>
      </c>
      <c r="AL673" s="84" t="str" cm="1">
        <f t="array" ref="AL673">CalculerNouvelleDate(V673,AK673)</f>
        <v/>
      </c>
      <c r="AM673" s="1"/>
      <c r="AN673" s="1"/>
      <c r="AO673" s="1"/>
      <c r="AP673" s="1"/>
      <c r="AQ673" s="1"/>
      <c r="AR673" s="1"/>
      <c r="AS673" s="1"/>
      <c r="AT673" s="1"/>
      <c r="AU673" s="1"/>
      <c r="AV673" s="1"/>
      <c r="AW673" s="1"/>
      <c r="AX673" s="1"/>
      <c r="AY673" s="1"/>
      <c r="AZ673" s="1"/>
      <c r="BA673" s="1"/>
    </row>
    <row r="674" spans="1:53" x14ac:dyDescent="0.3">
      <c r="A674" s="1"/>
      <c r="B674" s="1"/>
      <c r="C674" s="1"/>
      <c r="D674" s="1"/>
      <c r="E674" s="1"/>
      <c r="F674" s="1"/>
      <c r="G674" s="1"/>
      <c r="H674" s="69"/>
      <c r="I674" s="1"/>
      <c r="J674" s="1"/>
      <c r="K674" s="1"/>
      <c r="L674" s="1"/>
      <c r="M674" s="1"/>
      <c r="N674" s="1"/>
      <c r="O674" s="1"/>
      <c r="P674" s="1"/>
      <c r="Q674" s="1"/>
      <c r="R674" s="1"/>
      <c r="S674" s="1"/>
      <c r="T674" s="1"/>
      <c r="U674" s="1"/>
      <c r="V674" s="1"/>
      <c r="W674" s="1"/>
      <c r="X674" s="84"/>
      <c r="Y674" s="84" t="str" cm="1">
        <f t="array" ref="Y674">CalculerNouvelleDate(I674,X674)</f>
        <v/>
      </c>
      <c r="Z674" s="84" t="str" cm="1">
        <f t="array" ref="Z674">CalculerNouvelleDate(J674,Y674)</f>
        <v/>
      </c>
      <c r="AA674" s="84" t="str" cm="1">
        <f t="array" ref="AA674">CalculerNouvelleDate(K674,Z674)</f>
        <v/>
      </c>
      <c r="AB674" s="84" t="str" cm="1">
        <f t="array" ref="AB674">CalculerNouvelleDate(L674,AA674)</f>
        <v/>
      </c>
      <c r="AC674" s="84" t="str" cm="1">
        <f t="array" ref="AC674">CalculerNouvelleDate(M674,AB674)</f>
        <v/>
      </c>
      <c r="AD674" s="84" t="str" cm="1">
        <f t="array" ref="AD674">CalculerNouvelleDate(N674,AC674)</f>
        <v/>
      </c>
      <c r="AE674" s="84" t="str" cm="1">
        <f t="array" ref="AE674">CalculerNouvelleDate(O674,AD674)</f>
        <v/>
      </c>
      <c r="AF674" s="84" t="str" cm="1">
        <f t="array" ref="AF674">CalculerNouvelleDate(P674,AE674)</f>
        <v/>
      </c>
      <c r="AG674" s="84" t="str" cm="1">
        <f t="array" ref="AG674">CalculerNouvelleDate(Q674,AF674)</f>
        <v/>
      </c>
      <c r="AH674" s="84" t="str" cm="1">
        <f t="array" ref="AH674">CalculerNouvelleDate(R674,AG674)</f>
        <v/>
      </c>
      <c r="AI674" s="84" t="str" cm="1">
        <f t="array" ref="AI674">CalculerNouvelleDate(S674,AH674)</f>
        <v/>
      </c>
      <c r="AJ674" s="84" t="str" cm="1">
        <f t="array" ref="AJ674">CalculerNouvelleDate(T674,AI674)</f>
        <v/>
      </c>
      <c r="AK674" s="84" t="str" cm="1">
        <f t="array" ref="AK674">CalculerNouvelleDate(U674,AJ674)</f>
        <v/>
      </c>
      <c r="AL674" s="84" t="str" cm="1">
        <f t="array" ref="AL674">CalculerNouvelleDate(V674,AK674)</f>
        <v/>
      </c>
      <c r="AM674" s="1"/>
      <c r="AN674" s="1"/>
      <c r="AO674" s="1"/>
      <c r="AP674" s="1"/>
      <c r="AQ674" s="1"/>
      <c r="AR674" s="1"/>
      <c r="AS674" s="1"/>
      <c r="AT674" s="1"/>
      <c r="AU674" s="1"/>
      <c r="AV674" s="1"/>
      <c r="AW674" s="1"/>
      <c r="AX674" s="1"/>
      <c r="AY674" s="1"/>
      <c r="AZ674" s="1"/>
      <c r="BA674" s="1"/>
    </row>
    <row r="675" spans="1:53" x14ac:dyDescent="0.3">
      <c r="A675" s="1"/>
      <c r="B675" s="1"/>
      <c r="C675" s="1"/>
      <c r="D675" s="1"/>
      <c r="E675" s="1"/>
      <c r="F675" s="1"/>
      <c r="G675" s="1"/>
      <c r="H675" s="69"/>
      <c r="I675" s="1"/>
      <c r="J675" s="1"/>
      <c r="K675" s="1"/>
      <c r="L675" s="1"/>
      <c r="M675" s="1"/>
      <c r="N675" s="1"/>
      <c r="O675" s="1"/>
      <c r="P675" s="1"/>
      <c r="Q675" s="1"/>
      <c r="R675" s="1"/>
      <c r="S675" s="1"/>
      <c r="T675" s="1"/>
      <c r="U675" s="1"/>
      <c r="V675" s="1"/>
      <c r="W675" s="1"/>
      <c r="X675" s="84"/>
      <c r="Y675" s="84" t="str" cm="1">
        <f t="array" ref="Y675">CalculerNouvelleDate(I675,X675)</f>
        <v/>
      </c>
      <c r="Z675" s="84" t="str" cm="1">
        <f t="array" ref="Z675">CalculerNouvelleDate(J675,Y675)</f>
        <v/>
      </c>
      <c r="AA675" s="84" t="str" cm="1">
        <f t="array" ref="AA675">CalculerNouvelleDate(K675,Z675)</f>
        <v/>
      </c>
      <c r="AB675" s="84" t="str" cm="1">
        <f t="array" ref="AB675">CalculerNouvelleDate(L675,AA675)</f>
        <v/>
      </c>
      <c r="AC675" s="84" t="str" cm="1">
        <f t="array" ref="AC675">CalculerNouvelleDate(M675,AB675)</f>
        <v/>
      </c>
      <c r="AD675" s="84" t="str" cm="1">
        <f t="array" ref="AD675">CalculerNouvelleDate(N675,AC675)</f>
        <v/>
      </c>
      <c r="AE675" s="84" t="str" cm="1">
        <f t="array" ref="AE675">CalculerNouvelleDate(O675,AD675)</f>
        <v/>
      </c>
      <c r="AF675" s="84" t="str" cm="1">
        <f t="array" ref="AF675">CalculerNouvelleDate(P675,AE675)</f>
        <v/>
      </c>
      <c r="AG675" s="84" t="str" cm="1">
        <f t="array" ref="AG675">CalculerNouvelleDate(Q675,AF675)</f>
        <v/>
      </c>
      <c r="AH675" s="84" t="str" cm="1">
        <f t="array" ref="AH675">CalculerNouvelleDate(R675,AG675)</f>
        <v/>
      </c>
      <c r="AI675" s="84" t="str" cm="1">
        <f t="array" ref="AI675">CalculerNouvelleDate(S675,AH675)</f>
        <v/>
      </c>
      <c r="AJ675" s="84" t="str" cm="1">
        <f t="array" ref="AJ675">CalculerNouvelleDate(T675,AI675)</f>
        <v/>
      </c>
      <c r="AK675" s="84" t="str" cm="1">
        <f t="array" ref="AK675">CalculerNouvelleDate(U675,AJ675)</f>
        <v/>
      </c>
      <c r="AL675" s="84" t="str" cm="1">
        <f t="array" ref="AL675">CalculerNouvelleDate(V675,AK675)</f>
        <v/>
      </c>
      <c r="AM675" s="1"/>
      <c r="AN675" s="1"/>
      <c r="AO675" s="1"/>
      <c r="AP675" s="1"/>
      <c r="AQ675" s="1"/>
      <c r="AR675" s="1"/>
      <c r="AS675" s="1"/>
      <c r="AT675" s="1"/>
      <c r="AU675" s="1"/>
      <c r="AV675" s="1"/>
      <c r="AW675" s="1"/>
      <c r="AX675" s="1"/>
      <c r="AY675" s="1"/>
      <c r="AZ675" s="1"/>
      <c r="BA675" s="1"/>
    </row>
    <row r="676" spans="1:53" x14ac:dyDescent="0.3">
      <c r="A676" s="1"/>
      <c r="B676" s="1"/>
      <c r="C676" s="1"/>
      <c r="D676" s="1"/>
      <c r="E676" s="1"/>
      <c r="F676" s="1"/>
      <c r="G676" s="1"/>
      <c r="H676" s="69"/>
      <c r="I676" s="1"/>
      <c r="J676" s="1"/>
      <c r="K676" s="1"/>
      <c r="L676" s="1"/>
      <c r="M676" s="1"/>
      <c r="N676" s="1"/>
      <c r="O676" s="1"/>
      <c r="P676" s="1"/>
      <c r="Q676" s="1"/>
      <c r="R676" s="1"/>
      <c r="S676" s="1"/>
      <c r="T676" s="1"/>
      <c r="U676" s="1"/>
      <c r="V676" s="1"/>
      <c r="W676" s="1"/>
      <c r="X676" s="84"/>
      <c r="Y676" s="84" t="str" cm="1">
        <f t="array" ref="Y676">CalculerNouvelleDate(I676,X676)</f>
        <v/>
      </c>
      <c r="Z676" s="84" t="str" cm="1">
        <f t="array" ref="Z676">CalculerNouvelleDate(J676,Y676)</f>
        <v/>
      </c>
      <c r="AA676" s="84" t="str" cm="1">
        <f t="array" ref="AA676">CalculerNouvelleDate(K676,Z676)</f>
        <v/>
      </c>
      <c r="AB676" s="84" t="str" cm="1">
        <f t="array" ref="AB676">CalculerNouvelleDate(L676,AA676)</f>
        <v/>
      </c>
      <c r="AC676" s="84" t="str" cm="1">
        <f t="array" ref="AC676">CalculerNouvelleDate(M676,AB676)</f>
        <v/>
      </c>
      <c r="AD676" s="84" t="str" cm="1">
        <f t="array" ref="AD676">CalculerNouvelleDate(N676,AC676)</f>
        <v/>
      </c>
      <c r="AE676" s="84" t="str" cm="1">
        <f t="array" ref="AE676">CalculerNouvelleDate(O676,AD676)</f>
        <v/>
      </c>
      <c r="AF676" s="84" t="str" cm="1">
        <f t="array" ref="AF676">CalculerNouvelleDate(P676,AE676)</f>
        <v/>
      </c>
      <c r="AG676" s="84" t="str" cm="1">
        <f t="array" ref="AG676">CalculerNouvelleDate(Q676,AF676)</f>
        <v/>
      </c>
      <c r="AH676" s="84" t="str" cm="1">
        <f t="array" ref="AH676">CalculerNouvelleDate(R676,AG676)</f>
        <v/>
      </c>
      <c r="AI676" s="84" t="str" cm="1">
        <f t="array" ref="AI676">CalculerNouvelleDate(S676,AH676)</f>
        <v/>
      </c>
      <c r="AJ676" s="84" t="str" cm="1">
        <f t="array" ref="AJ676">CalculerNouvelleDate(T676,AI676)</f>
        <v/>
      </c>
      <c r="AK676" s="84" t="str" cm="1">
        <f t="array" ref="AK676">CalculerNouvelleDate(U676,AJ676)</f>
        <v/>
      </c>
      <c r="AL676" s="84" t="str" cm="1">
        <f t="array" ref="AL676">CalculerNouvelleDate(V676,AK676)</f>
        <v/>
      </c>
      <c r="AM676" s="1"/>
      <c r="AN676" s="1"/>
      <c r="AO676" s="1"/>
      <c r="AP676" s="1"/>
      <c r="AQ676" s="1"/>
      <c r="AR676" s="1"/>
      <c r="AS676" s="1"/>
      <c r="AT676" s="1"/>
      <c r="AU676" s="1"/>
      <c r="AV676" s="1"/>
      <c r="AW676" s="1"/>
      <c r="AX676" s="1"/>
      <c r="AY676" s="1"/>
      <c r="AZ676" s="1"/>
      <c r="BA676" s="1"/>
    </row>
    <row r="677" spans="1:53" x14ac:dyDescent="0.3">
      <c r="A677" s="1"/>
      <c r="B677" s="1"/>
      <c r="C677" s="1"/>
      <c r="D677" s="1"/>
      <c r="E677" s="1"/>
      <c r="F677" s="1"/>
      <c r="G677" s="1"/>
      <c r="H677" s="69"/>
      <c r="I677" s="1"/>
      <c r="J677" s="1"/>
      <c r="K677" s="1"/>
      <c r="L677" s="1"/>
      <c r="M677" s="1"/>
      <c r="N677" s="1"/>
      <c r="O677" s="1"/>
      <c r="P677" s="1"/>
      <c r="Q677" s="1"/>
      <c r="R677" s="1"/>
      <c r="S677" s="1"/>
      <c r="T677" s="1"/>
      <c r="U677" s="1"/>
      <c r="V677" s="1"/>
      <c r="W677" s="1"/>
      <c r="X677" s="84"/>
      <c r="Y677" s="84" t="str" cm="1">
        <f t="array" ref="Y677">CalculerNouvelleDate(I677,X677)</f>
        <v/>
      </c>
      <c r="Z677" s="84" t="str" cm="1">
        <f t="array" ref="Z677">CalculerNouvelleDate(J677,Y677)</f>
        <v/>
      </c>
      <c r="AA677" s="84" t="str" cm="1">
        <f t="array" ref="AA677">CalculerNouvelleDate(K677,Z677)</f>
        <v/>
      </c>
      <c r="AB677" s="84" t="str" cm="1">
        <f t="array" ref="AB677">CalculerNouvelleDate(L677,AA677)</f>
        <v/>
      </c>
      <c r="AC677" s="84" t="str" cm="1">
        <f t="array" ref="AC677">CalculerNouvelleDate(M677,AB677)</f>
        <v/>
      </c>
      <c r="AD677" s="84" t="str" cm="1">
        <f t="array" ref="AD677">CalculerNouvelleDate(N677,AC677)</f>
        <v/>
      </c>
      <c r="AE677" s="84" t="str" cm="1">
        <f t="array" ref="AE677">CalculerNouvelleDate(O677,AD677)</f>
        <v/>
      </c>
      <c r="AF677" s="84" t="str" cm="1">
        <f t="array" ref="AF677">CalculerNouvelleDate(P677,AE677)</f>
        <v/>
      </c>
      <c r="AG677" s="84" t="str" cm="1">
        <f t="array" ref="AG677">CalculerNouvelleDate(Q677,AF677)</f>
        <v/>
      </c>
      <c r="AH677" s="84" t="str" cm="1">
        <f t="array" ref="AH677">CalculerNouvelleDate(R677,AG677)</f>
        <v/>
      </c>
      <c r="AI677" s="84" t="str" cm="1">
        <f t="array" ref="AI677">CalculerNouvelleDate(S677,AH677)</f>
        <v/>
      </c>
      <c r="AJ677" s="84" t="str" cm="1">
        <f t="array" ref="AJ677">CalculerNouvelleDate(T677,AI677)</f>
        <v/>
      </c>
      <c r="AK677" s="84" t="str" cm="1">
        <f t="array" ref="AK677">CalculerNouvelleDate(U677,AJ677)</f>
        <v/>
      </c>
      <c r="AL677" s="84" t="str" cm="1">
        <f t="array" ref="AL677">CalculerNouvelleDate(V677,AK677)</f>
        <v/>
      </c>
      <c r="AM677" s="1"/>
      <c r="AN677" s="1"/>
      <c r="AO677" s="1"/>
      <c r="AP677" s="1"/>
      <c r="AQ677" s="1"/>
      <c r="AR677" s="1"/>
      <c r="AS677" s="1"/>
      <c r="AT677" s="1"/>
      <c r="AU677" s="1"/>
      <c r="AV677" s="1"/>
      <c r="AW677" s="1"/>
      <c r="AX677" s="1"/>
      <c r="AY677" s="1"/>
      <c r="AZ677" s="1"/>
      <c r="BA677" s="1"/>
    </row>
    <row r="678" spans="1:53" x14ac:dyDescent="0.3">
      <c r="A678" s="1"/>
      <c r="B678" s="1"/>
      <c r="C678" s="1"/>
      <c r="D678" s="1"/>
      <c r="E678" s="1"/>
      <c r="F678" s="1"/>
      <c r="G678" s="1"/>
      <c r="H678" s="69"/>
      <c r="I678" s="1"/>
      <c r="J678" s="1"/>
      <c r="K678" s="1"/>
      <c r="L678" s="1"/>
      <c r="M678" s="1"/>
      <c r="N678" s="1"/>
      <c r="O678" s="1"/>
      <c r="P678" s="1"/>
      <c r="Q678" s="1"/>
      <c r="R678" s="1"/>
      <c r="S678" s="1"/>
      <c r="T678" s="1"/>
      <c r="U678" s="1"/>
      <c r="V678" s="1"/>
      <c r="W678" s="1"/>
      <c r="X678" s="84"/>
      <c r="Y678" s="84" t="str" cm="1">
        <f t="array" ref="Y678">CalculerNouvelleDate(I678,X678)</f>
        <v/>
      </c>
      <c r="Z678" s="84" t="str" cm="1">
        <f t="array" ref="Z678">CalculerNouvelleDate(J678,Y678)</f>
        <v/>
      </c>
      <c r="AA678" s="84" t="str" cm="1">
        <f t="array" ref="AA678">CalculerNouvelleDate(K678,Z678)</f>
        <v/>
      </c>
      <c r="AB678" s="84" t="str" cm="1">
        <f t="array" ref="AB678">CalculerNouvelleDate(L678,AA678)</f>
        <v/>
      </c>
      <c r="AC678" s="84" t="str" cm="1">
        <f t="array" ref="AC678">CalculerNouvelleDate(M678,AB678)</f>
        <v/>
      </c>
      <c r="AD678" s="84" t="str" cm="1">
        <f t="array" ref="AD678">CalculerNouvelleDate(N678,AC678)</f>
        <v/>
      </c>
      <c r="AE678" s="84" t="str" cm="1">
        <f t="array" ref="AE678">CalculerNouvelleDate(O678,AD678)</f>
        <v/>
      </c>
      <c r="AF678" s="84" t="str" cm="1">
        <f t="array" ref="AF678">CalculerNouvelleDate(P678,AE678)</f>
        <v/>
      </c>
      <c r="AG678" s="84" t="str" cm="1">
        <f t="array" ref="AG678">CalculerNouvelleDate(Q678,AF678)</f>
        <v/>
      </c>
      <c r="AH678" s="84" t="str" cm="1">
        <f t="array" ref="AH678">CalculerNouvelleDate(R678,AG678)</f>
        <v/>
      </c>
      <c r="AI678" s="84" t="str" cm="1">
        <f t="array" ref="AI678">CalculerNouvelleDate(S678,AH678)</f>
        <v/>
      </c>
      <c r="AJ678" s="84" t="str" cm="1">
        <f t="array" ref="AJ678">CalculerNouvelleDate(T678,AI678)</f>
        <v/>
      </c>
      <c r="AK678" s="84" t="str" cm="1">
        <f t="array" ref="AK678">CalculerNouvelleDate(U678,AJ678)</f>
        <v/>
      </c>
      <c r="AL678" s="84" t="str" cm="1">
        <f t="array" ref="AL678">CalculerNouvelleDate(V678,AK678)</f>
        <v/>
      </c>
      <c r="AM678" s="1"/>
      <c r="AN678" s="1"/>
      <c r="AO678" s="1"/>
      <c r="AP678" s="1"/>
      <c r="AQ678" s="1"/>
      <c r="AR678" s="1"/>
      <c r="AS678" s="1"/>
      <c r="AT678" s="1"/>
      <c r="AU678" s="1"/>
      <c r="AV678" s="1"/>
      <c r="AW678" s="1"/>
      <c r="AX678" s="1"/>
      <c r="AY678" s="1"/>
      <c r="AZ678" s="1"/>
      <c r="BA678" s="1"/>
    </row>
    <row r="679" spans="1:53" x14ac:dyDescent="0.3">
      <c r="A679" s="1"/>
      <c r="B679" s="1"/>
      <c r="C679" s="1"/>
      <c r="D679" s="1"/>
      <c r="E679" s="1"/>
      <c r="F679" s="1"/>
      <c r="G679" s="1"/>
      <c r="H679" s="69"/>
      <c r="I679" s="1"/>
      <c r="J679" s="1"/>
      <c r="K679" s="1"/>
      <c r="L679" s="1"/>
      <c r="M679" s="1"/>
      <c r="N679" s="1"/>
      <c r="O679" s="1"/>
      <c r="P679" s="1"/>
      <c r="Q679" s="1"/>
      <c r="R679" s="1"/>
      <c r="S679" s="1"/>
      <c r="T679" s="1"/>
      <c r="U679" s="1"/>
      <c r="V679" s="1"/>
      <c r="W679" s="1"/>
      <c r="X679" s="84"/>
      <c r="Y679" s="84" t="str" cm="1">
        <f t="array" ref="Y679">CalculerNouvelleDate(I679,X679)</f>
        <v/>
      </c>
      <c r="Z679" s="84" t="str" cm="1">
        <f t="array" ref="Z679">CalculerNouvelleDate(J679,Y679)</f>
        <v/>
      </c>
      <c r="AA679" s="84" t="str" cm="1">
        <f t="array" ref="AA679">CalculerNouvelleDate(K679,Z679)</f>
        <v/>
      </c>
      <c r="AB679" s="84" t="str" cm="1">
        <f t="array" ref="AB679">CalculerNouvelleDate(L679,AA679)</f>
        <v/>
      </c>
      <c r="AC679" s="84" t="str" cm="1">
        <f t="array" ref="AC679">CalculerNouvelleDate(M679,AB679)</f>
        <v/>
      </c>
      <c r="AD679" s="84" t="str" cm="1">
        <f t="array" ref="AD679">CalculerNouvelleDate(N679,AC679)</f>
        <v/>
      </c>
      <c r="AE679" s="84" t="str" cm="1">
        <f t="array" ref="AE679">CalculerNouvelleDate(O679,AD679)</f>
        <v/>
      </c>
      <c r="AF679" s="84" t="str" cm="1">
        <f t="array" ref="AF679">CalculerNouvelleDate(P679,AE679)</f>
        <v/>
      </c>
      <c r="AG679" s="84" t="str" cm="1">
        <f t="array" ref="AG679">CalculerNouvelleDate(Q679,AF679)</f>
        <v/>
      </c>
      <c r="AH679" s="84" t="str" cm="1">
        <f t="array" ref="AH679">CalculerNouvelleDate(R679,AG679)</f>
        <v/>
      </c>
      <c r="AI679" s="84" t="str" cm="1">
        <f t="array" ref="AI679">CalculerNouvelleDate(S679,AH679)</f>
        <v/>
      </c>
      <c r="AJ679" s="84" t="str" cm="1">
        <f t="array" ref="AJ679">CalculerNouvelleDate(T679,AI679)</f>
        <v/>
      </c>
      <c r="AK679" s="84" t="str" cm="1">
        <f t="array" ref="AK679">CalculerNouvelleDate(U679,AJ679)</f>
        <v/>
      </c>
      <c r="AL679" s="84" t="str" cm="1">
        <f t="array" ref="AL679">CalculerNouvelleDate(V679,AK679)</f>
        <v/>
      </c>
      <c r="AM679" s="1"/>
      <c r="AN679" s="1"/>
      <c r="AO679" s="1"/>
      <c r="AP679" s="1"/>
      <c r="AQ679" s="1"/>
      <c r="AR679" s="1"/>
      <c r="AS679" s="1"/>
      <c r="AT679" s="1"/>
      <c r="AU679" s="1"/>
      <c r="AV679" s="1"/>
      <c r="AW679" s="1"/>
      <c r="AX679" s="1"/>
      <c r="AY679" s="1"/>
      <c r="AZ679" s="1"/>
      <c r="BA679" s="1"/>
    </row>
    <row r="680" spans="1:53" x14ac:dyDescent="0.3">
      <c r="A680" s="1"/>
      <c r="B680" s="1"/>
      <c r="C680" s="1"/>
      <c r="D680" s="1"/>
      <c r="E680" s="1"/>
      <c r="F680" s="1"/>
      <c r="G680" s="1"/>
      <c r="H680" s="69"/>
      <c r="I680" s="1"/>
      <c r="J680" s="1"/>
      <c r="K680" s="1"/>
      <c r="L680" s="1"/>
      <c r="M680" s="1"/>
      <c r="N680" s="1"/>
      <c r="O680" s="1"/>
      <c r="P680" s="1"/>
      <c r="Q680" s="1"/>
      <c r="R680" s="1"/>
      <c r="S680" s="1"/>
      <c r="T680" s="1"/>
      <c r="U680" s="1"/>
      <c r="V680" s="1"/>
      <c r="W680" s="1"/>
      <c r="X680" s="84"/>
      <c r="Y680" s="84" t="str" cm="1">
        <f t="array" ref="Y680">CalculerNouvelleDate(I680,X680)</f>
        <v/>
      </c>
      <c r="Z680" s="84" t="str" cm="1">
        <f t="array" ref="Z680">CalculerNouvelleDate(J680,Y680)</f>
        <v/>
      </c>
      <c r="AA680" s="84" t="str" cm="1">
        <f t="array" ref="AA680">CalculerNouvelleDate(K680,Z680)</f>
        <v/>
      </c>
      <c r="AB680" s="84" t="str" cm="1">
        <f t="array" ref="AB680">CalculerNouvelleDate(L680,AA680)</f>
        <v/>
      </c>
      <c r="AC680" s="84" t="str" cm="1">
        <f t="array" ref="AC680">CalculerNouvelleDate(M680,AB680)</f>
        <v/>
      </c>
      <c r="AD680" s="84" t="str" cm="1">
        <f t="array" ref="AD680">CalculerNouvelleDate(N680,AC680)</f>
        <v/>
      </c>
      <c r="AE680" s="84" t="str" cm="1">
        <f t="array" ref="AE680">CalculerNouvelleDate(O680,AD680)</f>
        <v/>
      </c>
      <c r="AF680" s="84" t="str" cm="1">
        <f t="array" ref="AF680">CalculerNouvelleDate(P680,AE680)</f>
        <v/>
      </c>
      <c r="AG680" s="84" t="str" cm="1">
        <f t="array" ref="AG680">CalculerNouvelleDate(Q680,AF680)</f>
        <v/>
      </c>
      <c r="AH680" s="84" t="str" cm="1">
        <f t="array" ref="AH680">CalculerNouvelleDate(R680,AG680)</f>
        <v/>
      </c>
      <c r="AI680" s="84" t="str" cm="1">
        <f t="array" ref="AI680">CalculerNouvelleDate(S680,AH680)</f>
        <v/>
      </c>
      <c r="AJ680" s="84" t="str" cm="1">
        <f t="array" ref="AJ680">CalculerNouvelleDate(T680,AI680)</f>
        <v/>
      </c>
      <c r="AK680" s="84" t="str" cm="1">
        <f t="array" ref="AK680">CalculerNouvelleDate(U680,AJ680)</f>
        <v/>
      </c>
      <c r="AL680" s="84" t="str" cm="1">
        <f t="array" ref="AL680">CalculerNouvelleDate(V680,AK680)</f>
        <v/>
      </c>
      <c r="AM680" s="1"/>
      <c r="AN680" s="1"/>
      <c r="AO680" s="1"/>
      <c r="AP680" s="1"/>
      <c r="AQ680" s="1"/>
      <c r="AR680" s="1"/>
      <c r="AS680" s="1"/>
      <c r="AT680" s="1"/>
      <c r="AU680" s="1"/>
      <c r="AV680" s="1"/>
      <c r="AW680" s="1"/>
      <c r="AX680" s="1"/>
      <c r="AY680" s="1"/>
      <c r="AZ680" s="1"/>
      <c r="BA680" s="1"/>
    </row>
    <row r="681" spans="1:53" x14ac:dyDescent="0.3">
      <c r="A681" s="1"/>
      <c r="B681" s="1"/>
      <c r="C681" s="1"/>
      <c r="D681" s="1"/>
      <c r="E681" s="1"/>
      <c r="F681" s="1"/>
      <c r="G681" s="1"/>
      <c r="H681" s="69"/>
      <c r="I681" s="1"/>
      <c r="J681" s="1"/>
      <c r="K681" s="1"/>
      <c r="L681" s="1"/>
      <c r="M681" s="1"/>
      <c r="N681" s="1"/>
      <c r="O681" s="1"/>
      <c r="P681" s="1"/>
      <c r="Q681" s="1"/>
      <c r="R681" s="1"/>
      <c r="S681" s="1"/>
      <c r="T681" s="1"/>
      <c r="U681" s="1"/>
      <c r="V681" s="1"/>
      <c r="W681" s="1"/>
      <c r="X681" s="84"/>
      <c r="Y681" s="84" t="str" cm="1">
        <f t="array" ref="Y681">CalculerNouvelleDate(I681,X681)</f>
        <v/>
      </c>
      <c r="Z681" s="84" t="str" cm="1">
        <f t="array" ref="Z681">CalculerNouvelleDate(J681,Y681)</f>
        <v/>
      </c>
      <c r="AA681" s="84" t="str" cm="1">
        <f t="array" ref="AA681">CalculerNouvelleDate(K681,Z681)</f>
        <v/>
      </c>
      <c r="AB681" s="84" t="str" cm="1">
        <f t="array" ref="AB681">CalculerNouvelleDate(L681,AA681)</f>
        <v/>
      </c>
      <c r="AC681" s="84" t="str" cm="1">
        <f t="array" ref="AC681">CalculerNouvelleDate(M681,AB681)</f>
        <v/>
      </c>
      <c r="AD681" s="84" t="str" cm="1">
        <f t="array" ref="AD681">CalculerNouvelleDate(N681,AC681)</f>
        <v/>
      </c>
      <c r="AE681" s="84" t="str" cm="1">
        <f t="array" ref="AE681">CalculerNouvelleDate(O681,AD681)</f>
        <v/>
      </c>
      <c r="AF681" s="84" t="str" cm="1">
        <f t="array" ref="AF681">CalculerNouvelleDate(P681,AE681)</f>
        <v/>
      </c>
      <c r="AG681" s="84" t="str" cm="1">
        <f t="array" ref="AG681">CalculerNouvelleDate(Q681,AF681)</f>
        <v/>
      </c>
      <c r="AH681" s="84" t="str" cm="1">
        <f t="array" ref="AH681">CalculerNouvelleDate(R681,AG681)</f>
        <v/>
      </c>
      <c r="AI681" s="84" t="str" cm="1">
        <f t="array" ref="AI681">CalculerNouvelleDate(S681,AH681)</f>
        <v/>
      </c>
      <c r="AJ681" s="84" t="str" cm="1">
        <f t="array" ref="AJ681">CalculerNouvelleDate(T681,AI681)</f>
        <v/>
      </c>
      <c r="AK681" s="84" t="str" cm="1">
        <f t="array" ref="AK681">CalculerNouvelleDate(U681,AJ681)</f>
        <v/>
      </c>
      <c r="AL681" s="84" t="str" cm="1">
        <f t="array" ref="AL681">CalculerNouvelleDate(V681,AK681)</f>
        <v/>
      </c>
      <c r="AM681" s="1"/>
      <c r="AN681" s="1"/>
      <c r="AO681" s="1"/>
      <c r="AP681" s="1"/>
      <c r="AQ681" s="1"/>
      <c r="AR681" s="1"/>
      <c r="AS681" s="1"/>
      <c r="AT681" s="1"/>
      <c r="AU681" s="1"/>
      <c r="AV681" s="1"/>
      <c r="AW681" s="1"/>
      <c r="AX681" s="1"/>
      <c r="AY681" s="1"/>
      <c r="AZ681" s="1"/>
      <c r="BA681" s="1"/>
    </row>
    <row r="682" spans="1:53" x14ac:dyDescent="0.3">
      <c r="A682" s="1"/>
      <c r="B682" s="1"/>
      <c r="C682" s="1"/>
      <c r="D682" s="1"/>
      <c r="E682" s="1"/>
      <c r="F682" s="1"/>
      <c r="G682" s="1"/>
      <c r="H682" s="69"/>
      <c r="I682" s="1"/>
      <c r="J682" s="1"/>
      <c r="K682" s="1"/>
      <c r="L682" s="1"/>
      <c r="M682" s="1"/>
      <c r="N682" s="1"/>
      <c r="O682" s="1"/>
      <c r="P682" s="1"/>
      <c r="Q682" s="1"/>
      <c r="R682" s="1"/>
      <c r="S682" s="1"/>
      <c r="T682" s="1"/>
      <c r="U682" s="1"/>
      <c r="V682" s="1"/>
      <c r="W682" s="1"/>
      <c r="X682" s="84"/>
      <c r="Y682" s="84" t="str" cm="1">
        <f t="array" ref="Y682">CalculerNouvelleDate(I682,X682)</f>
        <v/>
      </c>
      <c r="Z682" s="84" t="str" cm="1">
        <f t="array" ref="Z682">CalculerNouvelleDate(J682,Y682)</f>
        <v/>
      </c>
      <c r="AA682" s="84" t="str" cm="1">
        <f t="array" ref="AA682">CalculerNouvelleDate(K682,Z682)</f>
        <v/>
      </c>
      <c r="AB682" s="84" t="str" cm="1">
        <f t="array" ref="AB682">CalculerNouvelleDate(L682,AA682)</f>
        <v/>
      </c>
      <c r="AC682" s="84" t="str" cm="1">
        <f t="array" ref="AC682">CalculerNouvelleDate(M682,AB682)</f>
        <v/>
      </c>
      <c r="AD682" s="84" t="str" cm="1">
        <f t="array" ref="AD682">CalculerNouvelleDate(N682,AC682)</f>
        <v/>
      </c>
      <c r="AE682" s="84" t="str" cm="1">
        <f t="array" ref="AE682">CalculerNouvelleDate(O682,AD682)</f>
        <v/>
      </c>
      <c r="AF682" s="84" t="str" cm="1">
        <f t="array" ref="AF682">CalculerNouvelleDate(P682,AE682)</f>
        <v/>
      </c>
      <c r="AG682" s="84" t="str" cm="1">
        <f t="array" ref="AG682">CalculerNouvelleDate(Q682,AF682)</f>
        <v/>
      </c>
      <c r="AH682" s="84" t="str" cm="1">
        <f t="array" ref="AH682">CalculerNouvelleDate(R682,AG682)</f>
        <v/>
      </c>
      <c r="AI682" s="84" t="str" cm="1">
        <f t="array" ref="AI682">CalculerNouvelleDate(S682,AH682)</f>
        <v/>
      </c>
      <c r="AJ682" s="84" t="str" cm="1">
        <f t="array" ref="AJ682">CalculerNouvelleDate(T682,AI682)</f>
        <v/>
      </c>
      <c r="AK682" s="84" t="str" cm="1">
        <f t="array" ref="AK682">CalculerNouvelleDate(U682,AJ682)</f>
        <v/>
      </c>
      <c r="AL682" s="84" t="str" cm="1">
        <f t="array" ref="AL682">CalculerNouvelleDate(V682,AK682)</f>
        <v/>
      </c>
      <c r="AM682" s="1"/>
      <c r="AN682" s="1"/>
      <c r="AO682" s="1"/>
      <c r="AP682" s="1"/>
      <c r="AQ682" s="1"/>
      <c r="AR682" s="1"/>
      <c r="AS682" s="1"/>
      <c r="AT682" s="1"/>
      <c r="AU682" s="1"/>
      <c r="AV682" s="1"/>
      <c r="AW682" s="1"/>
      <c r="AX682" s="1"/>
      <c r="AY682" s="1"/>
      <c r="AZ682" s="1"/>
      <c r="BA682" s="1"/>
    </row>
    <row r="683" spans="1:53" x14ac:dyDescent="0.3">
      <c r="A683" s="1"/>
      <c r="B683" s="1"/>
      <c r="C683" s="1"/>
      <c r="D683" s="1"/>
      <c r="E683" s="1"/>
      <c r="F683" s="1"/>
      <c r="G683" s="1"/>
      <c r="H683" s="69"/>
      <c r="I683" s="1"/>
      <c r="J683" s="1"/>
      <c r="K683" s="1"/>
      <c r="L683" s="1"/>
      <c r="M683" s="1"/>
      <c r="N683" s="1"/>
      <c r="O683" s="1"/>
      <c r="P683" s="1"/>
      <c r="Q683" s="1"/>
      <c r="R683" s="1"/>
      <c r="S683" s="1"/>
      <c r="T683" s="1"/>
      <c r="U683" s="1"/>
      <c r="V683" s="1"/>
      <c r="W683" s="1"/>
      <c r="X683" s="84"/>
      <c r="Y683" s="84" t="str" cm="1">
        <f t="array" ref="Y683">CalculerNouvelleDate(I683,X683)</f>
        <v/>
      </c>
      <c r="Z683" s="84" t="str" cm="1">
        <f t="array" ref="Z683">CalculerNouvelleDate(J683,Y683)</f>
        <v/>
      </c>
      <c r="AA683" s="84" t="str" cm="1">
        <f t="array" ref="AA683">CalculerNouvelleDate(K683,Z683)</f>
        <v/>
      </c>
      <c r="AB683" s="84" t="str" cm="1">
        <f t="array" ref="AB683">CalculerNouvelleDate(L683,AA683)</f>
        <v/>
      </c>
      <c r="AC683" s="84" t="str" cm="1">
        <f t="array" ref="AC683">CalculerNouvelleDate(M683,AB683)</f>
        <v/>
      </c>
      <c r="AD683" s="84" t="str" cm="1">
        <f t="array" ref="AD683">CalculerNouvelleDate(N683,AC683)</f>
        <v/>
      </c>
      <c r="AE683" s="84" t="str" cm="1">
        <f t="array" ref="AE683">CalculerNouvelleDate(O683,AD683)</f>
        <v/>
      </c>
      <c r="AF683" s="84" t="str" cm="1">
        <f t="array" ref="AF683">CalculerNouvelleDate(P683,AE683)</f>
        <v/>
      </c>
      <c r="AG683" s="84" t="str" cm="1">
        <f t="array" ref="AG683">CalculerNouvelleDate(Q683,AF683)</f>
        <v/>
      </c>
      <c r="AH683" s="84" t="str" cm="1">
        <f t="array" ref="AH683">CalculerNouvelleDate(R683,AG683)</f>
        <v/>
      </c>
      <c r="AI683" s="84" t="str" cm="1">
        <f t="array" ref="AI683">CalculerNouvelleDate(S683,AH683)</f>
        <v/>
      </c>
      <c r="AJ683" s="84" t="str" cm="1">
        <f t="array" ref="AJ683">CalculerNouvelleDate(T683,AI683)</f>
        <v/>
      </c>
      <c r="AK683" s="84" t="str" cm="1">
        <f t="array" ref="AK683">CalculerNouvelleDate(U683,AJ683)</f>
        <v/>
      </c>
      <c r="AL683" s="84" t="str" cm="1">
        <f t="array" ref="AL683">CalculerNouvelleDate(V683,AK683)</f>
        <v/>
      </c>
      <c r="AM683" s="1"/>
      <c r="AN683" s="1"/>
      <c r="AO683" s="1"/>
      <c r="AP683" s="1"/>
      <c r="AQ683" s="1"/>
      <c r="AR683" s="1"/>
      <c r="AS683" s="1"/>
      <c r="AT683" s="1"/>
      <c r="AU683" s="1"/>
      <c r="AV683" s="1"/>
      <c r="AW683" s="1"/>
      <c r="AX683" s="1"/>
      <c r="AY683" s="1"/>
      <c r="AZ683" s="1"/>
      <c r="BA683" s="1"/>
    </row>
    <row r="684" spans="1:53" x14ac:dyDescent="0.3">
      <c r="A684" s="1"/>
      <c r="B684" s="1"/>
      <c r="C684" s="1"/>
      <c r="D684" s="1"/>
      <c r="E684" s="1"/>
      <c r="F684" s="1"/>
      <c r="G684" s="1"/>
      <c r="H684" s="69"/>
      <c r="I684" s="1"/>
      <c r="J684" s="1"/>
      <c r="K684" s="1"/>
      <c r="L684" s="1"/>
      <c r="M684" s="1"/>
      <c r="N684" s="1"/>
      <c r="O684" s="1"/>
      <c r="P684" s="1"/>
      <c r="Q684" s="1"/>
      <c r="R684" s="1"/>
      <c r="S684" s="1"/>
      <c r="T684" s="1"/>
      <c r="U684" s="1"/>
      <c r="V684" s="1"/>
      <c r="W684" s="1"/>
      <c r="X684" s="84"/>
      <c r="Y684" s="84" t="str" cm="1">
        <f t="array" ref="Y684">CalculerNouvelleDate(I684,X684)</f>
        <v/>
      </c>
      <c r="Z684" s="84" t="str" cm="1">
        <f t="array" ref="Z684">CalculerNouvelleDate(J684,Y684)</f>
        <v/>
      </c>
      <c r="AA684" s="84" t="str" cm="1">
        <f t="array" ref="AA684">CalculerNouvelleDate(K684,Z684)</f>
        <v/>
      </c>
      <c r="AB684" s="84" t="str" cm="1">
        <f t="array" ref="AB684">CalculerNouvelleDate(L684,AA684)</f>
        <v/>
      </c>
      <c r="AC684" s="84" t="str" cm="1">
        <f t="array" ref="AC684">CalculerNouvelleDate(M684,AB684)</f>
        <v/>
      </c>
      <c r="AD684" s="84" t="str" cm="1">
        <f t="array" ref="AD684">CalculerNouvelleDate(N684,AC684)</f>
        <v/>
      </c>
      <c r="AE684" s="84" t="str" cm="1">
        <f t="array" ref="AE684">CalculerNouvelleDate(O684,AD684)</f>
        <v/>
      </c>
      <c r="AF684" s="84" t="str" cm="1">
        <f t="array" ref="AF684">CalculerNouvelleDate(P684,AE684)</f>
        <v/>
      </c>
      <c r="AG684" s="84" t="str" cm="1">
        <f t="array" ref="AG684">CalculerNouvelleDate(Q684,AF684)</f>
        <v/>
      </c>
      <c r="AH684" s="84" t="str" cm="1">
        <f t="array" ref="AH684">CalculerNouvelleDate(R684,AG684)</f>
        <v/>
      </c>
      <c r="AI684" s="84" t="str" cm="1">
        <f t="array" ref="AI684">CalculerNouvelleDate(S684,AH684)</f>
        <v/>
      </c>
      <c r="AJ684" s="84" t="str" cm="1">
        <f t="array" ref="AJ684">CalculerNouvelleDate(T684,AI684)</f>
        <v/>
      </c>
      <c r="AK684" s="84" t="str" cm="1">
        <f t="array" ref="AK684">CalculerNouvelleDate(U684,AJ684)</f>
        <v/>
      </c>
      <c r="AL684" s="84" t="str" cm="1">
        <f t="array" ref="AL684">CalculerNouvelleDate(V684,AK684)</f>
        <v/>
      </c>
      <c r="AM684" s="1"/>
      <c r="AN684" s="1"/>
      <c r="AO684" s="1"/>
      <c r="AP684" s="1"/>
      <c r="AQ684" s="1"/>
      <c r="AR684" s="1"/>
      <c r="AS684" s="1"/>
      <c r="AT684" s="1"/>
      <c r="AU684" s="1"/>
      <c r="AV684" s="1"/>
      <c r="AW684" s="1"/>
      <c r="AX684" s="1"/>
      <c r="AY684" s="1"/>
      <c r="AZ684" s="1"/>
      <c r="BA684" s="1"/>
    </row>
    <row r="685" spans="1:53" x14ac:dyDescent="0.3">
      <c r="A685" s="1"/>
      <c r="B685" s="1"/>
      <c r="C685" s="1"/>
      <c r="D685" s="1"/>
      <c r="E685" s="1"/>
      <c r="F685" s="1"/>
      <c r="G685" s="1"/>
      <c r="H685" s="69"/>
      <c r="I685" s="1"/>
      <c r="J685" s="1"/>
      <c r="K685" s="1"/>
      <c r="L685" s="1"/>
      <c r="M685" s="1"/>
      <c r="N685" s="1"/>
      <c r="O685" s="1"/>
      <c r="P685" s="1"/>
      <c r="Q685" s="1"/>
      <c r="R685" s="1"/>
      <c r="S685" s="1"/>
      <c r="T685" s="1"/>
      <c r="U685" s="1"/>
      <c r="V685" s="1"/>
      <c r="W685" s="1"/>
      <c r="X685" s="84"/>
      <c r="Y685" s="84" t="str" cm="1">
        <f t="array" ref="Y685">CalculerNouvelleDate(I685,X685)</f>
        <v/>
      </c>
      <c r="Z685" s="84" t="str" cm="1">
        <f t="array" ref="Z685">CalculerNouvelleDate(J685,Y685)</f>
        <v/>
      </c>
      <c r="AA685" s="84" t="str" cm="1">
        <f t="array" ref="AA685">CalculerNouvelleDate(K685,Z685)</f>
        <v/>
      </c>
      <c r="AB685" s="84" t="str" cm="1">
        <f t="array" ref="AB685">CalculerNouvelleDate(L685,AA685)</f>
        <v/>
      </c>
      <c r="AC685" s="84" t="str" cm="1">
        <f t="array" ref="AC685">CalculerNouvelleDate(M685,AB685)</f>
        <v/>
      </c>
      <c r="AD685" s="84" t="str" cm="1">
        <f t="array" ref="AD685">CalculerNouvelleDate(N685,AC685)</f>
        <v/>
      </c>
      <c r="AE685" s="84" t="str" cm="1">
        <f t="array" ref="AE685">CalculerNouvelleDate(O685,AD685)</f>
        <v/>
      </c>
      <c r="AF685" s="84" t="str" cm="1">
        <f t="array" ref="AF685">CalculerNouvelleDate(P685,AE685)</f>
        <v/>
      </c>
      <c r="AG685" s="84" t="str" cm="1">
        <f t="array" ref="AG685">CalculerNouvelleDate(Q685,AF685)</f>
        <v/>
      </c>
      <c r="AH685" s="84" t="str" cm="1">
        <f t="array" ref="AH685">CalculerNouvelleDate(R685,AG685)</f>
        <v/>
      </c>
      <c r="AI685" s="84" t="str" cm="1">
        <f t="array" ref="AI685">CalculerNouvelleDate(S685,AH685)</f>
        <v/>
      </c>
      <c r="AJ685" s="84" t="str" cm="1">
        <f t="array" ref="AJ685">CalculerNouvelleDate(T685,AI685)</f>
        <v/>
      </c>
      <c r="AK685" s="84" t="str" cm="1">
        <f t="array" ref="AK685">CalculerNouvelleDate(U685,AJ685)</f>
        <v/>
      </c>
      <c r="AL685" s="84" t="str" cm="1">
        <f t="array" ref="AL685">CalculerNouvelleDate(V685,AK685)</f>
        <v/>
      </c>
      <c r="AM685" s="1"/>
      <c r="AN685" s="1"/>
      <c r="AO685" s="1"/>
      <c r="AP685" s="1"/>
      <c r="AQ685" s="1"/>
      <c r="AR685" s="1"/>
      <c r="AS685" s="1"/>
      <c r="AT685" s="1"/>
      <c r="AU685" s="1"/>
      <c r="AV685" s="1"/>
      <c r="AW685" s="1"/>
      <c r="AX685" s="1"/>
      <c r="AY685" s="1"/>
      <c r="AZ685" s="1"/>
      <c r="BA685" s="1"/>
    </row>
    <row r="686" spans="1:53" x14ac:dyDescent="0.3">
      <c r="A686" s="1"/>
      <c r="B686" s="1"/>
      <c r="C686" s="1"/>
      <c r="D686" s="1"/>
      <c r="E686" s="1"/>
      <c r="F686" s="1"/>
      <c r="G686" s="1"/>
      <c r="H686" s="69"/>
      <c r="I686" s="1"/>
      <c r="J686" s="1"/>
      <c r="K686" s="1"/>
      <c r="L686" s="1"/>
      <c r="M686" s="1"/>
      <c r="N686" s="1"/>
      <c r="O686" s="1"/>
      <c r="P686" s="1"/>
      <c r="Q686" s="1"/>
      <c r="R686" s="1"/>
      <c r="S686" s="1"/>
      <c r="T686" s="1"/>
      <c r="U686" s="1"/>
      <c r="V686" s="1"/>
      <c r="W686" s="1"/>
      <c r="X686" s="84"/>
      <c r="Y686" s="84" t="str" cm="1">
        <f t="array" ref="Y686">CalculerNouvelleDate(I686,X686)</f>
        <v/>
      </c>
      <c r="Z686" s="84" t="str" cm="1">
        <f t="array" ref="Z686">CalculerNouvelleDate(J686,Y686)</f>
        <v/>
      </c>
      <c r="AA686" s="84" t="str" cm="1">
        <f t="array" ref="AA686">CalculerNouvelleDate(K686,Z686)</f>
        <v/>
      </c>
      <c r="AB686" s="84" t="str" cm="1">
        <f t="array" ref="AB686">CalculerNouvelleDate(L686,AA686)</f>
        <v/>
      </c>
      <c r="AC686" s="84" t="str" cm="1">
        <f t="array" ref="AC686">CalculerNouvelleDate(M686,AB686)</f>
        <v/>
      </c>
      <c r="AD686" s="84" t="str" cm="1">
        <f t="array" ref="AD686">CalculerNouvelleDate(N686,AC686)</f>
        <v/>
      </c>
      <c r="AE686" s="84" t="str" cm="1">
        <f t="array" ref="AE686">CalculerNouvelleDate(O686,AD686)</f>
        <v/>
      </c>
      <c r="AF686" s="84" t="str" cm="1">
        <f t="array" ref="AF686">CalculerNouvelleDate(P686,AE686)</f>
        <v/>
      </c>
      <c r="AG686" s="84" t="str" cm="1">
        <f t="array" ref="AG686">CalculerNouvelleDate(Q686,AF686)</f>
        <v/>
      </c>
      <c r="AH686" s="84" t="str" cm="1">
        <f t="array" ref="AH686">CalculerNouvelleDate(R686,AG686)</f>
        <v/>
      </c>
      <c r="AI686" s="84" t="str" cm="1">
        <f t="array" ref="AI686">CalculerNouvelleDate(S686,AH686)</f>
        <v/>
      </c>
      <c r="AJ686" s="84" t="str" cm="1">
        <f t="array" ref="AJ686">CalculerNouvelleDate(T686,AI686)</f>
        <v/>
      </c>
      <c r="AK686" s="84" t="str" cm="1">
        <f t="array" ref="AK686">CalculerNouvelleDate(U686,AJ686)</f>
        <v/>
      </c>
      <c r="AL686" s="84" t="str" cm="1">
        <f t="array" ref="AL686">CalculerNouvelleDate(V686,AK686)</f>
        <v/>
      </c>
      <c r="AM686" s="1"/>
      <c r="AN686" s="1"/>
      <c r="AO686" s="1"/>
      <c r="AP686" s="1"/>
      <c r="AQ686" s="1"/>
      <c r="AR686" s="1"/>
      <c r="AS686" s="1"/>
      <c r="AT686" s="1"/>
      <c r="AU686" s="1"/>
      <c r="AV686" s="1"/>
      <c r="AW686" s="1"/>
      <c r="AX686" s="1"/>
      <c r="AY686" s="1"/>
      <c r="AZ686" s="1"/>
      <c r="BA686" s="1"/>
    </row>
    <row r="687" spans="1:53" x14ac:dyDescent="0.3">
      <c r="A687" s="1"/>
      <c r="B687" s="1"/>
      <c r="C687" s="1"/>
      <c r="D687" s="1"/>
      <c r="E687" s="1"/>
      <c r="F687" s="1"/>
      <c r="G687" s="1"/>
      <c r="H687" s="69"/>
      <c r="I687" s="1"/>
      <c r="J687" s="1"/>
      <c r="K687" s="1"/>
      <c r="L687" s="1"/>
      <c r="M687" s="1"/>
      <c r="N687" s="1"/>
      <c r="O687" s="1"/>
      <c r="P687" s="1"/>
      <c r="Q687" s="1"/>
      <c r="R687" s="1"/>
      <c r="S687" s="1"/>
      <c r="T687" s="1"/>
      <c r="U687" s="1"/>
      <c r="V687" s="1"/>
      <c r="W687" s="1"/>
      <c r="X687" s="84"/>
      <c r="Y687" s="84" t="str" cm="1">
        <f t="array" ref="Y687">CalculerNouvelleDate(I687,X687)</f>
        <v/>
      </c>
      <c r="Z687" s="84" t="str" cm="1">
        <f t="array" ref="Z687">CalculerNouvelleDate(J687,Y687)</f>
        <v/>
      </c>
      <c r="AA687" s="84" t="str" cm="1">
        <f t="array" ref="AA687">CalculerNouvelleDate(K687,Z687)</f>
        <v/>
      </c>
      <c r="AB687" s="84" t="str" cm="1">
        <f t="array" ref="AB687">CalculerNouvelleDate(L687,AA687)</f>
        <v/>
      </c>
      <c r="AC687" s="84" t="str" cm="1">
        <f t="array" ref="AC687">CalculerNouvelleDate(M687,AB687)</f>
        <v/>
      </c>
      <c r="AD687" s="84" t="str" cm="1">
        <f t="array" ref="AD687">CalculerNouvelleDate(N687,AC687)</f>
        <v/>
      </c>
      <c r="AE687" s="84" t="str" cm="1">
        <f t="array" ref="AE687">CalculerNouvelleDate(O687,AD687)</f>
        <v/>
      </c>
      <c r="AF687" s="84" t="str" cm="1">
        <f t="array" ref="AF687">CalculerNouvelleDate(P687,AE687)</f>
        <v/>
      </c>
      <c r="AG687" s="84" t="str" cm="1">
        <f t="array" ref="AG687">CalculerNouvelleDate(Q687,AF687)</f>
        <v/>
      </c>
      <c r="AH687" s="84" t="str" cm="1">
        <f t="array" ref="AH687">CalculerNouvelleDate(R687,AG687)</f>
        <v/>
      </c>
      <c r="AI687" s="84" t="str" cm="1">
        <f t="array" ref="AI687">CalculerNouvelleDate(S687,AH687)</f>
        <v/>
      </c>
      <c r="AJ687" s="84" t="str" cm="1">
        <f t="array" ref="AJ687">CalculerNouvelleDate(T687,AI687)</f>
        <v/>
      </c>
      <c r="AK687" s="84" t="str" cm="1">
        <f t="array" ref="AK687">CalculerNouvelleDate(U687,AJ687)</f>
        <v/>
      </c>
      <c r="AL687" s="84" t="str" cm="1">
        <f t="array" ref="AL687">CalculerNouvelleDate(V687,AK687)</f>
        <v/>
      </c>
      <c r="AM687" s="1"/>
      <c r="AN687" s="1"/>
      <c r="AO687" s="1"/>
      <c r="AP687" s="1"/>
      <c r="AQ687" s="1"/>
      <c r="AR687" s="1"/>
      <c r="AS687" s="1"/>
      <c r="AT687" s="1"/>
      <c r="AU687" s="1"/>
      <c r="AV687" s="1"/>
      <c r="AW687" s="1"/>
      <c r="AX687" s="1"/>
      <c r="AY687" s="1"/>
      <c r="AZ687" s="1"/>
      <c r="BA687" s="1"/>
    </row>
    <row r="688" spans="1:53" x14ac:dyDescent="0.3">
      <c r="A688" s="1"/>
      <c r="B688" s="1"/>
      <c r="C688" s="1"/>
      <c r="D688" s="1"/>
      <c r="E688" s="1"/>
      <c r="F688" s="1"/>
      <c r="G688" s="1"/>
      <c r="H688" s="69"/>
      <c r="I688" s="1"/>
      <c r="J688" s="1"/>
      <c r="K688" s="1"/>
      <c r="L688" s="1"/>
      <c r="M688" s="1"/>
      <c r="N688" s="1"/>
      <c r="O688" s="1"/>
      <c r="P688" s="1"/>
      <c r="Q688" s="1"/>
      <c r="R688" s="1"/>
      <c r="S688" s="1"/>
      <c r="T688" s="1"/>
      <c r="U688" s="1"/>
      <c r="V688" s="1"/>
      <c r="W688" s="1"/>
      <c r="X688" s="84"/>
      <c r="Y688" s="84" t="str" cm="1">
        <f t="array" ref="Y688">CalculerNouvelleDate(I688,X688)</f>
        <v/>
      </c>
      <c r="Z688" s="84" t="str" cm="1">
        <f t="array" ref="Z688">CalculerNouvelleDate(J688,Y688)</f>
        <v/>
      </c>
      <c r="AA688" s="84" t="str" cm="1">
        <f t="array" ref="AA688">CalculerNouvelleDate(K688,Z688)</f>
        <v/>
      </c>
      <c r="AB688" s="84" t="str" cm="1">
        <f t="array" ref="AB688">CalculerNouvelleDate(L688,AA688)</f>
        <v/>
      </c>
      <c r="AC688" s="84" t="str" cm="1">
        <f t="array" ref="AC688">CalculerNouvelleDate(M688,AB688)</f>
        <v/>
      </c>
      <c r="AD688" s="84" t="str" cm="1">
        <f t="array" ref="AD688">CalculerNouvelleDate(N688,AC688)</f>
        <v/>
      </c>
      <c r="AE688" s="84" t="str" cm="1">
        <f t="array" ref="AE688">CalculerNouvelleDate(O688,AD688)</f>
        <v/>
      </c>
      <c r="AF688" s="84" t="str" cm="1">
        <f t="array" ref="AF688">CalculerNouvelleDate(P688,AE688)</f>
        <v/>
      </c>
      <c r="AG688" s="84" t="str" cm="1">
        <f t="array" ref="AG688">CalculerNouvelleDate(Q688,AF688)</f>
        <v/>
      </c>
      <c r="AH688" s="84" t="str" cm="1">
        <f t="array" ref="AH688">CalculerNouvelleDate(R688,AG688)</f>
        <v/>
      </c>
      <c r="AI688" s="84" t="str" cm="1">
        <f t="array" ref="AI688">CalculerNouvelleDate(S688,AH688)</f>
        <v/>
      </c>
      <c r="AJ688" s="84" t="str" cm="1">
        <f t="array" ref="AJ688">CalculerNouvelleDate(T688,AI688)</f>
        <v/>
      </c>
      <c r="AK688" s="84" t="str" cm="1">
        <f t="array" ref="AK688">CalculerNouvelleDate(U688,AJ688)</f>
        <v/>
      </c>
      <c r="AL688" s="84" t="str" cm="1">
        <f t="array" ref="AL688">CalculerNouvelleDate(V688,AK688)</f>
        <v/>
      </c>
      <c r="AM688" s="1"/>
      <c r="AN688" s="1"/>
      <c r="AO688" s="1"/>
      <c r="AP688" s="1"/>
      <c r="AQ688" s="1"/>
      <c r="AR688" s="1"/>
      <c r="AS688" s="1"/>
      <c r="AT688" s="1"/>
      <c r="AU688" s="1"/>
      <c r="AV688" s="1"/>
      <c r="AW688" s="1"/>
      <c r="AX688" s="1"/>
      <c r="AY688" s="1"/>
      <c r="AZ688" s="1"/>
      <c r="BA688" s="1"/>
    </row>
    <row r="689" spans="1:53" x14ac:dyDescent="0.3">
      <c r="A689" s="1"/>
      <c r="B689" s="1"/>
      <c r="C689" s="1"/>
      <c r="D689" s="1"/>
      <c r="E689" s="1"/>
      <c r="F689" s="1"/>
      <c r="G689" s="1"/>
      <c r="H689" s="69"/>
      <c r="I689" s="1"/>
      <c r="J689" s="1"/>
      <c r="K689" s="1"/>
      <c r="L689" s="1"/>
      <c r="M689" s="1"/>
      <c r="N689" s="1"/>
      <c r="O689" s="1"/>
      <c r="P689" s="1"/>
      <c r="Q689" s="1"/>
      <c r="R689" s="1"/>
      <c r="S689" s="1"/>
      <c r="T689" s="1"/>
      <c r="U689" s="1"/>
      <c r="V689" s="1"/>
      <c r="W689" s="1"/>
      <c r="X689" s="84"/>
      <c r="Y689" s="84" t="str" cm="1">
        <f t="array" ref="Y689">CalculerNouvelleDate(I689,X689)</f>
        <v/>
      </c>
      <c r="Z689" s="84" t="str" cm="1">
        <f t="array" ref="Z689">CalculerNouvelleDate(J689,Y689)</f>
        <v/>
      </c>
      <c r="AA689" s="84" t="str" cm="1">
        <f t="array" ref="AA689">CalculerNouvelleDate(K689,Z689)</f>
        <v/>
      </c>
      <c r="AB689" s="84" t="str" cm="1">
        <f t="array" ref="AB689">CalculerNouvelleDate(L689,AA689)</f>
        <v/>
      </c>
      <c r="AC689" s="84" t="str" cm="1">
        <f t="array" ref="AC689">CalculerNouvelleDate(M689,AB689)</f>
        <v/>
      </c>
      <c r="AD689" s="84" t="str" cm="1">
        <f t="array" ref="AD689">CalculerNouvelleDate(N689,AC689)</f>
        <v/>
      </c>
      <c r="AE689" s="84" t="str" cm="1">
        <f t="array" ref="AE689">CalculerNouvelleDate(O689,AD689)</f>
        <v/>
      </c>
      <c r="AF689" s="84" t="str" cm="1">
        <f t="array" ref="AF689">CalculerNouvelleDate(P689,AE689)</f>
        <v/>
      </c>
      <c r="AG689" s="84" t="str" cm="1">
        <f t="array" ref="AG689">CalculerNouvelleDate(Q689,AF689)</f>
        <v/>
      </c>
      <c r="AH689" s="84" t="str" cm="1">
        <f t="array" ref="AH689">CalculerNouvelleDate(R689,AG689)</f>
        <v/>
      </c>
      <c r="AI689" s="84" t="str" cm="1">
        <f t="array" ref="AI689">CalculerNouvelleDate(S689,AH689)</f>
        <v/>
      </c>
      <c r="AJ689" s="84" t="str" cm="1">
        <f t="array" ref="AJ689">CalculerNouvelleDate(T689,AI689)</f>
        <v/>
      </c>
      <c r="AK689" s="84" t="str" cm="1">
        <f t="array" ref="AK689">CalculerNouvelleDate(U689,AJ689)</f>
        <v/>
      </c>
      <c r="AL689" s="84" t="str" cm="1">
        <f t="array" ref="AL689">CalculerNouvelleDate(V689,AK689)</f>
        <v/>
      </c>
      <c r="AM689" s="1"/>
      <c r="AN689" s="1"/>
      <c r="AO689" s="1"/>
      <c r="AP689" s="1"/>
      <c r="AQ689" s="1"/>
      <c r="AR689" s="1"/>
      <c r="AS689" s="1"/>
      <c r="AT689" s="1"/>
      <c r="AU689" s="1"/>
      <c r="AV689" s="1"/>
      <c r="AW689" s="1"/>
      <c r="AX689" s="1"/>
      <c r="AY689" s="1"/>
      <c r="AZ689" s="1"/>
      <c r="BA689" s="1"/>
    </row>
    <row r="690" spans="1:53" x14ac:dyDescent="0.3">
      <c r="A690" s="1"/>
      <c r="B690" s="1"/>
      <c r="C690" s="1"/>
      <c r="D690" s="1"/>
      <c r="E690" s="1"/>
      <c r="F690" s="1"/>
      <c r="G690" s="1"/>
      <c r="H690" s="69"/>
      <c r="I690" s="1"/>
      <c r="J690" s="1"/>
      <c r="K690" s="1"/>
      <c r="L690" s="1"/>
      <c r="M690" s="1"/>
      <c r="N690" s="1"/>
      <c r="O690" s="1"/>
      <c r="P690" s="1"/>
      <c r="Q690" s="1"/>
      <c r="R690" s="1"/>
      <c r="S690" s="1"/>
      <c r="T690" s="1"/>
      <c r="U690" s="1"/>
      <c r="V690" s="1"/>
      <c r="W690" s="1"/>
      <c r="X690" s="84"/>
      <c r="Y690" s="84" t="str" cm="1">
        <f t="array" ref="Y690">CalculerNouvelleDate(I690,X690)</f>
        <v/>
      </c>
      <c r="Z690" s="84" t="str" cm="1">
        <f t="array" ref="Z690">CalculerNouvelleDate(J690,Y690)</f>
        <v/>
      </c>
      <c r="AA690" s="84" t="str" cm="1">
        <f t="array" ref="AA690">CalculerNouvelleDate(K690,Z690)</f>
        <v/>
      </c>
      <c r="AB690" s="84" t="str" cm="1">
        <f t="array" ref="AB690">CalculerNouvelleDate(L690,AA690)</f>
        <v/>
      </c>
      <c r="AC690" s="84" t="str" cm="1">
        <f t="array" ref="AC690">CalculerNouvelleDate(M690,AB690)</f>
        <v/>
      </c>
      <c r="AD690" s="84" t="str" cm="1">
        <f t="array" ref="AD690">CalculerNouvelleDate(N690,AC690)</f>
        <v/>
      </c>
      <c r="AE690" s="84" t="str" cm="1">
        <f t="array" ref="AE690">CalculerNouvelleDate(O690,AD690)</f>
        <v/>
      </c>
      <c r="AF690" s="84" t="str" cm="1">
        <f t="array" ref="AF690">CalculerNouvelleDate(P690,AE690)</f>
        <v/>
      </c>
      <c r="AG690" s="84" t="str" cm="1">
        <f t="array" ref="AG690">CalculerNouvelleDate(Q690,AF690)</f>
        <v/>
      </c>
      <c r="AH690" s="84" t="str" cm="1">
        <f t="array" ref="AH690">CalculerNouvelleDate(R690,AG690)</f>
        <v/>
      </c>
      <c r="AI690" s="84" t="str" cm="1">
        <f t="array" ref="AI690">CalculerNouvelleDate(S690,AH690)</f>
        <v/>
      </c>
      <c r="AJ690" s="84" t="str" cm="1">
        <f t="array" ref="AJ690">CalculerNouvelleDate(T690,AI690)</f>
        <v/>
      </c>
      <c r="AK690" s="84" t="str" cm="1">
        <f t="array" ref="AK690">CalculerNouvelleDate(U690,AJ690)</f>
        <v/>
      </c>
      <c r="AL690" s="84" t="str" cm="1">
        <f t="array" ref="AL690">CalculerNouvelleDate(V690,AK690)</f>
        <v/>
      </c>
      <c r="AM690" s="1"/>
      <c r="AN690" s="1"/>
      <c r="AO690" s="1"/>
      <c r="AP690" s="1"/>
      <c r="AQ690" s="1"/>
      <c r="AR690" s="1"/>
      <c r="AS690" s="1"/>
      <c r="AT690" s="1"/>
      <c r="AU690" s="1"/>
      <c r="AV690" s="1"/>
      <c r="AW690" s="1"/>
      <c r="AX690" s="1"/>
      <c r="AY690" s="1"/>
      <c r="AZ690" s="1"/>
      <c r="BA690" s="1"/>
    </row>
    <row r="691" spans="1:53" x14ac:dyDescent="0.3">
      <c r="A691" s="1"/>
      <c r="B691" s="1"/>
      <c r="C691" s="1"/>
      <c r="D691" s="1"/>
      <c r="E691" s="1"/>
      <c r="F691" s="1"/>
      <c r="G691" s="1"/>
      <c r="H691" s="69"/>
      <c r="I691" s="1"/>
      <c r="J691" s="1"/>
      <c r="K691" s="1"/>
      <c r="L691" s="1"/>
      <c r="M691" s="1"/>
      <c r="N691" s="1"/>
      <c r="O691" s="1"/>
      <c r="P691" s="1"/>
      <c r="Q691" s="1"/>
      <c r="R691" s="1"/>
      <c r="S691" s="1"/>
      <c r="T691" s="1"/>
      <c r="U691" s="1"/>
      <c r="V691" s="1"/>
      <c r="W691" s="1"/>
      <c r="X691" s="84"/>
      <c r="Y691" s="84" t="str" cm="1">
        <f t="array" ref="Y691">CalculerNouvelleDate(I691,X691)</f>
        <v/>
      </c>
      <c r="Z691" s="84" t="str" cm="1">
        <f t="array" ref="Z691">CalculerNouvelleDate(J691,Y691)</f>
        <v/>
      </c>
      <c r="AA691" s="84" t="str" cm="1">
        <f t="array" ref="AA691">CalculerNouvelleDate(K691,Z691)</f>
        <v/>
      </c>
      <c r="AB691" s="84" t="str" cm="1">
        <f t="array" ref="AB691">CalculerNouvelleDate(L691,AA691)</f>
        <v/>
      </c>
      <c r="AC691" s="84" t="str" cm="1">
        <f t="array" ref="AC691">CalculerNouvelleDate(M691,AB691)</f>
        <v/>
      </c>
      <c r="AD691" s="84" t="str" cm="1">
        <f t="array" ref="AD691">CalculerNouvelleDate(N691,AC691)</f>
        <v/>
      </c>
      <c r="AE691" s="84" t="str" cm="1">
        <f t="array" ref="AE691">CalculerNouvelleDate(O691,AD691)</f>
        <v/>
      </c>
      <c r="AF691" s="84" t="str" cm="1">
        <f t="array" ref="AF691">CalculerNouvelleDate(P691,AE691)</f>
        <v/>
      </c>
      <c r="AG691" s="84" t="str" cm="1">
        <f t="array" ref="AG691">CalculerNouvelleDate(Q691,AF691)</f>
        <v/>
      </c>
      <c r="AH691" s="84" t="str" cm="1">
        <f t="array" ref="AH691">CalculerNouvelleDate(R691,AG691)</f>
        <v/>
      </c>
      <c r="AI691" s="84" t="str" cm="1">
        <f t="array" ref="AI691">CalculerNouvelleDate(S691,AH691)</f>
        <v/>
      </c>
      <c r="AJ691" s="84" t="str" cm="1">
        <f t="array" ref="AJ691">CalculerNouvelleDate(T691,AI691)</f>
        <v/>
      </c>
      <c r="AK691" s="84" t="str" cm="1">
        <f t="array" ref="AK691">CalculerNouvelleDate(U691,AJ691)</f>
        <v/>
      </c>
      <c r="AL691" s="84" t="str" cm="1">
        <f t="array" ref="AL691">CalculerNouvelleDate(V691,AK691)</f>
        <v/>
      </c>
      <c r="AM691" s="1"/>
      <c r="AN691" s="1"/>
      <c r="AO691" s="1"/>
      <c r="AP691" s="1"/>
      <c r="AQ691" s="1"/>
      <c r="AR691" s="1"/>
      <c r="AS691" s="1"/>
      <c r="AT691" s="1"/>
      <c r="AU691" s="1"/>
      <c r="AV691" s="1"/>
      <c r="AW691" s="1"/>
      <c r="AX691" s="1"/>
      <c r="AY691" s="1"/>
      <c r="AZ691" s="1"/>
      <c r="BA691" s="1"/>
    </row>
    <row r="692" spans="1:53" x14ac:dyDescent="0.3">
      <c r="A692" s="1"/>
      <c r="B692" s="1"/>
      <c r="C692" s="1"/>
      <c r="D692" s="1"/>
      <c r="E692" s="1"/>
      <c r="F692" s="1"/>
      <c r="G692" s="1"/>
      <c r="H692" s="69"/>
      <c r="I692" s="1"/>
      <c r="J692" s="1"/>
      <c r="K692" s="1"/>
      <c r="L692" s="1"/>
      <c r="M692" s="1"/>
      <c r="N692" s="1"/>
      <c r="O692" s="1"/>
      <c r="P692" s="1"/>
      <c r="Q692" s="1"/>
      <c r="R692" s="1"/>
      <c r="S692" s="1"/>
      <c r="T692" s="1"/>
      <c r="U692" s="1"/>
      <c r="V692" s="1"/>
      <c r="W692" s="1"/>
      <c r="X692" s="84"/>
      <c r="Y692" s="84" t="str" cm="1">
        <f t="array" ref="Y692">CalculerNouvelleDate(I692,X692)</f>
        <v/>
      </c>
      <c r="Z692" s="84" t="str" cm="1">
        <f t="array" ref="Z692">CalculerNouvelleDate(J692,Y692)</f>
        <v/>
      </c>
      <c r="AA692" s="84" t="str" cm="1">
        <f t="array" ref="AA692">CalculerNouvelleDate(K692,Z692)</f>
        <v/>
      </c>
      <c r="AB692" s="84" t="str" cm="1">
        <f t="array" ref="AB692">CalculerNouvelleDate(L692,AA692)</f>
        <v/>
      </c>
      <c r="AC692" s="84" t="str" cm="1">
        <f t="array" ref="AC692">CalculerNouvelleDate(M692,AB692)</f>
        <v/>
      </c>
      <c r="AD692" s="84" t="str" cm="1">
        <f t="array" ref="AD692">CalculerNouvelleDate(N692,AC692)</f>
        <v/>
      </c>
      <c r="AE692" s="84" t="str" cm="1">
        <f t="array" ref="AE692">CalculerNouvelleDate(O692,AD692)</f>
        <v/>
      </c>
      <c r="AF692" s="84" t="str" cm="1">
        <f t="array" ref="AF692">CalculerNouvelleDate(P692,AE692)</f>
        <v/>
      </c>
      <c r="AG692" s="84" t="str" cm="1">
        <f t="array" ref="AG692">CalculerNouvelleDate(Q692,AF692)</f>
        <v/>
      </c>
      <c r="AH692" s="84" t="str" cm="1">
        <f t="array" ref="AH692">CalculerNouvelleDate(R692,AG692)</f>
        <v/>
      </c>
      <c r="AI692" s="84" t="str" cm="1">
        <f t="array" ref="AI692">CalculerNouvelleDate(S692,AH692)</f>
        <v/>
      </c>
      <c r="AJ692" s="84" t="str" cm="1">
        <f t="array" ref="AJ692">CalculerNouvelleDate(T692,AI692)</f>
        <v/>
      </c>
      <c r="AK692" s="84" t="str" cm="1">
        <f t="array" ref="AK692">CalculerNouvelleDate(U692,AJ692)</f>
        <v/>
      </c>
      <c r="AL692" s="84" t="str" cm="1">
        <f t="array" ref="AL692">CalculerNouvelleDate(V692,AK692)</f>
        <v/>
      </c>
      <c r="AM692" s="1"/>
      <c r="AN692" s="1"/>
      <c r="AO692" s="1"/>
      <c r="AP692" s="1"/>
      <c r="AQ692" s="1"/>
      <c r="AR692" s="1"/>
      <c r="AS692" s="1"/>
      <c r="AT692" s="1"/>
      <c r="AU692" s="1"/>
      <c r="AV692" s="1"/>
      <c r="AW692" s="1"/>
      <c r="AX692" s="1"/>
      <c r="AY692" s="1"/>
      <c r="AZ692" s="1"/>
      <c r="BA692" s="1"/>
    </row>
    <row r="693" spans="1:53" x14ac:dyDescent="0.3">
      <c r="A693" s="1"/>
      <c r="B693" s="1"/>
      <c r="C693" s="1"/>
      <c r="D693" s="1"/>
      <c r="E693" s="1"/>
      <c r="F693" s="1"/>
      <c r="G693" s="1"/>
      <c r="H693" s="69"/>
      <c r="I693" s="1"/>
      <c r="J693" s="1"/>
      <c r="K693" s="1"/>
      <c r="L693" s="1"/>
      <c r="M693" s="1"/>
      <c r="N693" s="1"/>
      <c r="O693" s="1"/>
      <c r="P693" s="1"/>
      <c r="Q693" s="1"/>
      <c r="R693" s="1"/>
      <c r="S693" s="1"/>
      <c r="T693" s="1"/>
      <c r="U693" s="1"/>
      <c r="V693" s="1"/>
      <c r="W693" s="1"/>
      <c r="X693" s="84"/>
      <c r="Y693" s="84" t="str" cm="1">
        <f t="array" ref="Y693">CalculerNouvelleDate(I693,X693)</f>
        <v/>
      </c>
      <c r="Z693" s="84" t="str" cm="1">
        <f t="array" ref="Z693">CalculerNouvelleDate(J693,Y693)</f>
        <v/>
      </c>
      <c r="AA693" s="84" t="str" cm="1">
        <f t="array" ref="AA693">CalculerNouvelleDate(K693,Z693)</f>
        <v/>
      </c>
      <c r="AB693" s="84" t="str" cm="1">
        <f t="array" ref="AB693">CalculerNouvelleDate(L693,AA693)</f>
        <v/>
      </c>
      <c r="AC693" s="84" t="str" cm="1">
        <f t="array" ref="AC693">CalculerNouvelleDate(M693,AB693)</f>
        <v/>
      </c>
      <c r="AD693" s="84" t="str" cm="1">
        <f t="array" ref="AD693">CalculerNouvelleDate(N693,AC693)</f>
        <v/>
      </c>
      <c r="AE693" s="84" t="str" cm="1">
        <f t="array" ref="AE693">CalculerNouvelleDate(O693,AD693)</f>
        <v/>
      </c>
      <c r="AF693" s="84" t="str" cm="1">
        <f t="array" ref="AF693">CalculerNouvelleDate(P693,AE693)</f>
        <v/>
      </c>
      <c r="AG693" s="84" t="str" cm="1">
        <f t="array" ref="AG693">CalculerNouvelleDate(Q693,AF693)</f>
        <v/>
      </c>
      <c r="AH693" s="84" t="str" cm="1">
        <f t="array" ref="AH693">CalculerNouvelleDate(R693,AG693)</f>
        <v/>
      </c>
      <c r="AI693" s="84" t="str" cm="1">
        <f t="array" ref="AI693">CalculerNouvelleDate(S693,AH693)</f>
        <v/>
      </c>
      <c r="AJ693" s="84" t="str" cm="1">
        <f t="array" ref="AJ693">CalculerNouvelleDate(T693,AI693)</f>
        <v/>
      </c>
      <c r="AK693" s="84" t="str" cm="1">
        <f t="array" ref="AK693">CalculerNouvelleDate(U693,AJ693)</f>
        <v/>
      </c>
      <c r="AL693" s="84" t="str" cm="1">
        <f t="array" ref="AL693">CalculerNouvelleDate(V693,AK693)</f>
        <v/>
      </c>
      <c r="AM693" s="1"/>
      <c r="AN693" s="1"/>
      <c r="AO693" s="1"/>
      <c r="AP693" s="1"/>
      <c r="AQ693" s="1"/>
      <c r="AR693" s="1"/>
      <c r="AS693" s="1"/>
      <c r="AT693" s="1"/>
      <c r="AU693" s="1"/>
      <c r="AV693" s="1"/>
      <c r="AW693" s="1"/>
      <c r="AX693" s="1"/>
      <c r="AY693" s="1"/>
      <c r="AZ693" s="1"/>
      <c r="BA693" s="1"/>
    </row>
    <row r="694" spans="1:53" x14ac:dyDescent="0.3">
      <c r="A694" s="1"/>
      <c r="B694" s="1"/>
      <c r="C694" s="1"/>
      <c r="D694" s="1"/>
      <c r="E694" s="1"/>
      <c r="F694" s="1"/>
      <c r="G694" s="1"/>
      <c r="H694" s="69"/>
      <c r="I694" s="1"/>
      <c r="J694" s="1"/>
      <c r="K694" s="1"/>
      <c r="L694" s="1"/>
      <c r="M694" s="1"/>
      <c r="N694" s="1"/>
      <c r="O694" s="1"/>
      <c r="P694" s="1"/>
      <c r="Q694" s="1"/>
      <c r="R694" s="1"/>
      <c r="S694" s="1"/>
      <c r="T694" s="1"/>
      <c r="U694" s="1"/>
      <c r="V694" s="1"/>
      <c r="W694" s="1"/>
      <c r="X694" s="84"/>
      <c r="Y694" s="84" t="str" cm="1">
        <f t="array" ref="Y694">CalculerNouvelleDate(I694,X694)</f>
        <v/>
      </c>
      <c r="Z694" s="84" t="str" cm="1">
        <f t="array" ref="Z694">CalculerNouvelleDate(J694,Y694)</f>
        <v/>
      </c>
      <c r="AA694" s="84" t="str" cm="1">
        <f t="array" ref="AA694">CalculerNouvelleDate(K694,Z694)</f>
        <v/>
      </c>
      <c r="AB694" s="84" t="str" cm="1">
        <f t="array" ref="AB694">CalculerNouvelleDate(L694,AA694)</f>
        <v/>
      </c>
      <c r="AC694" s="84" t="str" cm="1">
        <f t="array" ref="AC694">CalculerNouvelleDate(M694,AB694)</f>
        <v/>
      </c>
      <c r="AD694" s="84" t="str" cm="1">
        <f t="array" ref="AD694">CalculerNouvelleDate(N694,AC694)</f>
        <v/>
      </c>
      <c r="AE694" s="84" t="str" cm="1">
        <f t="array" ref="AE694">CalculerNouvelleDate(O694,AD694)</f>
        <v/>
      </c>
      <c r="AF694" s="84" t="str" cm="1">
        <f t="array" ref="AF694">CalculerNouvelleDate(P694,AE694)</f>
        <v/>
      </c>
      <c r="AG694" s="84" t="str" cm="1">
        <f t="array" ref="AG694">CalculerNouvelleDate(Q694,AF694)</f>
        <v/>
      </c>
      <c r="AH694" s="84" t="str" cm="1">
        <f t="array" ref="AH694">CalculerNouvelleDate(R694,AG694)</f>
        <v/>
      </c>
      <c r="AI694" s="84" t="str" cm="1">
        <f t="array" ref="AI694">CalculerNouvelleDate(S694,AH694)</f>
        <v/>
      </c>
      <c r="AJ694" s="84" t="str" cm="1">
        <f t="array" ref="AJ694">CalculerNouvelleDate(T694,AI694)</f>
        <v/>
      </c>
      <c r="AK694" s="84" t="str" cm="1">
        <f t="array" ref="AK694">CalculerNouvelleDate(U694,AJ694)</f>
        <v/>
      </c>
      <c r="AL694" s="84" t="str" cm="1">
        <f t="array" ref="AL694">CalculerNouvelleDate(V694,AK694)</f>
        <v/>
      </c>
      <c r="AM694" s="1"/>
      <c r="AN694" s="1"/>
      <c r="AO694" s="1"/>
      <c r="AP694" s="1"/>
      <c r="AQ694" s="1"/>
      <c r="AR694" s="1"/>
      <c r="AS694" s="1"/>
      <c r="AT694" s="1"/>
      <c r="AU694" s="1"/>
      <c r="AV694" s="1"/>
      <c r="AW694" s="1"/>
      <c r="AX694" s="1"/>
      <c r="AY694" s="1"/>
      <c r="AZ694" s="1"/>
      <c r="BA694" s="1"/>
    </row>
    <row r="695" spans="1:53" x14ac:dyDescent="0.3">
      <c r="A695" s="1"/>
      <c r="B695" s="1"/>
      <c r="C695" s="1"/>
      <c r="D695" s="1"/>
      <c r="E695" s="1"/>
      <c r="F695" s="1"/>
      <c r="G695" s="1"/>
      <c r="H695" s="69"/>
      <c r="I695" s="1"/>
      <c r="J695" s="1"/>
      <c r="K695" s="1"/>
      <c r="L695" s="1"/>
      <c r="M695" s="1"/>
      <c r="N695" s="1"/>
      <c r="O695" s="1"/>
      <c r="P695" s="1"/>
      <c r="Q695" s="1"/>
      <c r="R695" s="1"/>
      <c r="S695" s="1"/>
      <c r="T695" s="1"/>
      <c r="U695" s="1"/>
      <c r="V695" s="1"/>
      <c r="W695" s="1"/>
      <c r="X695" s="84"/>
      <c r="Y695" s="84" t="str" cm="1">
        <f t="array" ref="Y695">CalculerNouvelleDate(I695,X695)</f>
        <v/>
      </c>
      <c r="Z695" s="84" t="str" cm="1">
        <f t="array" ref="Z695">CalculerNouvelleDate(J695,Y695)</f>
        <v/>
      </c>
      <c r="AA695" s="84" t="str" cm="1">
        <f t="array" ref="AA695">CalculerNouvelleDate(K695,Z695)</f>
        <v/>
      </c>
      <c r="AB695" s="84" t="str" cm="1">
        <f t="array" ref="AB695">CalculerNouvelleDate(L695,AA695)</f>
        <v/>
      </c>
      <c r="AC695" s="84" t="str" cm="1">
        <f t="array" ref="AC695">CalculerNouvelleDate(M695,AB695)</f>
        <v/>
      </c>
      <c r="AD695" s="84" t="str" cm="1">
        <f t="array" ref="AD695">CalculerNouvelleDate(N695,AC695)</f>
        <v/>
      </c>
      <c r="AE695" s="84" t="str" cm="1">
        <f t="array" ref="AE695">CalculerNouvelleDate(O695,AD695)</f>
        <v/>
      </c>
      <c r="AF695" s="84" t="str" cm="1">
        <f t="array" ref="AF695">CalculerNouvelleDate(P695,AE695)</f>
        <v/>
      </c>
      <c r="AG695" s="84" t="str" cm="1">
        <f t="array" ref="AG695">CalculerNouvelleDate(Q695,AF695)</f>
        <v/>
      </c>
      <c r="AH695" s="84" t="str" cm="1">
        <f t="array" ref="AH695">CalculerNouvelleDate(R695,AG695)</f>
        <v/>
      </c>
      <c r="AI695" s="84" t="str" cm="1">
        <f t="array" ref="AI695">CalculerNouvelleDate(S695,AH695)</f>
        <v/>
      </c>
      <c r="AJ695" s="84" t="str" cm="1">
        <f t="array" ref="AJ695">CalculerNouvelleDate(T695,AI695)</f>
        <v/>
      </c>
      <c r="AK695" s="84" t="str" cm="1">
        <f t="array" ref="AK695">CalculerNouvelleDate(U695,AJ695)</f>
        <v/>
      </c>
      <c r="AL695" s="84" t="str" cm="1">
        <f t="array" ref="AL695">CalculerNouvelleDate(V695,AK695)</f>
        <v/>
      </c>
      <c r="AM695" s="1"/>
      <c r="AN695" s="1"/>
      <c r="AO695" s="1"/>
      <c r="AP695" s="1"/>
      <c r="AQ695" s="1"/>
      <c r="AR695" s="1"/>
      <c r="AS695" s="1"/>
      <c r="AT695" s="1"/>
      <c r="AU695" s="1"/>
      <c r="AV695" s="1"/>
      <c r="AW695" s="1"/>
      <c r="AX695" s="1"/>
      <c r="AY695" s="1"/>
      <c r="AZ695" s="1"/>
      <c r="BA695" s="1"/>
    </row>
    <row r="696" spans="1:53" x14ac:dyDescent="0.3">
      <c r="A696" s="1"/>
      <c r="B696" s="1"/>
      <c r="C696" s="1"/>
      <c r="D696" s="1"/>
      <c r="E696" s="1"/>
      <c r="F696" s="1"/>
      <c r="G696" s="1"/>
      <c r="H696" s="69"/>
      <c r="I696" s="1"/>
      <c r="J696" s="1"/>
      <c r="K696" s="1"/>
      <c r="L696" s="1"/>
      <c r="M696" s="1"/>
      <c r="N696" s="1"/>
      <c r="O696" s="1"/>
      <c r="P696" s="1"/>
      <c r="Q696" s="1"/>
      <c r="R696" s="1"/>
      <c r="S696" s="1"/>
      <c r="T696" s="1"/>
      <c r="U696" s="1"/>
      <c r="V696" s="1"/>
      <c r="W696" s="1"/>
      <c r="X696" s="84"/>
      <c r="Y696" s="84" t="str" cm="1">
        <f t="array" ref="Y696">CalculerNouvelleDate(I696,X696)</f>
        <v/>
      </c>
      <c r="Z696" s="84" t="str" cm="1">
        <f t="array" ref="Z696">CalculerNouvelleDate(J696,Y696)</f>
        <v/>
      </c>
      <c r="AA696" s="84" t="str" cm="1">
        <f t="array" ref="AA696">CalculerNouvelleDate(K696,Z696)</f>
        <v/>
      </c>
      <c r="AB696" s="84" t="str" cm="1">
        <f t="array" ref="AB696">CalculerNouvelleDate(L696,AA696)</f>
        <v/>
      </c>
      <c r="AC696" s="84" t="str" cm="1">
        <f t="array" ref="AC696">CalculerNouvelleDate(M696,AB696)</f>
        <v/>
      </c>
      <c r="AD696" s="84" t="str" cm="1">
        <f t="array" ref="AD696">CalculerNouvelleDate(N696,AC696)</f>
        <v/>
      </c>
      <c r="AE696" s="84" t="str" cm="1">
        <f t="array" ref="AE696">CalculerNouvelleDate(O696,AD696)</f>
        <v/>
      </c>
      <c r="AF696" s="84" t="str" cm="1">
        <f t="array" ref="AF696">CalculerNouvelleDate(P696,AE696)</f>
        <v/>
      </c>
      <c r="AG696" s="84" t="str" cm="1">
        <f t="array" ref="AG696">CalculerNouvelleDate(Q696,AF696)</f>
        <v/>
      </c>
      <c r="AH696" s="84" t="str" cm="1">
        <f t="array" ref="AH696">CalculerNouvelleDate(R696,AG696)</f>
        <v/>
      </c>
      <c r="AI696" s="84" t="str" cm="1">
        <f t="array" ref="AI696">CalculerNouvelleDate(S696,AH696)</f>
        <v/>
      </c>
      <c r="AJ696" s="84" t="str" cm="1">
        <f t="array" ref="AJ696">CalculerNouvelleDate(T696,AI696)</f>
        <v/>
      </c>
      <c r="AK696" s="84" t="str" cm="1">
        <f t="array" ref="AK696">CalculerNouvelleDate(U696,AJ696)</f>
        <v/>
      </c>
      <c r="AL696" s="84" t="str" cm="1">
        <f t="array" ref="AL696">CalculerNouvelleDate(V696,AK696)</f>
        <v/>
      </c>
      <c r="AM696" s="1"/>
      <c r="AN696" s="1"/>
      <c r="AO696" s="1"/>
      <c r="AP696" s="1"/>
      <c r="AQ696" s="1"/>
      <c r="AR696" s="1"/>
      <c r="AS696" s="1"/>
      <c r="AT696" s="1"/>
      <c r="AU696" s="1"/>
      <c r="AV696" s="1"/>
      <c r="AW696" s="1"/>
      <c r="AX696" s="1"/>
      <c r="AY696" s="1"/>
      <c r="AZ696" s="1"/>
      <c r="BA696" s="1"/>
    </row>
    <row r="697" spans="1:53" x14ac:dyDescent="0.3">
      <c r="A697" s="1"/>
      <c r="B697" s="1"/>
      <c r="C697" s="1"/>
      <c r="D697" s="1"/>
      <c r="E697" s="1"/>
      <c r="F697" s="1"/>
      <c r="G697" s="1"/>
      <c r="H697" s="69"/>
      <c r="I697" s="1"/>
      <c r="J697" s="1"/>
      <c r="K697" s="1"/>
      <c r="L697" s="1"/>
      <c r="M697" s="1"/>
      <c r="N697" s="1"/>
      <c r="O697" s="1"/>
      <c r="P697" s="1"/>
      <c r="Q697" s="1"/>
      <c r="R697" s="1"/>
      <c r="S697" s="1"/>
      <c r="T697" s="1"/>
      <c r="U697" s="1"/>
      <c r="V697" s="1"/>
      <c r="W697" s="1"/>
      <c r="X697" s="84"/>
      <c r="Y697" s="84" t="str" cm="1">
        <f t="array" ref="Y697">CalculerNouvelleDate(I697,X697)</f>
        <v/>
      </c>
      <c r="Z697" s="84" t="str" cm="1">
        <f t="array" ref="Z697">CalculerNouvelleDate(J697,Y697)</f>
        <v/>
      </c>
      <c r="AA697" s="84" t="str" cm="1">
        <f t="array" ref="AA697">CalculerNouvelleDate(K697,Z697)</f>
        <v/>
      </c>
      <c r="AB697" s="84" t="str" cm="1">
        <f t="array" ref="AB697">CalculerNouvelleDate(L697,AA697)</f>
        <v/>
      </c>
      <c r="AC697" s="84" t="str" cm="1">
        <f t="array" ref="AC697">CalculerNouvelleDate(M697,AB697)</f>
        <v/>
      </c>
      <c r="AD697" s="84" t="str" cm="1">
        <f t="array" ref="AD697">CalculerNouvelleDate(N697,AC697)</f>
        <v/>
      </c>
      <c r="AE697" s="84" t="str" cm="1">
        <f t="array" ref="AE697">CalculerNouvelleDate(O697,AD697)</f>
        <v/>
      </c>
      <c r="AF697" s="84" t="str" cm="1">
        <f t="array" ref="AF697">CalculerNouvelleDate(P697,AE697)</f>
        <v/>
      </c>
      <c r="AG697" s="84" t="str" cm="1">
        <f t="array" ref="AG697">CalculerNouvelleDate(Q697,AF697)</f>
        <v/>
      </c>
      <c r="AH697" s="84" t="str" cm="1">
        <f t="array" ref="AH697">CalculerNouvelleDate(R697,AG697)</f>
        <v/>
      </c>
      <c r="AI697" s="84" t="str" cm="1">
        <f t="array" ref="AI697">CalculerNouvelleDate(S697,AH697)</f>
        <v/>
      </c>
      <c r="AJ697" s="84" t="str" cm="1">
        <f t="array" ref="AJ697">CalculerNouvelleDate(T697,AI697)</f>
        <v/>
      </c>
      <c r="AK697" s="84" t="str" cm="1">
        <f t="array" ref="AK697">CalculerNouvelleDate(U697,AJ697)</f>
        <v/>
      </c>
      <c r="AL697" s="84" t="str" cm="1">
        <f t="array" ref="AL697">CalculerNouvelleDate(V697,AK697)</f>
        <v/>
      </c>
      <c r="AM697" s="1"/>
      <c r="AN697" s="1"/>
      <c r="AO697" s="1"/>
      <c r="AP697" s="1"/>
      <c r="AQ697" s="1"/>
      <c r="AR697" s="1"/>
      <c r="AS697" s="1"/>
      <c r="AT697" s="1"/>
      <c r="AU697" s="1"/>
      <c r="AV697" s="1"/>
      <c r="AW697" s="1"/>
      <c r="AX697" s="1"/>
      <c r="AY697" s="1"/>
      <c r="AZ697" s="1"/>
      <c r="BA697" s="1"/>
    </row>
    <row r="698" spans="1:53" x14ac:dyDescent="0.3">
      <c r="A698" s="1"/>
      <c r="B698" s="1"/>
      <c r="C698" s="1"/>
      <c r="D698" s="1"/>
      <c r="E698" s="1"/>
      <c r="F698" s="1"/>
      <c r="G698" s="1"/>
      <c r="H698" s="69"/>
      <c r="I698" s="1"/>
      <c r="J698" s="1"/>
      <c r="K698" s="1"/>
      <c r="L698" s="1"/>
      <c r="M698" s="1"/>
      <c r="N698" s="1"/>
      <c r="O698" s="1"/>
      <c r="P698" s="1"/>
      <c r="Q698" s="1"/>
      <c r="R698" s="1"/>
      <c r="S698" s="1"/>
      <c r="T698" s="1"/>
      <c r="U698" s="1"/>
      <c r="V698" s="1"/>
      <c r="W698" s="1"/>
      <c r="X698" s="84"/>
      <c r="Y698" s="84" t="str" cm="1">
        <f t="array" ref="Y698">CalculerNouvelleDate(I698,X698)</f>
        <v/>
      </c>
      <c r="Z698" s="84" t="str" cm="1">
        <f t="array" ref="Z698">CalculerNouvelleDate(J698,Y698)</f>
        <v/>
      </c>
      <c r="AA698" s="84" t="str" cm="1">
        <f t="array" ref="AA698">CalculerNouvelleDate(K698,Z698)</f>
        <v/>
      </c>
      <c r="AB698" s="84" t="str" cm="1">
        <f t="array" ref="AB698">CalculerNouvelleDate(L698,AA698)</f>
        <v/>
      </c>
      <c r="AC698" s="84" t="str" cm="1">
        <f t="array" ref="AC698">CalculerNouvelleDate(M698,AB698)</f>
        <v/>
      </c>
      <c r="AD698" s="84" t="str" cm="1">
        <f t="array" ref="AD698">CalculerNouvelleDate(N698,AC698)</f>
        <v/>
      </c>
      <c r="AE698" s="84" t="str" cm="1">
        <f t="array" ref="AE698">CalculerNouvelleDate(O698,AD698)</f>
        <v/>
      </c>
      <c r="AF698" s="84" t="str" cm="1">
        <f t="array" ref="AF698">CalculerNouvelleDate(P698,AE698)</f>
        <v/>
      </c>
      <c r="AG698" s="84" t="str" cm="1">
        <f t="array" ref="AG698">CalculerNouvelleDate(Q698,AF698)</f>
        <v/>
      </c>
      <c r="AH698" s="84" t="str" cm="1">
        <f t="array" ref="AH698">CalculerNouvelleDate(R698,AG698)</f>
        <v/>
      </c>
      <c r="AI698" s="84" t="str" cm="1">
        <f t="array" ref="AI698">CalculerNouvelleDate(S698,AH698)</f>
        <v/>
      </c>
      <c r="AJ698" s="84" t="str" cm="1">
        <f t="array" ref="AJ698">CalculerNouvelleDate(T698,AI698)</f>
        <v/>
      </c>
      <c r="AK698" s="84" t="str" cm="1">
        <f t="array" ref="AK698">CalculerNouvelleDate(U698,AJ698)</f>
        <v/>
      </c>
      <c r="AL698" s="84" t="str" cm="1">
        <f t="array" ref="AL698">CalculerNouvelleDate(V698,AK698)</f>
        <v/>
      </c>
      <c r="AM698" s="1"/>
      <c r="AN698" s="1"/>
      <c r="AO698" s="1"/>
      <c r="AP698" s="1"/>
      <c r="AQ698" s="1"/>
      <c r="AR698" s="1"/>
      <c r="AS698" s="1"/>
      <c r="AT698" s="1"/>
      <c r="AU698" s="1"/>
      <c r="AV698" s="1"/>
      <c r="AW698" s="1"/>
      <c r="AX698" s="1"/>
      <c r="AY698" s="1"/>
      <c r="AZ698" s="1"/>
      <c r="BA698" s="1"/>
    </row>
    <row r="699" spans="1:53" x14ac:dyDescent="0.3">
      <c r="A699" s="1"/>
      <c r="B699" s="1"/>
      <c r="C699" s="1"/>
      <c r="D699" s="1"/>
      <c r="E699" s="1"/>
      <c r="F699" s="1"/>
      <c r="G699" s="1"/>
      <c r="H699" s="69"/>
      <c r="I699" s="1"/>
      <c r="J699" s="1"/>
      <c r="K699" s="1"/>
      <c r="L699" s="1"/>
      <c r="M699" s="1"/>
      <c r="N699" s="1"/>
      <c r="O699" s="1"/>
      <c r="P699" s="1"/>
      <c r="Q699" s="1"/>
      <c r="R699" s="1"/>
      <c r="S699" s="1"/>
      <c r="T699" s="1"/>
      <c r="U699" s="1"/>
      <c r="V699" s="1"/>
      <c r="W699" s="1"/>
      <c r="X699" s="84"/>
      <c r="Y699" s="84" t="str" cm="1">
        <f t="array" ref="Y699">CalculerNouvelleDate(I699,X699)</f>
        <v/>
      </c>
      <c r="Z699" s="84" t="str" cm="1">
        <f t="array" ref="Z699">CalculerNouvelleDate(J699,Y699)</f>
        <v/>
      </c>
      <c r="AA699" s="84" t="str" cm="1">
        <f t="array" ref="AA699">CalculerNouvelleDate(K699,Z699)</f>
        <v/>
      </c>
      <c r="AB699" s="84" t="str" cm="1">
        <f t="array" ref="AB699">CalculerNouvelleDate(L699,AA699)</f>
        <v/>
      </c>
      <c r="AC699" s="84" t="str" cm="1">
        <f t="array" ref="AC699">CalculerNouvelleDate(M699,AB699)</f>
        <v/>
      </c>
      <c r="AD699" s="84" t="str" cm="1">
        <f t="array" ref="AD699">CalculerNouvelleDate(N699,AC699)</f>
        <v/>
      </c>
      <c r="AE699" s="84" t="str" cm="1">
        <f t="array" ref="AE699">CalculerNouvelleDate(O699,AD699)</f>
        <v/>
      </c>
      <c r="AF699" s="84" t="str" cm="1">
        <f t="array" ref="AF699">CalculerNouvelleDate(P699,AE699)</f>
        <v/>
      </c>
      <c r="AG699" s="84" t="str" cm="1">
        <f t="array" ref="AG699">CalculerNouvelleDate(Q699,AF699)</f>
        <v/>
      </c>
      <c r="AH699" s="84" t="str" cm="1">
        <f t="array" ref="AH699">CalculerNouvelleDate(R699,AG699)</f>
        <v/>
      </c>
      <c r="AI699" s="84" t="str" cm="1">
        <f t="array" ref="AI699">CalculerNouvelleDate(S699,AH699)</f>
        <v/>
      </c>
      <c r="AJ699" s="84" t="str" cm="1">
        <f t="array" ref="AJ699">CalculerNouvelleDate(T699,AI699)</f>
        <v/>
      </c>
      <c r="AK699" s="84" t="str" cm="1">
        <f t="array" ref="AK699">CalculerNouvelleDate(U699,AJ699)</f>
        <v/>
      </c>
      <c r="AL699" s="84" t="str" cm="1">
        <f t="array" ref="AL699">CalculerNouvelleDate(V699,AK699)</f>
        <v/>
      </c>
      <c r="AM699" s="1"/>
      <c r="AN699" s="1"/>
      <c r="AO699" s="1"/>
      <c r="AP699" s="1"/>
      <c r="AQ699" s="1"/>
      <c r="AR699" s="1"/>
      <c r="AS699" s="1"/>
      <c r="AT699" s="1"/>
      <c r="AU699" s="1"/>
      <c r="AV699" s="1"/>
      <c r="AW699" s="1"/>
      <c r="AX699" s="1"/>
      <c r="AY699" s="1"/>
      <c r="AZ699" s="1"/>
      <c r="BA699" s="1"/>
    </row>
  </sheetData>
  <phoneticPr fontId="10" type="noConversion"/>
  <hyperlinks>
    <hyperlink ref="H9" location="'F2'!A1" display="'F2'!A1" xr:uid="{F629BFF8-FA1D-45A8-940E-7F82F982AD3F}"/>
    <hyperlink ref="H15" location="'F2'!B12" display="'F2'!B12" xr:uid="{FA622D69-424F-4218-A9E7-0C714FEB7176}"/>
    <hyperlink ref="H19" location="'F2'!B17" display="'F2'!B17" xr:uid="{388E5A8A-1B47-481E-88B9-B417B85517E4}"/>
    <hyperlink ref="H24" location="'F2'!B22" display="'F2'!B22" xr:uid="{68BC9A19-E2E7-4CDD-9D13-9162A4E53025}"/>
    <hyperlink ref="H28" location="'F2'!B26" display="'F2'!B26" xr:uid="{B22E27A5-1535-402A-9469-DC4F3F3E7E07}"/>
    <hyperlink ref="H32" location="'F2'!B30" display="'F2'!B30" xr:uid="{E630CD4F-5B4F-4CB7-92AF-B84140C92844}"/>
  </hyperlinks>
  <pageMargins left="0.7" right="0.7" top="0.75" bottom="0.75" header="0.3" footer="0.3"/>
  <pageSetup paperSize="9" orientation="portrait" horizontalDpi="360" verticalDpi="36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7F258-C0C5-4A1F-B813-47386974B791}">
  <sheetPr codeName="Feuil2"/>
  <dimension ref="A1:W500"/>
  <sheetViews>
    <sheetView tabSelected="1" zoomScaleNormal="100" workbookViewId="0"/>
  </sheetViews>
  <sheetFormatPr baseColWidth="10" defaultRowHeight="14.4" x14ac:dyDescent="0.3"/>
  <cols>
    <col min="2" max="2" width="11.5546875" customWidth="1"/>
    <col min="5" max="5" width="11.5546875" customWidth="1"/>
    <col min="6" max="6" width="50.77734375" customWidth="1"/>
  </cols>
  <sheetData>
    <row r="1" spans="1:23" x14ac:dyDescent="0.3">
      <c r="A1" s="1"/>
      <c r="B1" s="1"/>
      <c r="C1" s="1"/>
      <c r="D1" s="1"/>
      <c r="E1" s="1"/>
      <c r="F1" s="1"/>
      <c r="G1" s="1"/>
      <c r="H1" s="1"/>
      <c r="I1" s="1"/>
      <c r="J1" s="1"/>
      <c r="K1" s="1"/>
      <c r="L1" s="1"/>
      <c r="M1" s="1"/>
      <c r="N1" s="1"/>
      <c r="O1" s="1"/>
      <c r="P1" s="1"/>
      <c r="Q1" s="1"/>
      <c r="R1" s="1"/>
      <c r="S1" s="1"/>
      <c r="T1" s="1"/>
      <c r="U1" s="1"/>
      <c r="V1" s="1"/>
      <c r="W1" s="1"/>
    </row>
    <row r="2" spans="1:23" x14ac:dyDescent="0.3">
      <c r="A2" s="1"/>
      <c r="B2" s="1"/>
      <c r="C2" s="1"/>
      <c r="D2" s="1"/>
      <c r="E2" s="1"/>
      <c r="F2" s="1"/>
      <c r="G2" s="1"/>
      <c r="H2" s="1"/>
      <c r="I2" s="1"/>
      <c r="J2" s="65" t="s">
        <v>514</v>
      </c>
      <c r="K2" s="65" t="s">
        <v>516</v>
      </c>
      <c r="L2" s="65" t="s">
        <v>511</v>
      </c>
      <c r="M2" s="65" t="s">
        <v>510</v>
      </c>
      <c r="N2" s="65" t="s">
        <v>513</v>
      </c>
      <c r="O2" s="65" t="s">
        <v>507</v>
      </c>
      <c r="P2" s="65" t="s">
        <v>508</v>
      </c>
      <c r="Q2" s="65" t="s">
        <v>524</v>
      </c>
      <c r="R2" s="65" t="s">
        <v>506</v>
      </c>
      <c r="S2" s="65" t="s">
        <v>505</v>
      </c>
      <c r="T2" s="65" t="s">
        <v>504</v>
      </c>
      <c r="U2" s="65" t="s">
        <v>509</v>
      </c>
      <c r="V2" s="1"/>
      <c r="W2" s="1"/>
    </row>
    <row r="3" spans="1:23" x14ac:dyDescent="0.3">
      <c r="A3" s="1"/>
      <c r="B3" s="1"/>
      <c r="C3" s="1"/>
      <c r="D3" s="1"/>
      <c r="E3" s="1"/>
      <c r="F3" s="1"/>
      <c r="G3" s="1"/>
      <c r="H3" s="1"/>
      <c r="I3" s="64"/>
      <c r="J3" s="66" t="s">
        <v>517</v>
      </c>
      <c r="K3" s="66" t="s">
        <v>518</v>
      </c>
      <c r="L3" s="66" t="s">
        <v>519</v>
      </c>
      <c r="M3" s="66" t="s">
        <v>520</v>
      </c>
      <c r="N3" s="66" t="s">
        <v>521</v>
      </c>
      <c r="O3" s="66" t="s">
        <v>522</v>
      </c>
      <c r="P3" s="66" t="s">
        <v>523</v>
      </c>
      <c r="Q3" s="66" t="s">
        <v>525</v>
      </c>
      <c r="R3" s="66" t="s">
        <v>526</v>
      </c>
      <c r="S3" s="66" t="s">
        <v>527</v>
      </c>
      <c r="T3" s="66" t="s">
        <v>528</v>
      </c>
      <c r="U3" s="66" t="s">
        <v>529</v>
      </c>
      <c r="V3" s="1"/>
      <c r="W3" s="1"/>
    </row>
    <row r="4" spans="1:23" x14ac:dyDescent="0.3">
      <c r="A4" s="63" t="s">
        <v>515</v>
      </c>
      <c r="B4" s="58" t="s">
        <v>161</v>
      </c>
      <c r="C4" s="54"/>
      <c r="D4" s="54"/>
      <c r="E4" s="54"/>
      <c r="F4" s="55"/>
      <c r="G4" s="79"/>
      <c r="H4" s="79" t="b">
        <f>AND(H5,H55)</f>
        <v>0</v>
      </c>
      <c r="I4" s="79"/>
      <c r="J4" s="103"/>
      <c r="K4" s="79"/>
      <c r="L4" s="79"/>
      <c r="M4" s="79"/>
      <c r="N4" s="79"/>
      <c r="O4" s="79"/>
      <c r="P4" s="1"/>
      <c r="Q4" s="1"/>
      <c r="R4" s="1"/>
      <c r="S4" s="1"/>
      <c r="T4" s="1"/>
      <c r="U4" s="1"/>
      <c r="V4" s="1"/>
      <c r="W4" s="1"/>
    </row>
    <row r="5" spans="1:23" x14ac:dyDescent="0.3">
      <c r="A5" s="63" t="s">
        <v>514</v>
      </c>
      <c r="B5" s="59" t="s">
        <v>160</v>
      </c>
      <c r="C5" s="56"/>
      <c r="D5" s="56"/>
      <c r="E5" s="56"/>
      <c r="F5" s="57"/>
      <c r="G5" s="104"/>
      <c r="H5" s="79" t="b">
        <f>AND(H6,H12,H16,H21,H25,H29,H33,H37,H41,H44,H51)</f>
        <v>0</v>
      </c>
      <c r="I5" s="79" t="s">
        <v>829</v>
      </c>
      <c r="J5" s="79"/>
      <c r="K5" s="79"/>
      <c r="L5" s="79"/>
      <c r="M5" s="79"/>
      <c r="N5" s="79"/>
      <c r="O5" s="79"/>
      <c r="P5" s="1"/>
      <c r="Q5" s="1"/>
      <c r="R5" s="1"/>
      <c r="S5" s="1"/>
      <c r="T5" s="1"/>
      <c r="U5" s="1"/>
      <c r="V5" s="1"/>
      <c r="W5" s="1"/>
    </row>
    <row r="6" spans="1:23" x14ac:dyDescent="0.3">
      <c r="A6" s="1"/>
      <c r="B6" s="51">
        <v>1</v>
      </c>
      <c r="C6" s="50" t="s">
        <v>11</v>
      </c>
      <c r="D6" s="50"/>
      <c r="E6" s="50"/>
      <c r="F6" s="52"/>
      <c r="G6" s="105"/>
      <c r="H6" s="79" t="b">
        <f>AND(G7:G11)</f>
        <v>1</v>
      </c>
      <c r="I6" s="79" cm="1">
        <f t="array" ref="I6">CompterBool(H6,H12,H16,H21,H25,H29,H33,H37,H41,H44,H51,H56,H62,H66,H71,H76,H83,H87,H91,H97,H105,H116,H120,H124,H128,H132,H137,H142,H146,H152,H158,H164,H169,H172,H176,H180,H187,H192,H208,H215,H228,H240,H248,H257,H263,H269,H275,H292,H295,H298,H302,H306,H309,H313,H316,H319,H323,H327,H330,H334,H339,H343,H345,H349,H352,H357,H365,H368,H372,H375,H378,H381,H384,H387,H391,H394,H398,H402,H405,H409,H414,H418,H422,H430,H437,H446,H450,H459,H468,H472,H476,H482)</f>
        <v>6</v>
      </c>
      <c r="J6" s="79"/>
      <c r="K6" s="79"/>
      <c r="L6" s="79"/>
      <c r="M6" s="79"/>
      <c r="N6" s="79"/>
      <c r="O6" s="79"/>
      <c r="P6" s="1"/>
      <c r="Q6" s="1"/>
      <c r="R6" s="1"/>
      <c r="S6" s="1"/>
      <c r="T6" s="1"/>
      <c r="U6" s="1"/>
      <c r="V6" s="1"/>
      <c r="W6" s="1"/>
    </row>
    <row r="7" spans="1:23" ht="57.6" customHeight="1" x14ac:dyDescent="0.3">
      <c r="A7" s="1"/>
      <c r="B7" s="92" t="s">
        <v>835</v>
      </c>
      <c r="C7" s="1"/>
      <c r="D7" s="1"/>
      <c r="E7" s="13"/>
      <c r="F7" s="48" t="s">
        <v>120</v>
      </c>
      <c r="G7" s="79" t="b">
        <v>1</v>
      </c>
      <c r="H7" s="79"/>
      <c r="I7" s="79" t="s">
        <v>830</v>
      </c>
      <c r="J7" s="79" cm="1">
        <f t="array" ref="J7">CompterBool(H6,H12,H16,H21,H25,H29,H33,H37,H41,H44,H51)</f>
        <v>6</v>
      </c>
      <c r="K7" s="79"/>
      <c r="L7" s="79" cm="1">
        <f t="array" ref="L7">CompterBool(H187,H192,H208)</f>
        <v>0</v>
      </c>
      <c r="M7" s="79"/>
      <c r="N7" s="79" cm="1">
        <f t="array" ref="N7">CompterBool(H430,H437,H446,H450)</f>
        <v>0</v>
      </c>
      <c r="O7" s="79"/>
      <c r="P7" s="1"/>
      <c r="Q7" s="1"/>
      <c r="R7" s="1"/>
      <c r="S7" s="1"/>
      <c r="T7" s="1"/>
      <c r="U7" s="1"/>
      <c r="V7" s="1"/>
      <c r="W7" s="1"/>
    </row>
    <row r="8" spans="1:23" ht="57.6" customHeight="1" x14ac:dyDescent="0.3">
      <c r="A8" s="1"/>
      <c r="B8" s="1"/>
      <c r="C8" s="1"/>
      <c r="D8" s="1"/>
      <c r="E8" s="3"/>
      <c r="F8" s="47" t="s">
        <v>121</v>
      </c>
      <c r="G8" s="79" t="b">
        <v>1</v>
      </c>
      <c r="H8" s="79"/>
      <c r="I8" s="79" t="s">
        <v>831</v>
      </c>
      <c r="J8" s="79" cm="1">
        <f t="array" ref="J8">CompterBool(H56,H62,H66,H71,H76,H83,H87,H91)</f>
        <v>0</v>
      </c>
      <c r="K8" s="79"/>
      <c r="L8" s="79" cm="1">
        <f t="array" ref="L8">CompterBool(H215,H228,H240,H248,H257,H263,H269,H275)</f>
        <v>0</v>
      </c>
      <c r="M8" s="79"/>
      <c r="N8" s="79" cm="1">
        <f t="array" ref="N8">CompterBool(H459,H468,H472,H476,H482)</f>
        <v>0</v>
      </c>
      <c r="O8" s="79"/>
      <c r="P8" s="1"/>
      <c r="Q8" s="1"/>
      <c r="R8" s="1"/>
      <c r="S8" s="1"/>
      <c r="T8" s="1"/>
      <c r="U8" s="1"/>
      <c r="V8" s="1"/>
      <c r="W8" s="1"/>
    </row>
    <row r="9" spans="1:23" ht="57.6" customHeight="1" x14ac:dyDescent="0.3">
      <c r="A9" s="1"/>
      <c r="B9" s="1"/>
      <c r="C9" s="1"/>
      <c r="D9" s="1"/>
      <c r="E9" s="3"/>
      <c r="F9" s="47" t="s">
        <v>123</v>
      </c>
      <c r="G9" s="79" t="b">
        <v>1</v>
      </c>
      <c r="H9" s="79"/>
      <c r="I9" s="79" t="s">
        <v>832</v>
      </c>
      <c r="J9" s="79" cm="1">
        <f t="array" ref="J9">CompterBool(H97,H105)</f>
        <v>0</v>
      </c>
      <c r="K9" s="79"/>
      <c r="L9" s="79" cm="1">
        <f t="array" ref="L9">CompterBool(H292,H295,H298,H302,H306,H309,H313,H316,H319,H323,H327,H330,H334,H339,H343,H345,H349,H352,H357)</f>
        <v>0</v>
      </c>
      <c r="M9" s="79"/>
      <c r="N9" s="79"/>
      <c r="O9" s="79"/>
      <c r="P9" s="1"/>
      <c r="Q9" s="1"/>
      <c r="R9" s="1"/>
      <c r="S9" s="1"/>
      <c r="T9" s="1"/>
      <c r="U9" s="1"/>
      <c r="V9" s="1"/>
      <c r="W9" s="1"/>
    </row>
    <row r="10" spans="1:23" ht="57.6" customHeight="1" x14ac:dyDescent="0.3">
      <c r="A10" s="1"/>
      <c r="B10" s="1"/>
      <c r="C10" s="1"/>
      <c r="D10" s="1"/>
      <c r="E10" s="3"/>
      <c r="F10" s="47" t="s">
        <v>124</v>
      </c>
      <c r="G10" s="79" t="b">
        <v>1</v>
      </c>
      <c r="H10" s="79"/>
      <c r="I10" s="79" t="s">
        <v>833</v>
      </c>
      <c r="J10" s="79" cm="1">
        <f t="array" ref="J10">CompterBool(H116,H120,H124,H128,H132,H137,H142)</f>
        <v>0</v>
      </c>
      <c r="K10" s="79"/>
      <c r="L10" s="79" cm="1">
        <f t="array" ref="L10">CompterBool(H365,H368,H372,H375,H378,H381,H384,H387,H391,H394)</f>
        <v>0</v>
      </c>
      <c r="M10" s="79"/>
      <c r="N10" s="79"/>
      <c r="O10" s="79"/>
      <c r="P10" s="1"/>
      <c r="Q10" s="1"/>
      <c r="R10" s="1"/>
      <c r="S10" s="1"/>
      <c r="T10" s="1"/>
      <c r="U10" s="1"/>
      <c r="V10" s="1"/>
      <c r="W10" s="1"/>
    </row>
    <row r="11" spans="1:23" ht="57.6" customHeight="1" x14ac:dyDescent="0.3">
      <c r="A11" s="1"/>
      <c r="B11" s="1"/>
      <c r="C11" s="1"/>
      <c r="D11" s="1"/>
      <c r="E11" s="12"/>
      <c r="F11" s="53" t="s">
        <v>125</v>
      </c>
      <c r="G11" s="79" t="b">
        <v>1</v>
      </c>
      <c r="H11" s="79"/>
      <c r="I11" s="79" t="s">
        <v>834</v>
      </c>
      <c r="J11" s="79" cm="1">
        <f t="array" ref="J11">CompterBool(H146,H152,H158,H164,H169,H172,H176,H180)</f>
        <v>0</v>
      </c>
      <c r="K11" s="79"/>
      <c r="L11" s="79" cm="1">
        <f t="array" ref="L11">CompterBool(H398,H402,H405,H409,H414,H418,H422)</f>
        <v>0</v>
      </c>
      <c r="M11" s="79"/>
      <c r="N11" s="79"/>
      <c r="O11" s="79"/>
      <c r="P11" s="1"/>
      <c r="Q11" s="1"/>
      <c r="R11" s="1"/>
      <c r="S11" s="1"/>
      <c r="T11" s="1"/>
      <c r="U11" s="1"/>
      <c r="V11" s="1"/>
      <c r="W11" s="1"/>
    </row>
    <row r="12" spans="1:23" x14ac:dyDescent="0.3">
      <c r="A12" s="1"/>
      <c r="B12" s="51">
        <v>2</v>
      </c>
      <c r="C12" s="50" t="s">
        <v>12</v>
      </c>
      <c r="D12" s="50"/>
      <c r="E12" s="50"/>
      <c r="F12" s="52"/>
      <c r="G12" s="79"/>
      <c r="H12" s="79" t="b">
        <f>AND(G13:G15)</f>
        <v>1</v>
      </c>
      <c r="I12" s="79"/>
      <c r="J12" s="79"/>
      <c r="K12" s="79"/>
      <c r="L12" s="79"/>
      <c r="M12" s="79"/>
      <c r="N12" s="79"/>
      <c r="O12" s="79"/>
      <c r="P12" s="1"/>
      <c r="Q12" s="1"/>
      <c r="R12" s="1"/>
      <c r="S12" s="1"/>
      <c r="T12" s="1"/>
      <c r="U12" s="1"/>
      <c r="V12" s="1"/>
      <c r="W12" s="1"/>
    </row>
    <row r="13" spans="1:23" ht="57.6" customHeight="1" x14ac:dyDescent="0.3">
      <c r="A13" s="1"/>
      <c r="B13" s="89" t="s">
        <v>820</v>
      </c>
      <c r="C13" s="1"/>
      <c r="D13" s="1"/>
      <c r="E13" s="13"/>
      <c r="F13" s="48" t="s">
        <v>127</v>
      </c>
      <c r="G13" s="79" t="b">
        <v>1</v>
      </c>
      <c r="H13" s="79"/>
      <c r="I13" s="79"/>
      <c r="J13" s="79"/>
      <c r="K13" s="79"/>
      <c r="L13" s="79"/>
      <c r="M13" s="79"/>
      <c r="N13" s="79"/>
      <c r="O13" s="79"/>
      <c r="P13" s="1"/>
      <c r="Q13" s="1"/>
      <c r="R13" s="1"/>
      <c r="S13" s="1"/>
      <c r="T13" s="1"/>
      <c r="U13" s="1"/>
      <c r="V13" s="1"/>
      <c r="W13" s="1"/>
    </row>
    <row r="14" spans="1:23" ht="57.6" customHeight="1" x14ac:dyDescent="0.3">
      <c r="A14" s="1"/>
      <c r="B14" s="1"/>
      <c r="C14" s="1"/>
      <c r="D14" s="1"/>
      <c r="E14" s="3"/>
      <c r="F14" s="47" t="s">
        <v>128</v>
      </c>
      <c r="G14" s="79" t="b">
        <v>1</v>
      </c>
      <c r="H14" s="79"/>
      <c r="I14" s="79"/>
      <c r="J14" s="79"/>
      <c r="K14" s="79"/>
      <c r="L14" s="79"/>
      <c r="M14" s="79"/>
      <c r="N14" s="79"/>
      <c r="O14" s="79"/>
      <c r="P14" s="1"/>
      <c r="Q14" s="1"/>
      <c r="R14" s="1"/>
      <c r="S14" s="1"/>
      <c r="T14" s="1"/>
      <c r="U14" s="1"/>
      <c r="V14" s="1"/>
      <c r="W14" s="1"/>
    </row>
    <row r="15" spans="1:23" ht="57.6" customHeight="1" x14ac:dyDescent="0.3">
      <c r="A15" s="1"/>
      <c r="B15" s="1"/>
      <c r="C15" s="1"/>
      <c r="D15" s="1"/>
      <c r="E15" s="3"/>
      <c r="F15" s="47" t="s">
        <v>129</v>
      </c>
      <c r="G15" s="79" t="b">
        <v>1</v>
      </c>
      <c r="H15" s="79"/>
      <c r="I15" s="79"/>
      <c r="J15" s="79"/>
      <c r="K15" s="79"/>
      <c r="L15" s="79"/>
      <c r="M15" s="79"/>
      <c r="N15" s="79"/>
      <c r="O15" s="79"/>
      <c r="P15" s="1"/>
      <c r="Q15" s="1"/>
      <c r="R15" s="1"/>
      <c r="S15" s="1"/>
      <c r="T15" s="1"/>
      <c r="U15" s="1"/>
      <c r="V15" s="1"/>
      <c r="W15" s="1"/>
    </row>
    <row r="16" spans="1:23" ht="14.4" customHeight="1" x14ac:dyDescent="0.3">
      <c r="A16" s="1"/>
      <c r="B16" s="51">
        <v>3</v>
      </c>
      <c r="C16" s="50" t="s">
        <v>13</v>
      </c>
      <c r="D16" s="50"/>
      <c r="E16" s="50"/>
      <c r="F16" s="52"/>
      <c r="G16" s="79"/>
      <c r="H16" s="79" t="b">
        <f>AND(G17:G20)</f>
        <v>1</v>
      </c>
      <c r="I16" s="79"/>
      <c r="J16" s="79"/>
      <c r="K16" s="79"/>
      <c r="L16" s="79"/>
      <c r="M16" s="79"/>
      <c r="N16" s="79"/>
      <c r="O16" s="79"/>
      <c r="P16" s="1"/>
      <c r="Q16" s="1"/>
      <c r="R16" s="1"/>
      <c r="S16" s="1"/>
      <c r="T16" s="1"/>
      <c r="U16" s="1"/>
      <c r="V16" s="1"/>
      <c r="W16" s="1"/>
    </row>
    <row r="17" spans="1:23" ht="57.6" customHeight="1" x14ac:dyDescent="0.3">
      <c r="A17" s="1"/>
      <c r="B17" s="89" t="s">
        <v>822</v>
      </c>
      <c r="C17" s="1"/>
      <c r="D17" s="1"/>
      <c r="E17" s="13"/>
      <c r="F17" s="48" t="s">
        <v>130</v>
      </c>
      <c r="G17" s="79" t="b">
        <v>1</v>
      </c>
      <c r="H17" s="79"/>
      <c r="I17" s="79"/>
      <c r="J17" s="79"/>
      <c r="K17" s="79"/>
      <c r="L17" s="79"/>
      <c r="M17" s="79"/>
      <c r="N17" s="79"/>
      <c r="O17" s="79"/>
      <c r="P17" s="1"/>
      <c r="Q17" s="1"/>
      <c r="R17" s="1"/>
      <c r="S17" s="1"/>
      <c r="T17" s="1"/>
      <c r="U17" s="1"/>
      <c r="V17" s="1"/>
      <c r="W17" s="1"/>
    </row>
    <row r="18" spans="1:23" ht="57.6" customHeight="1" x14ac:dyDescent="0.3">
      <c r="A18" s="1"/>
      <c r="B18" s="1"/>
      <c r="C18" s="1"/>
      <c r="D18" s="1"/>
      <c r="E18" s="3"/>
      <c r="F18" s="47" t="s">
        <v>131</v>
      </c>
      <c r="G18" s="79" t="b">
        <v>1</v>
      </c>
      <c r="H18" s="79"/>
      <c r="I18" s="79"/>
      <c r="J18" s="79"/>
      <c r="K18" s="79"/>
      <c r="L18" s="79"/>
      <c r="M18" s="79"/>
      <c r="N18" s="79"/>
      <c r="O18" s="79"/>
      <c r="P18" s="1"/>
      <c r="Q18" s="1"/>
      <c r="R18" s="1"/>
      <c r="S18" s="1"/>
      <c r="T18" s="1"/>
      <c r="U18" s="1"/>
      <c r="V18" s="1"/>
      <c r="W18" s="1"/>
    </row>
    <row r="19" spans="1:23" ht="57.6" customHeight="1" x14ac:dyDescent="0.3">
      <c r="A19" s="1"/>
      <c r="B19" s="1"/>
      <c r="C19" s="1"/>
      <c r="D19" s="1"/>
      <c r="E19" s="3"/>
      <c r="F19" s="47" t="s">
        <v>132</v>
      </c>
      <c r="G19" s="79" t="b">
        <v>1</v>
      </c>
      <c r="H19" s="79"/>
      <c r="I19" s="79"/>
      <c r="J19" s="79"/>
      <c r="K19" s="79"/>
      <c r="L19" s="79"/>
      <c r="M19" s="79"/>
      <c r="N19" s="79"/>
      <c r="O19" s="79"/>
      <c r="P19" s="1"/>
      <c r="Q19" s="1"/>
      <c r="R19" s="1"/>
      <c r="S19" s="1"/>
      <c r="T19" s="1"/>
      <c r="U19" s="1"/>
      <c r="V19" s="1"/>
      <c r="W19" s="1"/>
    </row>
    <row r="20" spans="1:23" ht="57.6" customHeight="1" x14ac:dyDescent="0.3">
      <c r="A20" s="1"/>
      <c r="B20" s="1"/>
      <c r="C20" s="1"/>
      <c r="D20" s="1"/>
      <c r="E20" s="3"/>
      <c r="F20" s="47" t="s">
        <v>133</v>
      </c>
      <c r="G20" s="79" t="b">
        <v>1</v>
      </c>
      <c r="H20" s="79"/>
      <c r="I20" s="79"/>
      <c r="J20" s="79"/>
      <c r="K20" s="79"/>
      <c r="L20" s="79"/>
      <c r="M20" s="79"/>
      <c r="N20" s="79"/>
      <c r="O20" s="79"/>
      <c r="P20" s="1"/>
      <c r="Q20" s="1"/>
      <c r="R20" s="1"/>
      <c r="S20" s="1"/>
      <c r="T20" s="1"/>
      <c r="U20" s="1"/>
      <c r="V20" s="1"/>
      <c r="W20" s="1"/>
    </row>
    <row r="21" spans="1:23" ht="14.4" customHeight="1" x14ac:dyDescent="0.3">
      <c r="A21" s="1"/>
      <c r="B21" s="51">
        <v>4</v>
      </c>
      <c r="C21" s="50" t="s">
        <v>14</v>
      </c>
      <c r="D21" s="50"/>
      <c r="E21" s="50"/>
      <c r="F21" s="52"/>
      <c r="G21" s="79"/>
      <c r="H21" s="79" t="b">
        <f>AND(G22:G24)</f>
        <v>1</v>
      </c>
      <c r="I21" s="79"/>
      <c r="J21" s="79"/>
      <c r="K21" s="79"/>
      <c r="L21" s="79"/>
      <c r="M21" s="79"/>
      <c r="N21" s="79"/>
      <c r="O21" s="79"/>
      <c r="P21" s="1"/>
      <c r="Q21" s="1"/>
      <c r="R21" s="1"/>
      <c r="S21" s="1"/>
      <c r="T21" s="1"/>
      <c r="U21" s="1"/>
      <c r="V21" s="1"/>
      <c r="W21" s="1"/>
    </row>
    <row r="22" spans="1:23" ht="57.6" customHeight="1" x14ac:dyDescent="0.3">
      <c r="A22" s="1"/>
      <c r="B22" s="89" t="s">
        <v>824</v>
      </c>
      <c r="C22" s="1"/>
      <c r="D22" s="1"/>
      <c r="E22" s="13"/>
      <c r="F22" s="48" t="s">
        <v>134</v>
      </c>
      <c r="G22" s="79" t="b">
        <v>1</v>
      </c>
      <c r="H22" s="79"/>
      <c r="I22" s="79"/>
      <c r="J22" s="79"/>
      <c r="K22" s="79"/>
      <c r="L22" s="79"/>
      <c r="M22" s="79"/>
      <c r="N22" s="79"/>
      <c r="O22" s="79"/>
      <c r="P22" s="1"/>
      <c r="Q22" s="1"/>
      <c r="R22" s="1"/>
      <c r="S22" s="1"/>
      <c r="T22" s="1"/>
      <c r="U22" s="1"/>
      <c r="V22" s="1"/>
      <c r="W22" s="1"/>
    </row>
    <row r="23" spans="1:23" ht="57.6" customHeight="1" x14ac:dyDescent="0.3">
      <c r="A23" s="1"/>
      <c r="B23" s="1"/>
      <c r="C23" s="1"/>
      <c r="D23" s="1"/>
      <c r="E23" s="3"/>
      <c r="F23" s="47" t="s">
        <v>135</v>
      </c>
      <c r="G23" s="79" t="b">
        <v>1</v>
      </c>
      <c r="H23" s="79"/>
      <c r="I23" s="79"/>
      <c r="J23" s="79"/>
      <c r="K23" s="79"/>
      <c r="L23" s="79"/>
      <c r="M23" s="79"/>
      <c r="N23" s="79"/>
      <c r="O23" s="79"/>
      <c r="P23" s="1"/>
      <c r="Q23" s="1"/>
      <c r="R23" s="1"/>
      <c r="S23" s="1"/>
      <c r="T23" s="1"/>
      <c r="U23" s="1"/>
      <c r="V23" s="1"/>
      <c r="W23" s="1"/>
    </row>
    <row r="24" spans="1:23" ht="57.6" customHeight="1" x14ac:dyDescent="0.3">
      <c r="A24" s="1"/>
      <c r="B24" s="1"/>
      <c r="C24" s="1"/>
      <c r="D24" s="1"/>
      <c r="E24" s="3"/>
      <c r="F24" s="47" t="s">
        <v>136</v>
      </c>
      <c r="G24" s="79" t="b">
        <v>1</v>
      </c>
      <c r="H24" s="79"/>
      <c r="I24" s="79"/>
      <c r="J24" s="79"/>
      <c r="K24" s="79"/>
      <c r="L24" s="79"/>
      <c r="M24" s="79"/>
      <c r="N24" s="79"/>
      <c r="O24" s="79"/>
      <c r="P24" s="1"/>
      <c r="Q24" s="1"/>
      <c r="R24" s="1"/>
      <c r="S24" s="1"/>
      <c r="T24" s="1"/>
      <c r="U24" s="1"/>
      <c r="V24" s="1"/>
      <c r="W24" s="1"/>
    </row>
    <row r="25" spans="1:23" ht="14.4" customHeight="1" x14ac:dyDescent="0.3">
      <c r="A25" s="1"/>
      <c r="B25" s="51">
        <v>5</v>
      </c>
      <c r="C25" s="50" t="s">
        <v>15</v>
      </c>
      <c r="D25" s="50"/>
      <c r="E25" s="50"/>
      <c r="F25" s="52"/>
      <c r="G25" s="79"/>
      <c r="H25" s="79" t="b">
        <f>AND(G26:G28)</f>
        <v>1</v>
      </c>
      <c r="I25" s="79"/>
      <c r="J25" s="79"/>
      <c r="K25" s="79"/>
      <c r="L25" s="79"/>
      <c r="M25" s="79"/>
      <c r="N25" s="79"/>
      <c r="O25" s="79"/>
      <c r="P25" s="1"/>
      <c r="Q25" s="1"/>
      <c r="R25" s="1"/>
      <c r="S25" s="1"/>
      <c r="T25" s="1"/>
      <c r="U25" s="1"/>
      <c r="V25" s="1"/>
      <c r="W25" s="1"/>
    </row>
    <row r="26" spans="1:23" ht="57.6" customHeight="1" x14ac:dyDescent="0.3">
      <c r="A26" s="1"/>
      <c r="B26" s="89" t="s">
        <v>826</v>
      </c>
      <c r="C26" s="1"/>
      <c r="D26" s="1"/>
      <c r="E26" s="13"/>
      <c r="F26" s="48" t="s">
        <v>139</v>
      </c>
      <c r="G26" s="79" t="b">
        <v>1</v>
      </c>
      <c r="H26" s="79"/>
      <c r="I26" s="79"/>
      <c r="J26" s="79"/>
      <c r="K26" s="79"/>
      <c r="L26" s="79"/>
      <c r="M26" s="79"/>
      <c r="N26" s="79"/>
      <c r="O26" s="79"/>
      <c r="P26" s="1"/>
      <c r="Q26" s="1"/>
      <c r="R26" s="1"/>
      <c r="S26" s="1"/>
      <c r="T26" s="1"/>
      <c r="U26" s="1"/>
      <c r="V26" s="1"/>
      <c r="W26" s="1"/>
    </row>
    <row r="27" spans="1:23" ht="57.6" customHeight="1" x14ac:dyDescent="0.3">
      <c r="A27" s="1"/>
      <c r="B27" s="1"/>
      <c r="C27" s="1"/>
      <c r="D27" s="1"/>
      <c r="E27" s="3"/>
      <c r="F27" s="47" t="s">
        <v>138</v>
      </c>
      <c r="G27" s="79" t="b">
        <v>1</v>
      </c>
      <c r="H27" s="79"/>
      <c r="I27" s="79"/>
      <c r="J27" s="79"/>
      <c r="K27" s="79"/>
      <c r="L27" s="79"/>
      <c r="M27" s="79"/>
      <c r="N27" s="79"/>
      <c r="O27" s="79"/>
      <c r="P27" s="1"/>
      <c r="Q27" s="1"/>
      <c r="R27" s="1"/>
      <c r="S27" s="1"/>
      <c r="T27" s="1"/>
      <c r="U27" s="1"/>
      <c r="V27" s="1"/>
      <c r="W27" s="1"/>
    </row>
    <row r="28" spans="1:23" ht="57.6" customHeight="1" x14ac:dyDescent="0.3">
      <c r="A28" s="1"/>
      <c r="B28" s="1"/>
      <c r="C28" s="1"/>
      <c r="D28" s="1"/>
      <c r="E28" s="3"/>
      <c r="F28" s="47" t="s">
        <v>137</v>
      </c>
      <c r="G28" s="79" t="b">
        <v>1</v>
      </c>
      <c r="H28" s="79"/>
      <c r="I28" s="79"/>
      <c r="J28" s="79"/>
      <c r="K28" s="79"/>
      <c r="L28" s="79"/>
      <c r="M28" s="79"/>
      <c r="N28" s="79"/>
      <c r="O28" s="79"/>
      <c r="P28" s="1"/>
      <c r="Q28" s="1"/>
      <c r="R28" s="1"/>
      <c r="S28" s="1"/>
      <c r="T28" s="1"/>
      <c r="U28" s="1"/>
      <c r="V28" s="1"/>
      <c r="W28" s="1"/>
    </row>
    <row r="29" spans="1:23" ht="14.4" customHeight="1" x14ac:dyDescent="0.3">
      <c r="A29" s="1"/>
      <c r="B29" s="51">
        <v>6</v>
      </c>
      <c r="C29" s="50" t="s">
        <v>16</v>
      </c>
      <c r="D29" s="50"/>
      <c r="E29" s="50"/>
      <c r="F29" s="52" t="s">
        <v>126</v>
      </c>
      <c r="G29" s="79"/>
      <c r="H29" s="79" t="b">
        <f>AND(G30:G32)</f>
        <v>1</v>
      </c>
      <c r="I29" s="79"/>
      <c r="J29" s="79"/>
      <c r="K29" s="79"/>
      <c r="L29" s="79"/>
      <c r="M29" s="79"/>
      <c r="N29" s="79"/>
      <c r="O29" s="79"/>
      <c r="P29" s="1"/>
      <c r="Q29" s="1"/>
      <c r="R29" s="1"/>
      <c r="S29" s="1"/>
      <c r="T29" s="1"/>
      <c r="U29" s="1"/>
      <c r="V29" s="1"/>
      <c r="W29" s="1"/>
    </row>
    <row r="30" spans="1:23" ht="57.6" customHeight="1" x14ac:dyDescent="0.3">
      <c r="A30" s="1"/>
      <c r="B30" s="89" t="s">
        <v>828</v>
      </c>
      <c r="C30" s="1"/>
      <c r="D30" s="1"/>
      <c r="E30" s="13"/>
      <c r="F30" s="48" t="s">
        <v>140</v>
      </c>
      <c r="G30" s="79" t="b">
        <v>1</v>
      </c>
      <c r="H30" s="79"/>
      <c r="I30" s="79"/>
      <c r="J30" s="79"/>
      <c r="K30" s="79"/>
      <c r="L30" s="79"/>
      <c r="M30" s="79"/>
      <c r="N30" s="79"/>
      <c r="O30" s="79"/>
      <c r="P30" s="1"/>
      <c r="Q30" s="1"/>
      <c r="R30" s="1"/>
      <c r="S30" s="1"/>
      <c r="T30" s="1"/>
      <c r="U30" s="1"/>
      <c r="V30" s="1"/>
      <c r="W30" s="1"/>
    </row>
    <row r="31" spans="1:23" ht="57.6" customHeight="1" x14ac:dyDescent="0.3">
      <c r="A31" s="1"/>
      <c r="B31" s="1"/>
      <c r="C31" s="1"/>
      <c r="D31" s="1"/>
      <c r="E31" s="3"/>
      <c r="F31" s="47" t="s">
        <v>141</v>
      </c>
      <c r="G31" s="79" t="b">
        <v>1</v>
      </c>
      <c r="H31" s="79"/>
      <c r="I31" s="79"/>
      <c r="J31" s="79"/>
      <c r="K31" s="79"/>
      <c r="L31" s="79"/>
      <c r="M31" s="79"/>
      <c r="N31" s="79"/>
      <c r="O31" s="79"/>
      <c r="P31" s="1"/>
      <c r="Q31" s="1"/>
      <c r="R31" s="1"/>
      <c r="S31" s="1"/>
      <c r="T31" s="1"/>
      <c r="U31" s="1"/>
      <c r="V31" s="1"/>
      <c r="W31" s="1"/>
    </row>
    <row r="32" spans="1:23" ht="57.6" customHeight="1" x14ac:dyDescent="0.3">
      <c r="A32" s="1"/>
      <c r="B32" s="1"/>
      <c r="C32" s="1"/>
      <c r="D32" s="1"/>
      <c r="E32" s="3"/>
      <c r="F32" s="47" t="s">
        <v>142</v>
      </c>
      <c r="G32" s="79" t="b">
        <v>1</v>
      </c>
      <c r="H32" s="79"/>
      <c r="I32" s="79"/>
      <c r="J32" s="79"/>
      <c r="K32" s="79"/>
      <c r="L32" s="79"/>
      <c r="M32" s="79"/>
      <c r="N32" s="79"/>
      <c r="O32" s="79"/>
      <c r="P32" s="1"/>
      <c r="Q32" s="1"/>
      <c r="R32" s="1"/>
      <c r="S32" s="1"/>
      <c r="T32" s="1"/>
      <c r="U32" s="1"/>
      <c r="V32" s="1"/>
      <c r="W32" s="1"/>
    </row>
    <row r="33" spans="1:23" ht="14.4" customHeight="1" x14ac:dyDescent="0.3">
      <c r="A33" s="1"/>
      <c r="B33" s="51">
        <v>7</v>
      </c>
      <c r="C33" s="50" t="s">
        <v>17</v>
      </c>
      <c r="D33" s="50"/>
      <c r="E33" s="50"/>
      <c r="F33" s="52" t="s">
        <v>126</v>
      </c>
      <c r="G33" s="79"/>
      <c r="H33" s="79" t="b">
        <f>AND(G34:G36)</f>
        <v>0</v>
      </c>
      <c r="I33" s="79"/>
      <c r="J33" s="79"/>
      <c r="K33" s="79"/>
      <c r="L33" s="79"/>
      <c r="M33" s="79"/>
      <c r="N33" s="79"/>
      <c r="O33" s="79"/>
      <c r="P33" s="1"/>
      <c r="Q33" s="1"/>
      <c r="R33" s="1"/>
      <c r="S33" s="1"/>
      <c r="T33" s="1"/>
      <c r="U33" s="1"/>
      <c r="V33" s="1"/>
      <c r="W33" s="1"/>
    </row>
    <row r="34" spans="1:23" ht="57.6" customHeight="1" x14ac:dyDescent="0.3">
      <c r="A34" s="1"/>
      <c r="B34" s="61" t="s">
        <v>126</v>
      </c>
      <c r="C34" s="1"/>
      <c r="D34" s="1"/>
      <c r="E34" s="13"/>
      <c r="F34" s="48" t="s">
        <v>143</v>
      </c>
      <c r="G34" s="79" t="b">
        <v>0</v>
      </c>
      <c r="H34" s="79"/>
      <c r="I34" s="79"/>
      <c r="J34" s="79"/>
      <c r="K34" s="79"/>
      <c r="L34" s="79"/>
      <c r="M34" s="79"/>
      <c r="N34" s="79"/>
      <c r="O34" s="79"/>
      <c r="P34" s="1"/>
      <c r="Q34" s="1"/>
      <c r="R34" s="1"/>
      <c r="S34" s="1"/>
      <c r="T34" s="1"/>
      <c r="U34" s="1"/>
      <c r="V34" s="1"/>
      <c r="W34" s="1"/>
    </row>
    <row r="35" spans="1:23" ht="57.6" customHeight="1" x14ac:dyDescent="0.3">
      <c r="A35" s="1"/>
      <c r="B35" s="1"/>
      <c r="C35" s="1"/>
      <c r="D35" s="1"/>
      <c r="E35" s="3"/>
      <c r="F35" s="47" t="s">
        <v>144</v>
      </c>
      <c r="G35" s="79" t="b">
        <v>0</v>
      </c>
      <c r="H35" s="79"/>
      <c r="I35" s="79"/>
      <c r="J35" s="79"/>
      <c r="K35" s="79"/>
      <c r="L35" s="79"/>
      <c r="M35" s="79"/>
      <c r="N35" s="79"/>
      <c r="O35" s="79"/>
      <c r="P35" s="1"/>
      <c r="Q35" s="1"/>
      <c r="R35" s="1"/>
      <c r="S35" s="1"/>
      <c r="T35" s="1"/>
      <c r="U35" s="1"/>
      <c r="V35" s="1"/>
      <c r="W35" s="1"/>
    </row>
    <row r="36" spans="1:23" ht="57.6" customHeight="1" x14ac:dyDescent="0.3">
      <c r="A36" s="1"/>
      <c r="B36" s="1"/>
      <c r="C36" s="1"/>
      <c r="D36" s="1"/>
      <c r="E36" s="3"/>
      <c r="F36" s="47" t="s">
        <v>145</v>
      </c>
      <c r="G36" s="79" t="b">
        <v>0</v>
      </c>
      <c r="H36" s="79"/>
      <c r="I36" s="79"/>
      <c r="J36" s="79"/>
      <c r="K36" s="79"/>
      <c r="L36" s="79"/>
      <c r="M36" s="79"/>
      <c r="N36" s="79"/>
      <c r="O36" s="79"/>
      <c r="P36" s="1"/>
      <c r="Q36" s="1"/>
      <c r="R36" s="1"/>
      <c r="S36" s="1"/>
      <c r="T36" s="1"/>
      <c r="U36" s="1"/>
      <c r="V36" s="1"/>
      <c r="W36" s="1"/>
    </row>
    <row r="37" spans="1:23" ht="14.4" customHeight="1" x14ac:dyDescent="0.3">
      <c r="A37" s="1"/>
      <c r="B37" s="51">
        <v>8</v>
      </c>
      <c r="C37" s="50" t="s">
        <v>18</v>
      </c>
      <c r="D37" s="50"/>
      <c r="E37" s="50"/>
      <c r="F37" s="52" t="s">
        <v>126</v>
      </c>
      <c r="G37" s="79"/>
      <c r="H37" s="79" t="b">
        <f>AND(G38:G40)</f>
        <v>0</v>
      </c>
      <c r="I37" s="79"/>
      <c r="J37" s="79"/>
      <c r="K37" s="79"/>
      <c r="L37" s="79"/>
      <c r="M37" s="79"/>
      <c r="N37" s="79"/>
      <c r="O37" s="79"/>
      <c r="P37" s="1"/>
      <c r="Q37" s="1"/>
      <c r="R37" s="1"/>
      <c r="S37" s="1"/>
      <c r="T37" s="1"/>
      <c r="U37" s="1"/>
      <c r="V37" s="1"/>
      <c r="W37" s="1"/>
    </row>
    <row r="38" spans="1:23" ht="57.6" customHeight="1" x14ac:dyDescent="0.3">
      <c r="A38" s="1"/>
      <c r="B38" s="61" t="s">
        <v>126</v>
      </c>
      <c r="C38" s="1"/>
      <c r="D38" s="1"/>
      <c r="E38" s="13"/>
      <c r="F38" s="48" t="s">
        <v>146</v>
      </c>
      <c r="G38" s="79" t="b">
        <v>0</v>
      </c>
      <c r="H38" s="79"/>
      <c r="I38" s="79"/>
      <c r="J38" s="79"/>
      <c r="K38" s="79"/>
      <c r="L38" s="79"/>
      <c r="M38" s="79"/>
      <c r="N38" s="79"/>
      <c r="O38" s="79"/>
      <c r="P38" s="1"/>
      <c r="Q38" s="1"/>
      <c r="R38" s="1"/>
      <c r="S38" s="1"/>
      <c r="T38" s="1"/>
      <c r="U38" s="1"/>
      <c r="V38" s="1"/>
      <c r="W38" s="1"/>
    </row>
    <row r="39" spans="1:23" ht="57.6" customHeight="1" x14ac:dyDescent="0.3">
      <c r="A39" s="1"/>
      <c r="B39" s="1"/>
      <c r="C39" s="1"/>
      <c r="D39" s="1"/>
      <c r="E39" s="3"/>
      <c r="F39" s="47" t="s">
        <v>147</v>
      </c>
      <c r="G39" s="79" t="b">
        <v>0</v>
      </c>
      <c r="H39" s="79"/>
      <c r="I39" s="79"/>
      <c r="J39" s="79"/>
      <c r="K39" s="79"/>
      <c r="L39" s="79"/>
      <c r="M39" s="79"/>
      <c r="N39" s="79"/>
      <c r="O39" s="79"/>
      <c r="P39" s="1"/>
      <c r="Q39" s="1"/>
      <c r="R39" s="1"/>
      <c r="S39" s="1"/>
      <c r="T39" s="1"/>
      <c r="U39" s="1"/>
      <c r="V39" s="1"/>
      <c r="W39" s="1"/>
    </row>
    <row r="40" spans="1:23" ht="57.6" customHeight="1" x14ac:dyDescent="0.3">
      <c r="A40" s="1"/>
      <c r="B40" s="1"/>
      <c r="C40" s="1"/>
      <c r="D40" s="1"/>
      <c r="E40" s="3"/>
      <c r="F40" s="47" t="s">
        <v>148</v>
      </c>
      <c r="G40" s="79" t="b">
        <v>0</v>
      </c>
      <c r="H40" s="79"/>
      <c r="I40" s="79"/>
      <c r="J40" s="79"/>
      <c r="K40" s="79"/>
      <c r="L40" s="79"/>
      <c r="M40" s="79"/>
      <c r="N40" s="79"/>
      <c r="O40" s="79"/>
      <c r="P40" s="1"/>
      <c r="Q40" s="1"/>
      <c r="R40" s="1"/>
      <c r="S40" s="1"/>
      <c r="T40" s="1"/>
      <c r="U40" s="1"/>
      <c r="V40" s="1"/>
      <c r="W40" s="1"/>
    </row>
    <row r="41" spans="1:23" ht="14.4" customHeight="1" x14ac:dyDescent="0.3">
      <c r="A41" s="1"/>
      <c r="B41" s="51">
        <v>9</v>
      </c>
      <c r="C41" s="49" t="s">
        <v>19</v>
      </c>
      <c r="D41" s="50"/>
      <c r="E41" s="50"/>
      <c r="F41" s="52"/>
      <c r="G41" s="79"/>
      <c r="H41" s="79" t="b">
        <f>AND(G42:G43)</f>
        <v>0</v>
      </c>
      <c r="I41" s="79"/>
      <c r="J41" s="79"/>
      <c r="K41" s="79"/>
      <c r="L41" s="79"/>
      <c r="M41" s="79"/>
      <c r="N41" s="79"/>
      <c r="O41" s="79"/>
      <c r="P41" s="1"/>
      <c r="Q41" s="1"/>
      <c r="R41" s="1"/>
      <c r="S41" s="1"/>
      <c r="T41" s="1"/>
      <c r="U41" s="1"/>
      <c r="V41" s="1"/>
      <c r="W41" s="1"/>
    </row>
    <row r="42" spans="1:23" ht="57.6" customHeight="1" x14ac:dyDescent="0.3">
      <c r="A42" s="1"/>
      <c r="B42" s="61" t="s">
        <v>126</v>
      </c>
      <c r="C42" s="1"/>
      <c r="D42" s="1"/>
      <c r="E42" s="13"/>
      <c r="F42" s="48" t="s">
        <v>149</v>
      </c>
      <c r="G42" s="79" t="b">
        <v>0</v>
      </c>
      <c r="H42" s="79"/>
      <c r="I42" s="79"/>
      <c r="J42" s="79"/>
      <c r="K42" s="79"/>
      <c r="L42" s="79"/>
      <c r="M42" s="79"/>
      <c r="N42" s="79"/>
      <c r="O42" s="79"/>
      <c r="P42" s="1"/>
      <c r="Q42" s="1"/>
      <c r="R42" s="1"/>
      <c r="S42" s="1"/>
      <c r="T42" s="1"/>
      <c r="U42" s="1"/>
      <c r="V42" s="1"/>
      <c r="W42" s="1"/>
    </row>
    <row r="43" spans="1:23" ht="57.6" customHeight="1" x14ac:dyDescent="0.3">
      <c r="A43" s="1"/>
      <c r="B43" s="1"/>
      <c r="C43" s="1"/>
      <c r="D43" s="1"/>
      <c r="E43" s="3"/>
      <c r="F43" s="47" t="s">
        <v>150</v>
      </c>
      <c r="G43" s="79" t="b">
        <v>0</v>
      </c>
      <c r="H43" s="79"/>
      <c r="I43" s="79"/>
      <c r="J43" s="79"/>
      <c r="K43" s="79"/>
      <c r="L43" s="79"/>
      <c r="M43" s="79"/>
      <c r="N43" s="79"/>
      <c r="O43" s="79"/>
      <c r="P43" s="1"/>
      <c r="Q43" s="1"/>
      <c r="R43" s="1"/>
      <c r="S43" s="1"/>
      <c r="T43" s="1"/>
      <c r="U43" s="1"/>
      <c r="V43" s="1"/>
      <c r="W43" s="1"/>
    </row>
    <row r="44" spans="1:23" ht="14.4" customHeight="1" x14ac:dyDescent="0.3">
      <c r="A44" s="1"/>
      <c r="B44" s="51">
        <v>10</v>
      </c>
      <c r="C44" s="49" t="s">
        <v>20</v>
      </c>
      <c r="D44" s="50"/>
      <c r="E44" s="50"/>
      <c r="F44" s="52"/>
      <c r="G44" s="79"/>
      <c r="H44" s="79" t="b">
        <f>AND(G45:G50)</f>
        <v>0</v>
      </c>
      <c r="I44" s="79"/>
      <c r="J44" s="79"/>
      <c r="K44" s="79"/>
      <c r="L44" s="79"/>
      <c r="M44" s="79"/>
      <c r="N44" s="79"/>
      <c r="O44" s="79"/>
      <c r="P44" s="1"/>
      <c r="Q44" s="1"/>
      <c r="R44" s="1"/>
      <c r="S44" s="1"/>
      <c r="T44" s="1"/>
      <c r="U44" s="1"/>
      <c r="V44" s="1"/>
      <c r="W44" s="1"/>
    </row>
    <row r="45" spans="1:23" ht="57.6" customHeight="1" x14ac:dyDescent="0.3">
      <c r="A45" s="1"/>
      <c r="B45" s="61" t="s">
        <v>126</v>
      </c>
      <c r="C45" s="1"/>
      <c r="D45" s="1"/>
      <c r="E45" s="13"/>
      <c r="F45" s="48" t="s">
        <v>151</v>
      </c>
      <c r="G45" s="79" t="b">
        <v>0</v>
      </c>
      <c r="H45" s="79"/>
      <c r="I45" s="79"/>
      <c r="J45" s="79"/>
      <c r="K45" s="79"/>
      <c r="L45" s="79"/>
      <c r="M45" s="79"/>
      <c r="N45" s="79"/>
      <c r="O45" s="79"/>
      <c r="P45" s="1"/>
      <c r="Q45" s="1"/>
      <c r="R45" s="1"/>
      <c r="S45" s="1"/>
      <c r="T45" s="1"/>
      <c r="U45" s="1"/>
      <c r="V45" s="1"/>
      <c r="W45" s="1"/>
    </row>
    <row r="46" spans="1:23" ht="57.6" customHeight="1" x14ac:dyDescent="0.3">
      <c r="A46" s="1"/>
      <c r="B46" s="1"/>
      <c r="C46" s="1"/>
      <c r="D46" s="1"/>
      <c r="E46" s="3"/>
      <c r="F46" s="47" t="s">
        <v>152</v>
      </c>
      <c r="G46" s="79" t="b">
        <v>0</v>
      </c>
      <c r="H46" s="79"/>
      <c r="I46" s="79"/>
      <c r="J46" s="79"/>
      <c r="K46" s="79"/>
      <c r="L46" s="79"/>
      <c r="M46" s="79"/>
      <c r="N46" s="79"/>
      <c r="O46" s="79"/>
      <c r="P46" s="1"/>
      <c r="Q46" s="1"/>
      <c r="R46" s="1"/>
      <c r="S46" s="1"/>
      <c r="T46" s="1"/>
      <c r="U46" s="1"/>
      <c r="V46" s="1"/>
      <c r="W46" s="1"/>
    </row>
    <row r="47" spans="1:23" ht="57.6" customHeight="1" x14ac:dyDescent="0.3">
      <c r="A47" s="1"/>
      <c r="B47" s="1"/>
      <c r="C47" s="1"/>
      <c r="D47" s="1"/>
      <c r="E47" s="13"/>
      <c r="F47" s="47" t="s">
        <v>153</v>
      </c>
      <c r="G47" s="79" t="b">
        <v>0</v>
      </c>
      <c r="H47" s="79"/>
      <c r="I47" s="79"/>
      <c r="J47" s="79"/>
      <c r="K47" s="79"/>
      <c r="L47" s="79"/>
      <c r="M47" s="79"/>
      <c r="N47" s="79"/>
      <c r="O47" s="79"/>
      <c r="P47" s="1"/>
      <c r="Q47" s="1"/>
      <c r="R47" s="1"/>
      <c r="S47" s="1"/>
      <c r="T47" s="1"/>
      <c r="U47" s="1"/>
      <c r="V47" s="1"/>
      <c r="W47" s="1"/>
    </row>
    <row r="48" spans="1:23" ht="57.6" customHeight="1" x14ac:dyDescent="0.3">
      <c r="A48" s="1"/>
      <c r="B48" s="1"/>
      <c r="C48" s="1"/>
      <c r="D48" s="1"/>
      <c r="E48" s="3"/>
      <c r="F48" s="47" t="s">
        <v>154</v>
      </c>
      <c r="G48" s="79" t="b">
        <v>0</v>
      </c>
      <c r="H48" s="79"/>
      <c r="I48" s="79"/>
      <c r="J48" s="79"/>
      <c r="K48" s="79"/>
      <c r="L48" s="79"/>
      <c r="M48" s="79"/>
      <c r="N48" s="79"/>
      <c r="O48" s="79"/>
      <c r="P48" s="1"/>
      <c r="Q48" s="1"/>
      <c r="R48" s="1"/>
      <c r="S48" s="1"/>
      <c r="T48" s="1"/>
      <c r="U48" s="1"/>
      <c r="V48" s="1"/>
      <c r="W48" s="1"/>
    </row>
    <row r="49" spans="1:23" ht="57.6" customHeight="1" x14ac:dyDescent="0.3">
      <c r="A49" s="1"/>
      <c r="B49" s="1"/>
      <c r="C49" s="1"/>
      <c r="D49" s="1"/>
      <c r="E49" s="13"/>
      <c r="F49" s="48" t="s">
        <v>155</v>
      </c>
      <c r="G49" s="79" t="b">
        <v>0</v>
      </c>
      <c r="H49" s="79"/>
      <c r="I49" s="79"/>
      <c r="J49" s="79"/>
      <c r="K49" s="79"/>
      <c r="L49" s="79"/>
      <c r="M49" s="79"/>
      <c r="N49" s="79"/>
      <c r="O49" s="79"/>
      <c r="P49" s="1"/>
      <c r="Q49" s="1"/>
      <c r="R49" s="1"/>
      <c r="S49" s="1"/>
      <c r="T49" s="1"/>
      <c r="U49" s="1"/>
      <c r="V49" s="1"/>
      <c r="W49" s="1"/>
    </row>
    <row r="50" spans="1:23" ht="57.6" customHeight="1" x14ac:dyDescent="0.3">
      <c r="A50" s="1"/>
      <c r="B50" s="1"/>
      <c r="C50" s="1"/>
      <c r="D50" s="1"/>
      <c r="E50" s="3"/>
      <c r="F50" s="47" t="s">
        <v>156</v>
      </c>
      <c r="G50" s="79" t="b">
        <v>0</v>
      </c>
      <c r="H50" s="79"/>
      <c r="I50" s="79"/>
      <c r="J50" s="79"/>
      <c r="K50" s="79"/>
      <c r="L50" s="79"/>
      <c r="M50" s="79"/>
      <c r="N50" s="79"/>
      <c r="O50" s="79"/>
      <c r="P50" s="1"/>
      <c r="Q50" s="1"/>
      <c r="R50" s="1"/>
      <c r="S50" s="1"/>
      <c r="T50" s="1"/>
      <c r="U50" s="1"/>
      <c r="V50" s="1"/>
      <c r="W50" s="1"/>
    </row>
    <row r="51" spans="1:23" ht="14.4" customHeight="1" x14ac:dyDescent="0.3">
      <c r="A51" s="1"/>
      <c r="B51" s="51">
        <v>11</v>
      </c>
      <c r="C51" s="50" t="s">
        <v>21</v>
      </c>
      <c r="D51" s="50"/>
      <c r="E51" s="50"/>
      <c r="F51" s="52" t="s">
        <v>126</v>
      </c>
      <c r="G51" s="79"/>
      <c r="H51" s="79" t="b">
        <f>AND(G52:G54)</f>
        <v>0</v>
      </c>
      <c r="I51" s="79"/>
      <c r="J51" s="79"/>
      <c r="K51" s="79"/>
      <c r="L51" s="79"/>
      <c r="M51" s="79"/>
      <c r="N51" s="79"/>
      <c r="O51" s="79"/>
      <c r="P51" s="1"/>
      <c r="Q51" s="1"/>
      <c r="R51" s="1"/>
      <c r="S51" s="1"/>
      <c r="T51" s="1"/>
      <c r="U51" s="1"/>
      <c r="V51" s="1"/>
      <c r="W51" s="1"/>
    </row>
    <row r="52" spans="1:23" ht="57.6" customHeight="1" x14ac:dyDescent="0.3">
      <c r="A52" s="1"/>
      <c r="B52" s="61" t="s">
        <v>126</v>
      </c>
      <c r="C52" s="1"/>
      <c r="D52" s="1"/>
      <c r="E52" s="13"/>
      <c r="F52" s="48" t="s">
        <v>157</v>
      </c>
      <c r="G52" s="79" t="b">
        <v>0</v>
      </c>
      <c r="H52" s="79"/>
      <c r="I52" s="79"/>
      <c r="J52" s="79"/>
      <c r="K52" s="79"/>
      <c r="L52" s="79"/>
      <c r="M52" s="79"/>
      <c r="N52" s="79"/>
      <c r="O52" s="79"/>
      <c r="P52" s="1"/>
      <c r="Q52" s="1"/>
      <c r="R52" s="1"/>
      <c r="S52" s="1"/>
      <c r="T52" s="1"/>
      <c r="U52" s="1"/>
      <c r="V52" s="1"/>
      <c r="W52" s="1"/>
    </row>
    <row r="53" spans="1:23" ht="57.6" customHeight="1" x14ac:dyDescent="0.3">
      <c r="A53" s="1"/>
      <c r="B53" s="1"/>
      <c r="C53" s="1"/>
      <c r="E53" s="3"/>
      <c r="F53" s="47" t="s">
        <v>158</v>
      </c>
      <c r="G53" s="79" t="b">
        <v>0</v>
      </c>
      <c r="H53" s="79"/>
      <c r="I53" s="79"/>
      <c r="J53" s="79"/>
      <c r="K53" s="79"/>
      <c r="L53" s="79"/>
      <c r="M53" s="79"/>
      <c r="N53" s="79"/>
      <c r="O53" s="79"/>
      <c r="P53" s="1"/>
      <c r="Q53" s="1"/>
      <c r="R53" s="1"/>
      <c r="S53" s="1"/>
      <c r="T53" s="1"/>
      <c r="U53" s="1"/>
      <c r="V53" s="1"/>
      <c r="W53" s="1"/>
    </row>
    <row r="54" spans="1:23" ht="57.6" customHeight="1" x14ac:dyDescent="0.3">
      <c r="A54" s="1"/>
      <c r="B54" s="1"/>
      <c r="C54" s="1"/>
      <c r="D54" s="1"/>
      <c r="E54" s="3"/>
      <c r="F54" s="47" t="s">
        <v>159</v>
      </c>
      <c r="G54" s="79" t="b">
        <v>0</v>
      </c>
      <c r="H54" s="79"/>
      <c r="I54" s="79"/>
      <c r="J54" s="79"/>
      <c r="K54" s="79"/>
      <c r="L54" s="79"/>
      <c r="M54" s="79"/>
      <c r="N54" s="79"/>
      <c r="O54" s="79"/>
      <c r="P54" s="1"/>
      <c r="Q54" s="1"/>
      <c r="R54" s="1"/>
      <c r="S54" s="1"/>
      <c r="T54" s="1"/>
      <c r="U54" s="1"/>
      <c r="V54" s="1"/>
      <c r="W54" s="1"/>
    </row>
    <row r="55" spans="1:23" ht="14.4" customHeight="1" x14ac:dyDescent="0.3">
      <c r="A55" s="63" t="s">
        <v>516</v>
      </c>
      <c r="B55" s="59" t="s">
        <v>162</v>
      </c>
      <c r="C55" s="56"/>
      <c r="D55" s="56"/>
      <c r="E55" s="56"/>
      <c r="F55" s="57"/>
      <c r="G55" s="79"/>
      <c r="H55" s="103" t="b">
        <f>AND(H56,H62,H66,H71,H76,H83,H87,H91)</f>
        <v>0</v>
      </c>
      <c r="I55" s="79"/>
      <c r="J55" s="79"/>
      <c r="K55" s="79"/>
      <c r="L55" s="79"/>
      <c r="M55" s="79"/>
      <c r="N55" s="79"/>
      <c r="O55" s="79"/>
      <c r="P55" s="1"/>
      <c r="Q55" s="1"/>
      <c r="R55" s="1"/>
      <c r="S55" s="1"/>
      <c r="T55" s="1"/>
      <c r="U55" s="1"/>
      <c r="V55" s="1"/>
      <c r="W55" s="1"/>
    </row>
    <row r="56" spans="1:23" ht="14.4" customHeight="1" x14ac:dyDescent="0.3">
      <c r="A56" s="1"/>
      <c r="B56" s="51">
        <v>1</v>
      </c>
      <c r="C56" s="50" t="s">
        <v>24</v>
      </c>
      <c r="D56" s="50"/>
      <c r="E56" s="50"/>
      <c r="F56" s="52" t="s">
        <v>126</v>
      </c>
      <c r="G56" s="79"/>
      <c r="H56" s="79" t="b">
        <f>AND(G57:G61)</f>
        <v>0</v>
      </c>
      <c r="I56" s="79"/>
      <c r="J56" s="79"/>
      <c r="K56" s="79"/>
      <c r="L56" s="79"/>
      <c r="M56" s="79"/>
      <c r="N56" s="79"/>
      <c r="O56" s="79"/>
      <c r="P56" s="1"/>
      <c r="Q56" s="1"/>
      <c r="R56" s="1"/>
      <c r="S56" s="1"/>
      <c r="T56" s="1"/>
      <c r="U56" s="1"/>
      <c r="V56" s="1"/>
      <c r="W56" s="1"/>
    </row>
    <row r="57" spans="1:23" ht="57.6" customHeight="1" x14ac:dyDescent="0.3">
      <c r="A57" s="1"/>
      <c r="B57" s="61" t="s">
        <v>126</v>
      </c>
      <c r="C57" s="1"/>
      <c r="D57" s="1"/>
      <c r="E57" s="13"/>
      <c r="F57" s="48" t="s">
        <v>163</v>
      </c>
      <c r="G57" s="79" t="b">
        <v>0</v>
      </c>
      <c r="H57" s="79"/>
      <c r="I57" s="79"/>
      <c r="J57" s="79"/>
      <c r="K57" s="79"/>
      <c r="L57" s="79"/>
      <c r="M57" s="79"/>
      <c r="N57" s="79"/>
      <c r="O57" s="79"/>
      <c r="P57" s="1"/>
      <c r="Q57" s="1"/>
      <c r="R57" s="1"/>
      <c r="S57" s="1"/>
      <c r="T57" s="1"/>
      <c r="U57" s="1"/>
      <c r="V57" s="1"/>
      <c r="W57" s="1"/>
    </row>
    <row r="58" spans="1:23" ht="57.6" customHeight="1" x14ac:dyDescent="0.3">
      <c r="A58" s="1"/>
      <c r="B58" s="1"/>
      <c r="C58" s="1"/>
      <c r="D58" s="1"/>
      <c r="E58" s="3"/>
      <c r="F58" s="47" t="s">
        <v>164</v>
      </c>
      <c r="G58" s="79" t="b">
        <v>0</v>
      </c>
      <c r="H58" s="79"/>
      <c r="I58" s="79"/>
      <c r="J58" s="79"/>
      <c r="K58" s="79"/>
      <c r="L58" s="79"/>
      <c r="M58" s="79"/>
      <c r="N58" s="79"/>
      <c r="O58" s="79"/>
      <c r="P58" s="1"/>
      <c r="Q58" s="1"/>
      <c r="R58" s="1"/>
      <c r="S58" s="1"/>
      <c r="T58" s="1"/>
      <c r="U58" s="1"/>
      <c r="V58" s="1"/>
      <c r="W58" s="1"/>
    </row>
    <row r="59" spans="1:23" ht="57.6" customHeight="1" x14ac:dyDescent="0.3">
      <c r="A59" s="1"/>
      <c r="B59" s="1"/>
      <c r="C59" s="1"/>
      <c r="D59" s="1"/>
      <c r="E59" s="3"/>
      <c r="F59" s="47" t="s">
        <v>165</v>
      </c>
      <c r="G59" s="79" t="b">
        <v>0</v>
      </c>
      <c r="H59" s="79"/>
      <c r="I59" s="79"/>
      <c r="J59" s="79"/>
      <c r="K59" s="79"/>
      <c r="L59" s="79"/>
      <c r="M59" s="79"/>
      <c r="N59" s="79"/>
      <c r="O59" s="79"/>
      <c r="P59" s="1"/>
      <c r="Q59" s="1"/>
      <c r="R59" s="1"/>
      <c r="S59" s="1"/>
      <c r="T59" s="1"/>
      <c r="U59" s="1"/>
      <c r="V59" s="1"/>
      <c r="W59" s="1"/>
    </row>
    <row r="60" spans="1:23" ht="57.6" customHeight="1" x14ac:dyDescent="0.3">
      <c r="A60" s="1"/>
      <c r="B60" s="1"/>
      <c r="C60" s="1"/>
      <c r="D60" s="1"/>
      <c r="E60" s="13"/>
      <c r="F60" s="48" t="s">
        <v>166</v>
      </c>
      <c r="G60" s="79" t="b">
        <v>0</v>
      </c>
      <c r="H60" s="79"/>
      <c r="I60" s="79"/>
      <c r="J60" s="79"/>
      <c r="K60" s="79"/>
      <c r="L60" s="79"/>
      <c r="M60" s="79"/>
      <c r="N60" s="79"/>
      <c r="O60" s="79"/>
      <c r="P60" s="1"/>
      <c r="Q60" s="1"/>
      <c r="R60" s="1"/>
      <c r="S60" s="1"/>
      <c r="T60" s="1"/>
      <c r="U60" s="1"/>
      <c r="V60" s="1"/>
      <c r="W60" s="1"/>
    </row>
    <row r="61" spans="1:23" ht="57.6" customHeight="1" x14ac:dyDescent="0.3">
      <c r="A61" s="1"/>
      <c r="B61" s="1"/>
      <c r="C61" s="1"/>
      <c r="D61" s="1"/>
      <c r="E61" s="3"/>
      <c r="F61" s="47" t="s">
        <v>167</v>
      </c>
      <c r="G61" s="79" t="b">
        <v>0</v>
      </c>
      <c r="H61" s="79"/>
      <c r="I61" s="79"/>
      <c r="J61" s="79"/>
      <c r="K61" s="79"/>
      <c r="L61" s="79"/>
      <c r="M61" s="79"/>
      <c r="N61" s="79"/>
      <c r="O61" s="79"/>
      <c r="P61" s="1"/>
      <c r="Q61" s="1"/>
      <c r="R61" s="1"/>
      <c r="S61" s="1"/>
      <c r="T61" s="1"/>
      <c r="U61" s="1"/>
      <c r="V61" s="1"/>
      <c r="W61" s="1"/>
    </row>
    <row r="62" spans="1:23" ht="14.4" customHeight="1" x14ac:dyDescent="0.3">
      <c r="A62" s="1"/>
      <c r="B62" s="51">
        <v>2</v>
      </c>
      <c r="C62" s="50" t="s">
        <v>25</v>
      </c>
      <c r="D62" s="50"/>
      <c r="E62" s="50"/>
      <c r="F62" s="52" t="s">
        <v>126</v>
      </c>
      <c r="G62" s="79"/>
      <c r="H62" s="79" t="b">
        <f>AND(G63:G65)</f>
        <v>0</v>
      </c>
      <c r="I62" s="79"/>
      <c r="J62" s="79"/>
      <c r="K62" s="79"/>
      <c r="L62" s="79"/>
      <c r="M62" s="79"/>
      <c r="N62" s="79"/>
      <c r="O62" s="79"/>
      <c r="P62" s="1"/>
      <c r="Q62" s="1"/>
      <c r="R62" s="1"/>
      <c r="S62" s="1"/>
      <c r="T62" s="1"/>
      <c r="U62" s="1"/>
      <c r="V62" s="1"/>
      <c r="W62" s="1"/>
    </row>
    <row r="63" spans="1:23" ht="57.6" customHeight="1" x14ac:dyDescent="0.3">
      <c r="A63" s="1"/>
      <c r="B63" s="61" t="s">
        <v>126</v>
      </c>
      <c r="C63" s="1"/>
      <c r="D63" s="1"/>
      <c r="E63" s="13"/>
      <c r="F63" s="48" t="s">
        <v>168</v>
      </c>
      <c r="G63" s="79" t="b">
        <v>0</v>
      </c>
      <c r="H63" s="79"/>
      <c r="I63" s="79"/>
      <c r="J63" s="79"/>
      <c r="K63" s="79"/>
      <c r="L63" s="79"/>
      <c r="M63" s="79"/>
      <c r="N63" s="79"/>
      <c r="O63" s="79"/>
      <c r="P63" s="1"/>
      <c r="Q63" s="1"/>
      <c r="R63" s="1"/>
      <c r="S63" s="1"/>
      <c r="T63" s="1"/>
      <c r="U63" s="1"/>
      <c r="V63" s="1"/>
      <c r="W63" s="1"/>
    </row>
    <row r="64" spans="1:23" ht="57.6" customHeight="1" x14ac:dyDescent="0.3">
      <c r="A64" s="1"/>
      <c r="B64" s="1"/>
      <c r="C64" s="1"/>
      <c r="D64" s="1"/>
      <c r="E64" s="3"/>
      <c r="F64" s="47" t="s">
        <v>169</v>
      </c>
      <c r="G64" s="79" t="b">
        <v>0</v>
      </c>
      <c r="H64" s="79"/>
      <c r="I64" s="79"/>
      <c r="J64" s="79"/>
      <c r="K64" s="79"/>
      <c r="L64" s="79"/>
      <c r="M64" s="79"/>
      <c r="N64" s="79"/>
      <c r="O64" s="79"/>
      <c r="P64" s="1"/>
      <c r="Q64" s="1"/>
      <c r="R64" s="1"/>
      <c r="S64" s="1"/>
      <c r="T64" s="1"/>
      <c r="U64" s="1"/>
      <c r="V64" s="1"/>
      <c r="W64" s="1"/>
    </row>
    <row r="65" spans="1:23" ht="57.6" customHeight="1" x14ac:dyDescent="0.3">
      <c r="A65" s="1"/>
      <c r="B65" s="1"/>
      <c r="C65" s="1"/>
      <c r="D65" s="1"/>
      <c r="E65" s="3"/>
      <c r="F65" s="47" t="s">
        <v>170</v>
      </c>
      <c r="G65" s="79" t="b">
        <v>0</v>
      </c>
      <c r="H65" s="79"/>
      <c r="I65" s="79"/>
      <c r="J65" s="79"/>
      <c r="K65" s="79"/>
      <c r="L65" s="79"/>
      <c r="M65" s="79"/>
      <c r="N65" s="79"/>
      <c r="O65" s="79"/>
      <c r="P65" s="1"/>
      <c r="Q65" s="1"/>
      <c r="R65" s="1"/>
      <c r="S65" s="1"/>
      <c r="T65" s="1"/>
      <c r="U65" s="1"/>
      <c r="V65" s="1"/>
      <c r="W65" s="1"/>
    </row>
    <row r="66" spans="1:23" ht="14.4" customHeight="1" x14ac:dyDescent="0.3">
      <c r="A66" s="1"/>
      <c r="B66" s="51">
        <v>3</v>
      </c>
      <c r="C66" s="50" t="s">
        <v>26</v>
      </c>
      <c r="D66" s="50"/>
      <c r="E66" s="50"/>
      <c r="F66" s="52" t="s">
        <v>126</v>
      </c>
      <c r="G66" s="79"/>
      <c r="H66" s="79" t="b">
        <f>AND(G67:G70)</f>
        <v>0</v>
      </c>
      <c r="I66" s="79"/>
      <c r="J66" s="79"/>
      <c r="K66" s="79"/>
      <c r="L66" s="79"/>
      <c r="M66" s="79"/>
      <c r="N66" s="79"/>
      <c r="O66" s="79"/>
      <c r="P66" s="1"/>
      <c r="Q66" s="1"/>
      <c r="R66" s="1"/>
      <c r="S66" s="1"/>
      <c r="T66" s="1"/>
      <c r="U66" s="1"/>
      <c r="V66" s="1"/>
      <c r="W66" s="1"/>
    </row>
    <row r="67" spans="1:23" ht="57.6" customHeight="1" x14ac:dyDescent="0.3">
      <c r="A67" s="1"/>
      <c r="B67" s="61" t="s">
        <v>126</v>
      </c>
      <c r="C67" s="1"/>
      <c r="D67" s="1"/>
      <c r="E67" s="13"/>
      <c r="F67" s="48" t="s">
        <v>171</v>
      </c>
      <c r="G67" s="79" t="b">
        <v>0</v>
      </c>
      <c r="H67" s="79"/>
      <c r="I67" s="79"/>
      <c r="J67" s="79"/>
      <c r="K67" s="79"/>
      <c r="L67" s="79"/>
      <c r="M67" s="79"/>
      <c r="N67" s="79"/>
      <c r="O67" s="79"/>
      <c r="P67" s="1"/>
      <c r="Q67" s="1"/>
      <c r="R67" s="1"/>
      <c r="S67" s="1"/>
      <c r="T67" s="1"/>
      <c r="U67" s="1"/>
      <c r="V67" s="1"/>
      <c r="W67" s="1"/>
    </row>
    <row r="68" spans="1:23" ht="57.6" customHeight="1" x14ac:dyDescent="0.3">
      <c r="A68" s="1"/>
      <c r="B68" s="1"/>
      <c r="C68" s="1"/>
      <c r="D68" s="1"/>
      <c r="E68" s="3"/>
      <c r="F68" s="47" t="s">
        <v>172</v>
      </c>
      <c r="G68" s="79" t="b">
        <v>0</v>
      </c>
      <c r="H68" s="79"/>
      <c r="I68" s="79"/>
      <c r="J68" s="79"/>
      <c r="K68" s="79"/>
      <c r="L68" s="79"/>
      <c r="M68" s="79"/>
      <c r="N68" s="79"/>
      <c r="O68" s="79"/>
      <c r="P68" s="1"/>
      <c r="Q68" s="1"/>
      <c r="R68" s="1"/>
      <c r="S68" s="1"/>
      <c r="T68" s="1"/>
      <c r="U68" s="1"/>
      <c r="V68" s="1"/>
      <c r="W68" s="1"/>
    </row>
    <row r="69" spans="1:23" ht="57.6" customHeight="1" x14ac:dyDescent="0.3">
      <c r="A69" s="1"/>
      <c r="B69" s="1"/>
      <c r="C69" s="1"/>
      <c r="D69" s="1"/>
      <c r="E69" s="3"/>
      <c r="F69" s="47" t="s">
        <v>173</v>
      </c>
      <c r="G69" s="79" t="b">
        <v>0</v>
      </c>
      <c r="H69" s="79"/>
      <c r="I69" s="79"/>
      <c r="J69" s="79"/>
      <c r="K69" s="79"/>
      <c r="L69" s="79"/>
      <c r="M69" s="79"/>
      <c r="N69" s="79"/>
      <c r="O69" s="79"/>
      <c r="P69" s="1"/>
      <c r="Q69" s="1"/>
      <c r="R69" s="1"/>
      <c r="S69" s="1"/>
      <c r="T69" s="1"/>
      <c r="U69" s="1"/>
      <c r="V69" s="1"/>
      <c r="W69" s="1"/>
    </row>
    <row r="70" spans="1:23" ht="57.6" customHeight="1" x14ac:dyDescent="0.3">
      <c r="A70" s="1"/>
      <c r="B70" s="1"/>
      <c r="C70" s="1"/>
      <c r="D70" s="1"/>
      <c r="E70" s="3"/>
      <c r="F70" s="47" t="s">
        <v>174</v>
      </c>
      <c r="G70" s="79" t="b">
        <v>0</v>
      </c>
      <c r="H70" s="79"/>
      <c r="I70" s="79"/>
      <c r="J70" s="79"/>
      <c r="K70" s="79"/>
      <c r="L70" s="79"/>
      <c r="M70" s="79"/>
      <c r="N70" s="79"/>
      <c r="O70" s="79"/>
      <c r="P70" s="1"/>
      <c r="Q70" s="1"/>
      <c r="R70" s="1"/>
      <c r="S70" s="1"/>
      <c r="T70" s="1"/>
      <c r="U70" s="1"/>
      <c r="V70" s="1"/>
      <c r="W70" s="1"/>
    </row>
    <row r="71" spans="1:23" ht="14.4" customHeight="1" x14ac:dyDescent="0.3">
      <c r="A71" s="1"/>
      <c r="B71" s="51">
        <v>4</v>
      </c>
      <c r="C71" s="50" t="s">
        <v>27</v>
      </c>
      <c r="D71" s="50"/>
      <c r="E71" s="50"/>
      <c r="F71" s="52" t="s">
        <v>126</v>
      </c>
      <c r="G71" s="79"/>
      <c r="H71" s="79" t="b">
        <f>AND(G72:G75)</f>
        <v>0</v>
      </c>
      <c r="I71" s="79"/>
      <c r="J71" s="79"/>
      <c r="K71" s="79"/>
      <c r="L71" s="79"/>
      <c r="M71" s="79"/>
      <c r="N71" s="79"/>
      <c r="O71" s="79"/>
      <c r="P71" s="1"/>
      <c r="Q71" s="1"/>
      <c r="R71" s="1"/>
      <c r="S71" s="1"/>
      <c r="T71" s="1"/>
      <c r="U71" s="1"/>
      <c r="V71" s="1"/>
      <c r="W71" s="1"/>
    </row>
    <row r="72" spans="1:23" ht="57.6" customHeight="1" x14ac:dyDescent="0.3">
      <c r="A72" s="1"/>
      <c r="B72" s="61" t="s">
        <v>126</v>
      </c>
      <c r="C72" s="1"/>
      <c r="D72" s="1"/>
      <c r="E72" s="13"/>
      <c r="F72" s="48" t="s">
        <v>175</v>
      </c>
      <c r="G72" s="79" t="b">
        <v>0</v>
      </c>
      <c r="H72" s="79"/>
      <c r="I72" s="79"/>
      <c r="J72" s="79"/>
      <c r="K72" s="79"/>
      <c r="L72" s="79"/>
      <c r="M72" s="79"/>
      <c r="N72" s="79"/>
      <c r="O72" s="79"/>
      <c r="P72" s="1"/>
      <c r="Q72" s="1"/>
      <c r="R72" s="1"/>
      <c r="S72" s="1"/>
      <c r="T72" s="1"/>
      <c r="U72" s="1"/>
      <c r="V72" s="1"/>
      <c r="W72" s="1"/>
    </row>
    <row r="73" spans="1:23" ht="57.6" customHeight="1" x14ac:dyDescent="0.3">
      <c r="A73" s="1"/>
      <c r="B73" s="1"/>
      <c r="C73" s="1"/>
      <c r="D73" s="1"/>
      <c r="E73" s="3"/>
      <c r="F73" s="47" t="s">
        <v>176</v>
      </c>
      <c r="G73" s="79" t="b">
        <v>0</v>
      </c>
      <c r="H73" s="79"/>
      <c r="I73" s="79"/>
      <c r="J73" s="79"/>
      <c r="K73" s="79"/>
      <c r="L73" s="79"/>
      <c r="M73" s="79"/>
      <c r="N73" s="79"/>
      <c r="O73" s="79"/>
      <c r="P73" s="1"/>
      <c r="Q73" s="1"/>
      <c r="R73" s="1"/>
      <c r="S73" s="1"/>
      <c r="T73" s="1"/>
      <c r="U73" s="1"/>
      <c r="V73" s="1"/>
      <c r="W73" s="1"/>
    </row>
    <row r="74" spans="1:23" ht="57.6" customHeight="1" x14ac:dyDescent="0.3">
      <c r="A74" s="1"/>
      <c r="B74" s="1"/>
      <c r="C74" s="1"/>
      <c r="D74" s="1"/>
      <c r="E74" s="3"/>
      <c r="F74" s="47" t="s">
        <v>177</v>
      </c>
      <c r="G74" s="79" t="b">
        <v>0</v>
      </c>
      <c r="H74" s="79"/>
      <c r="I74" s="79"/>
      <c r="J74" s="79"/>
      <c r="K74" s="79"/>
      <c r="L74" s="79"/>
      <c r="M74" s="79"/>
      <c r="N74" s="79"/>
      <c r="O74" s="79"/>
      <c r="P74" s="1"/>
      <c r="Q74" s="1"/>
      <c r="R74" s="1"/>
      <c r="S74" s="1"/>
      <c r="T74" s="1"/>
      <c r="U74" s="1"/>
      <c r="V74" s="1"/>
      <c r="W74" s="1"/>
    </row>
    <row r="75" spans="1:23" ht="57.6" customHeight="1" x14ac:dyDescent="0.3">
      <c r="A75" s="1"/>
      <c r="B75" s="1"/>
      <c r="C75" s="1"/>
      <c r="D75" s="1"/>
      <c r="E75" s="3"/>
      <c r="F75" s="47" t="s">
        <v>178</v>
      </c>
      <c r="G75" s="79" t="b">
        <v>0</v>
      </c>
      <c r="H75" s="79"/>
      <c r="I75" s="79"/>
      <c r="J75" s="79"/>
      <c r="K75" s="79"/>
      <c r="L75" s="79"/>
      <c r="M75" s="79"/>
      <c r="N75" s="79"/>
      <c r="O75" s="79"/>
      <c r="P75" s="1"/>
      <c r="Q75" s="1"/>
      <c r="R75" s="1"/>
      <c r="S75" s="1"/>
      <c r="T75" s="1"/>
      <c r="U75" s="1"/>
      <c r="V75" s="1"/>
      <c r="W75" s="1"/>
    </row>
    <row r="76" spans="1:23" ht="14.4" customHeight="1" x14ac:dyDescent="0.3">
      <c r="A76" s="1"/>
      <c r="B76" s="51">
        <v>5</v>
      </c>
      <c r="C76" s="50" t="s">
        <v>28</v>
      </c>
      <c r="D76" s="50"/>
      <c r="E76" s="50"/>
      <c r="F76" s="52" t="s">
        <v>126</v>
      </c>
      <c r="G76" s="79"/>
      <c r="H76" s="79" t="b">
        <f>AND(G77:G82)</f>
        <v>0</v>
      </c>
      <c r="I76" s="79"/>
      <c r="J76" s="79"/>
      <c r="K76" s="79"/>
      <c r="L76" s="79"/>
      <c r="M76" s="79"/>
      <c r="N76" s="79"/>
      <c r="O76" s="79"/>
      <c r="P76" s="1"/>
      <c r="Q76" s="1"/>
      <c r="R76" s="1"/>
      <c r="S76" s="1"/>
      <c r="T76" s="1"/>
      <c r="U76" s="1"/>
      <c r="V76" s="1"/>
      <c r="W76" s="1"/>
    </row>
    <row r="77" spans="1:23" ht="57.6" customHeight="1" x14ac:dyDescent="0.3">
      <c r="A77" s="1"/>
      <c r="B77" s="61" t="s">
        <v>126</v>
      </c>
      <c r="C77" s="1"/>
      <c r="D77" s="1"/>
      <c r="E77" s="13"/>
      <c r="F77" s="48" t="s">
        <v>179</v>
      </c>
      <c r="G77" s="79" t="b">
        <v>0</v>
      </c>
      <c r="H77" s="79"/>
      <c r="I77" s="79"/>
      <c r="J77" s="79"/>
      <c r="K77" s="79"/>
      <c r="L77" s="79"/>
      <c r="M77" s="79"/>
      <c r="N77" s="79"/>
      <c r="O77" s="79"/>
      <c r="P77" s="1"/>
      <c r="Q77" s="1"/>
      <c r="R77" s="1"/>
      <c r="S77" s="1"/>
      <c r="T77" s="1"/>
      <c r="U77" s="1"/>
      <c r="V77" s="1"/>
      <c r="W77" s="1"/>
    </row>
    <row r="78" spans="1:23" ht="57.6" customHeight="1" x14ac:dyDescent="0.3">
      <c r="A78" s="1"/>
      <c r="B78" s="1"/>
      <c r="C78" s="1"/>
      <c r="D78" s="1"/>
      <c r="E78" s="3"/>
      <c r="F78" s="47" t="s">
        <v>180</v>
      </c>
      <c r="G78" s="79" t="b">
        <v>0</v>
      </c>
      <c r="H78" s="79"/>
      <c r="I78" s="79"/>
      <c r="J78" s="79"/>
      <c r="K78" s="79"/>
      <c r="L78" s="79"/>
      <c r="M78" s="79"/>
      <c r="N78" s="79"/>
      <c r="O78" s="79"/>
      <c r="P78" s="1"/>
      <c r="Q78" s="1"/>
      <c r="R78" s="1"/>
      <c r="S78" s="1"/>
      <c r="T78" s="1"/>
      <c r="U78" s="1"/>
      <c r="V78" s="1"/>
      <c r="W78" s="1"/>
    </row>
    <row r="79" spans="1:23" ht="57.6" customHeight="1" x14ac:dyDescent="0.3">
      <c r="A79" s="1"/>
      <c r="B79" s="1"/>
      <c r="C79" s="1"/>
      <c r="D79" s="1"/>
      <c r="E79" s="3"/>
      <c r="F79" s="47" t="s">
        <v>181</v>
      </c>
      <c r="G79" s="79" t="b">
        <v>0</v>
      </c>
      <c r="H79" s="79"/>
      <c r="I79" s="79"/>
      <c r="J79" s="79"/>
      <c r="K79" s="79"/>
      <c r="L79" s="79"/>
      <c r="M79" s="79"/>
      <c r="N79" s="79"/>
      <c r="O79" s="79"/>
      <c r="P79" s="1"/>
      <c r="Q79" s="1"/>
      <c r="R79" s="1"/>
      <c r="S79" s="1"/>
      <c r="T79" s="1"/>
      <c r="U79" s="1"/>
      <c r="V79" s="1"/>
      <c r="W79" s="1"/>
    </row>
    <row r="80" spans="1:23" ht="57.6" customHeight="1" x14ac:dyDescent="0.3">
      <c r="A80" s="1"/>
      <c r="B80" s="1"/>
      <c r="C80" s="1"/>
      <c r="D80" s="1"/>
      <c r="E80" s="3"/>
      <c r="F80" s="47" t="s">
        <v>182</v>
      </c>
      <c r="G80" s="79" t="b">
        <v>0</v>
      </c>
      <c r="H80" s="79"/>
      <c r="I80" s="79"/>
      <c r="J80" s="79"/>
      <c r="K80" s="79"/>
      <c r="L80" s="79"/>
      <c r="M80" s="79"/>
      <c r="N80" s="79"/>
      <c r="O80" s="79"/>
      <c r="P80" s="1"/>
      <c r="Q80" s="1"/>
      <c r="R80" s="1"/>
      <c r="S80" s="1"/>
      <c r="T80" s="1"/>
      <c r="U80" s="1"/>
      <c r="V80" s="1"/>
      <c r="W80" s="1"/>
    </row>
    <row r="81" spans="1:23" ht="57.6" customHeight="1" x14ac:dyDescent="0.3">
      <c r="A81" s="1"/>
      <c r="B81" s="1"/>
      <c r="C81" s="1"/>
      <c r="D81" s="1"/>
      <c r="E81" s="3"/>
      <c r="F81" s="47" t="s">
        <v>183</v>
      </c>
      <c r="G81" s="79" t="b">
        <v>0</v>
      </c>
      <c r="H81" s="79"/>
      <c r="I81" s="79"/>
      <c r="J81" s="79"/>
      <c r="K81" s="79"/>
      <c r="L81" s="79"/>
      <c r="M81" s="79"/>
      <c r="N81" s="79"/>
      <c r="O81" s="79"/>
      <c r="P81" s="1"/>
      <c r="Q81" s="1"/>
      <c r="R81" s="1"/>
      <c r="S81" s="1"/>
      <c r="T81" s="1"/>
      <c r="U81" s="1"/>
      <c r="V81" s="1"/>
      <c r="W81" s="1"/>
    </row>
    <row r="82" spans="1:23" ht="57.6" customHeight="1" x14ac:dyDescent="0.3">
      <c r="A82" s="1"/>
      <c r="B82" s="1"/>
      <c r="C82" s="1"/>
      <c r="D82" s="1"/>
      <c r="E82" s="3"/>
      <c r="F82" s="47" t="s">
        <v>184</v>
      </c>
      <c r="G82" s="79" t="b">
        <v>0</v>
      </c>
      <c r="H82" s="79"/>
      <c r="I82" s="79"/>
      <c r="J82" s="79"/>
      <c r="K82" s="79"/>
      <c r="L82" s="79"/>
      <c r="M82" s="79"/>
      <c r="N82" s="79"/>
      <c r="O82" s="79"/>
      <c r="P82" s="1"/>
      <c r="Q82" s="1"/>
      <c r="R82" s="1"/>
      <c r="S82" s="1"/>
      <c r="T82" s="1"/>
      <c r="U82" s="1"/>
      <c r="V82" s="1"/>
      <c r="W82" s="1"/>
    </row>
    <row r="83" spans="1:23" ht="14.4" customHeight="1" x14ac:dyDescent="0.3">
      <c r="A83" s="1"/>
      <c r="B83" s="51">
        <v>6</v>
      </c>
      <c r="C83" s="50" t="s">
        <v>29</v>
      </c>
      <c r="D83" s="50"/>
      <c r="E83" s="50"/>
      <c r="F83" s="52" t="s">
        <v>126</v>
      </c>
      <c r="G83" s="79"/>
      <c r="H83" s="79" t="b">
        <f>AND(G84:G86)</f>
        <v>0</v>
      </c>
      <c r="I83" s="79"/>
      <c r="J83" s="79"/>
      <c r="K83" s="79"/>
      <c r="L83" s="79"/>
      <c r="M83" s="79"/>
      <c r="N83" s="79"/>
      <c r="O83" s="79"/>
      <c r="P83" s="1"/>
      <c r="Q83" s="1"/>
      <c r="R83" s="1"/>
      <c r="S83" s="1"/>
      <c r="T83" s="1"/>
      <c r="U83" s="1"/>
      <c r="V83" s="1"/>
      <c r="W83" s="1"/>
    </row>
    <row r="84" spans="1:23" ht="57.6" customHeight="1" x14ac:dyDescent="0.3">
      <c r="A84" s="1"/>
      <c r="B84" s="61" t="s">
        <v>126</v>
      </c>
      <c r="C84" s="1"/>
      <c r="D84" s="1"/>
      <c r="E84" s="13"/>
      <c r="F84" s="48" t="s">
        <v>185</v>
      </c>
      <c r="G84" s="79" t="b">
        <v>0</v>
      </c>
      <c r="H84" s="79"/>
      <c r="I84" s="79"/>
      <c r="J84" s="79"/>
      <c r="K84" s="79"/>
      <c r="L84" s="79"/>
      <c r="M84" s="79"/>
      <c r="N84" s="79"/>
      <c r="O84" s="79"/>
      <c r="P84" s="1"/>
      <c r="Q84" s="1"/>
      <c r="R84" s="1"/>
      <c r="S84" s="1"/>
      <c r="T84" s="1"/>
      <c r="U84" s="1"/>
      <c r="V84" s="1"/>
      <c r="W84" s="1"/>
    </row>
    <row r="85" spans="1:23" ht="57.6" customHeight="1" x14ac:dyDescent="0.3">
      <c r="A85" s="1"/>
      <c r="B85" s="1"/>
      <c r="C85" s="1"/>
      <c r="E85" s="3"/>
      <c r="F85" s="47" t="s">
        <v>186</v>
      </c>
      <c r="G85" s="79" t="b">
        <v>0</v>
      </c>
      <c r="H85" s="79"/>
      <c r="I85" s="79"/>
      <c r="J85" s="79"/>
      <c r="K85" s="79"/>
      <c r="L85" s="79"/>
      <c r="M85" s="79"/>
      <c r="N85" s="79"/>
      <c r="O85" s="79"/>
      <c r="P85" s="1"/>
      <c r="Q85" s="1"/>
      <c r="R85" s="1"/>
      <c r="S85" s="1"/>
      <c r="T85" s="1"/>
      <c r="U85" s="1"/>
      <c r="V85" s="1"/>
      <c r="W85" s="1"/>
    </row>
    <row r="86" spans="1:23" ht="57.6" customHeight="1" x14ac:dyDescent="0.3">
      <c r="A86" s="1"/>
      <c r="B86" s="1"/>
      <c r="C86" s="1"/>
      <c r="D86" s="1"/>
      <c r="E86" s="3"/>
      <c r="F86" s="47" t="s">
        <v>187</v>
      </c>
      <c r="G86" s="79" t="b">
        <v>0</v>
      </c>
      <c r="H86" s="79"/>
      <c r="I86" s="79"/>
      <c r="J86" s="79"/>
      <c r="K86" s="79"/>
      <c r="L86" s="79"/>
      <c r="M86" s="79"/>
      <c r="N86" s="79"/>
      <c r="O86" s="79"/>
      <c r="P86" s="1"/>
      <c r="Q86" s="1"/>
      <c r="R86" s="1"/>
      <c r="S86" s="1"/>
      <c r="T86" s="1"/>
      <c r="U86" s="1"/>
      <c r="V86" s="1"/>
      <c r="W86" s="1"/>
    </row>
    <row r="87" spans="1:23" ht="14.4" customHeight="1" x14ac:dyDescent="0.3">
      <c r="A87" s="1"/>
      <c r="B87" s="51">
        <v>7</v>
      </c>
      <c r="C87" s="50" t="s">
        <v>30</v>
      </c>
      <c r="D87" s="50"/>
      <c r="E87" s="50"/>
      <c r="F87" s="52" t="s">
        <v>126</v>
      </c>
      <c r="G87" s="79"/>
      <c r="H87" s="79" t="b">
        <f>AND(G88:G90)</f>
        <v>0</v>
      </c>
      <c r="I87" s="79"/>
      <c r="J87" s="79"/>
      <c r="K87" s="79"/>
      <c r="L87" s="79"/>
      <c r="M87" s="79"/>
      <c r="N87" s="79"/>
      <c r="O87" s="79"/>
      <c r="P87" s="1"/>
      <c r="Q87" s="1"/>
      <c r="R87" s="1"/>
      <c r="S87" s="1"/>
      <c r="T87" s="1"/>
      <c r="U87" s="1"/>
      <c r="V87" s="1"/>
      <c r="W87" s="1"/>
    </row>
    <row r="88" spans="1:23" ht="57.6" customHeight="1" x14ac:dyDescent="0.3">
      <c r="A88" s="1"/>
      <c r="B88" s="61" t="s">
        <v>126</v>
      </c>
      <c r="C88" s="1"/>
      <c r="D88" s="1"/>
      <c r="E88" s="13"/>
      <c r="F88" s="48" t="s">
        <v>188</v>
      </c>
      <c r="G88" s="79" t="b">
        <v>0</v>
      </c>
      <c r="H88" s="79"/>
      <c r="I88" s="79"/>
      <c r="J88" s="79"/>
      <c r="K88" s="79"/>
      <c r="L88" s="79"/>
      <c r="M88" s="79"/>
      <c r="N88" s="79"/>
      <c r="O88" s="79"/>
      <c r="P88" s="1"/>
      <c r="Q88" s="1"/>
      <c r="R88" s="1"/>
      <c r="S88" s="1"/>
      <c r="T88" s="1"/>
      <c r="U88" s="1"/>
      <c r="V88" s="1"/>
      <c r="W88" s="1"/>
    </row>
    <row r="89" spans="1:23" ht="57.6" customHeight="1" x14ac:dyDescent="0.3">
      <c r="A89" s="1"/>
      <c r="B89" s="1"/>
      <c r="C89" s="1"/>
      <c r="D89" s="1"/>
      <c r="E89" s="3"/>
      <c r="F89" s="47" t="s">
        <v>189</v>
      </c>
      <c r="G89" s="79" t="b">
        <v>0</v>
      </c>
      <c r="H89" s="79"/>
      <c r="I89" s="79"/>
      <c r="J89" s="79"/>
      <c r="K89" s="79"/>
      <c r="L89" s="79"/>
      <c r="M89" s="79"/>
      <c r="N89" s="79"/>
      <c r="O89" s="79"/>
      <c r="P89" s="1"/>
      <c r="Q89" s="1"/>
      <c r="R89" s="1"/>
      <c r="S89" s="1"/>
      <c r="T89" s="1"/>
      <c r="U89" s="1"/>
      <c r="V89" s="1"/>
      <c r="W89" s="1"/>
    </row>
    <row r="90" spans="1:23" ht="57.6" customHeight="1" x14ac:dyDescent="0.3">
      <c r="A90" s="1"/>
      <c r="B90" s="1"/>
      <c r="C90" s="1"/>
      <c r="D90" s="1"/>
      <c r="E90" s="3"/>
      <c r="F90" s="47" t="s">
        <v>190</v>
      </c>
      <c r="G90" s="79" t="b">
        <v>0</v>
      </c>
      <c r="H90" s="79"/>
      <c r="I90" s="79"/>
      <c r="J90" s="79"/>
      <c r="K90" s="79"/>
      <c r="L90" s="79"/>
      <c r="M90" s="79"/>
      <c r="N90" s="79"/>
      <c r="O90" s="79"/>
      <c r="P90" s="1"/>
      <c r="Q90" s="1"/>
      <c r="R90" s="1"/>
      <c r="S90" s="1"/>
      <c r="T90" s="1"/>
      <c r="U90" s="1"/>
      <c r="V90" s="1"/>
      <c r="W90" s="1"/>
    </row>
    <row r="91" spans="1:23" ht="14.4" customHeight="1" x14ac:dyDescent="0.3">
      <c r="A91" s="1"/>
      <c r="B91" s="51">
        <v>8</v>
      </c>
      <c r="C91" s="50" t="s">
        <v>23</v>
      </c>
      <c r="D91" s="50"/>
      <c r="E91" s="50"/>
      <c r="F91" s="52" t="s">
        <v>126</v>
      </c>
      <c r="G91" s="79"/>
      <c r="H91" s="79" t="b">
        <f>AND(G92:G93)</f>
        <v>0</v>
      </c>
      <c r="I91" s="79"/>
      <c r="J91" s="79"/>
      <c r="K91" s="79"/>
      <c r="L91" s="79"/>
      <c r="M91" s="79"/>
      <c r="N91" s="79"/>
      <c r="O91" s="79"/>
      <c r="P91" s="1"/>
      <c r="Q91" s="1"/>
      <c r="R91" s="1"/>
      <c r="S91" s="1"/>
      <c r="T91" s="1"/>
      <c r="U91" s="1"/>
      <c r="V91" s="1"/>
      <c r="W91" s="1"/>
    </row>
    <row r="92" spans="1:23" ht="57.6" customHeight="1" x14ac:dyDescent="0.3">
      <c r="A92" s="1"/>
      <c r="B92" s="61" t="s">
        <v>126</v>
      </c>
      <c r="C92" s="1"/>
      <c r="D92" s="1"/>
      <c r="E92" s="13"/>
      <c r="F92" s="48" t="s">
        <v>191</v>
      </c>
      <c r="G92" s="79" t="b">
        <v>0</v>
      </c>
      <c r="H92" s="79"/>
      <c r="I92" s="79"/>
      <c r="J92" s="79"/>
      <c r="K92" s="79"/>
      <c r="L92" s="79"/>
      <c r="M92" s="79"/>
      <c r="N92" s="79"/>
      <c r="O92" s="79"/>
      <c r="P92" s="1"/>
      <c r="Q92" s="1"/>
      <c r="R92" s="1"/>
      <c r="S92" s="1"/>
      <c r="T92" s="1"/>
      <c r="U92" s="1"/>
      <c r="V92" s="1"/>
      <c r="W92" s="1"/>
    </row>
    <row r="93" spans="1:23" ht="57.6" customHeight="1" x14ac:dyDescent="0.3">
      <c r="A93" s="1"/>
      <c r="B93" s="1"/>
      <c r="C93" s="1"/>
      <c r="D93" s="1"/>
      <c r="E93" s="3"/>
      <c r="F93" s="47" t="s">
        <v>192</v>
      </c>
      <c r="G93" s="79" t="b">
        <v>0</v>
      </c>
      <c r="H93" s="79"/>
      <c r="I93" s="79"/>
      <c r="J93" s="79"/>
      <c r="K93" s="79"/>
      <c r="L93" s="79"/>
      <c r="M93" s="79"/>
      <c r="N93" s="79"/>
      <c r="O93" s="79"/>
      <c r="P93" s="1"/>
      <c r="Q93" s="1"/>
      <c r="R93" s="1"/>
      <c r="S93" s="1"/>
      <c r="T93" s="1"/>
      <c r="U93" s="1"/>
      <c r="V93" s="1"/>
      <c r="W93" s="1"/>
    </row>
    <row r="94" spans="1:23" ht="25.05" customHeight="1" x14ac:dyDescent="0.3">
      <c r="A94" s="1"/>
      <c r="B94" s="1"/>
      <c r="C94" s="1"/>
      <c r="D94" s="1"/>
      <c r="E94" s="14"/>
      <c r="F94" s="60"/>
      <c r="G94" s="79"/>
      <c r="H94" s="79"/>
      <c r="I94" s="79"/>
      <c r="J94" s="79"/>
      <c r="K94" s="79"/>
      <c r="L94" s="79"/>
      <c r="M94" s="79"/>
      <c r="N94" s="79"/>
      <c r="O94" s="79"/>
      <c r="P94" s="1"/>
      <c r="Q94" s="1"/>
      <c r="R94" s="1"/>
      <c r="S94" s="1"/>
      <c r="T94" s="1"/>
      <c r="U94" s="1"/>
      <c r="V94" s="1"/>
      <c r="W94" s="1"/>
    </row>
    <row r="95" spans="1:23" ht="14.4" customHeight="1" x14ac:dyDescent="0.3">
      <c r="A95" s="63" t="s">
        <v>512</v>
      </c>
      <c r="B95" s="58" t="s">
        <v>193</v>
      </c>
      <c r="C95" s="54"/>
      <c r="D95" s="54"/>
      <c r="E95" s="54"/>
      <c r="F95" s="55"/>
      <c r="G95" s="79"/>
      <c r="H95" s="79" t="b">
        <f>AND(H96,H115,H145)</f>
        <v>0</v>
      </c>
      <c r="I95" s="79"/>
      <c r="J95" s="79"/>
      <c r="K95" s="79"/>
      <c r="L95" s="79"/>
      <c r="M95" s="79"/>
      <c r="N95" s="79"/>
      <c r="O95" s="79"/>
      <c r="P95" s="1"/>
      <c r="Q95" s="1"/>
      <c r="R95" s="1"/>
      <c r="S95" s="1"/>
      <c r="T95" s="1"/>
      <c r="U95" s="1"/>
      <c r="V95" s="1"/>
      <c r="W95" s="1"/>
    </row>
    <row r="96" spans="1:23" ht="14.4" customHeight="1" x14ac:dyDescent="0.3">
      <c r="A96" s="63" t="s">
        <v>511</v>
      </c>
      <c r="B96" s="59" t="s">
        <v>194</v>
      </c>
      <c r="C96" s="56"/>
      <c r="D96" s="56"/>
      <c r="E96" s="56"/>
      <c r="F96" s="57"/>
      <c r="G96" s="79"/>
      <c r="H96" s="79" t="b">
        <f>AND(H97,H105)</f>
        <v>0</v>
      </c>
      <c r="I96" s="79"/>
      <c r="J96" s="79"/>
      <c r="K96" s="79"/>
      <c r="L96" s="79"/>
      <c r="M96" s="79"/>
      <c r="N96" s="79"/>
      <c r="O96" s="79"/>
      <c r="P96" s="1"/>
      <c r="Q96" s="1"/>
      <c r="R96" s="1"/>
      <c r="S96" s="1"/>
      <c r="T96" s="1"/>
      <c r="U96" s="1"/>
      <c r="V96" s="1"/>
      <c r="W96" s="1"/>
    </row>
    <row r="97" spans="1:23" ht="14.4" customHeight="1" x14ac:dyDescent="0.3">
      <c r="A97" s="1"/>
      <c r="B97" s="51">
        <v>1</v>
      </c>
      <c r="C97" s="50" t="s">
        <v>35</v>
      </c>
      <c r="D97" s="50"/>
      <c r="E97" s="50"/>
      <c r="F97" s="52" t="s">
        <v>126</v>
      </c>
      <c r="G97" s="79"/>
      <c r="H97" s="79" t="b">
        <f>AND(G98:G104)</f>
        <v>0</v>
      </c>
      <c r="I97" s="79"/>
      <c r="J97" s="79"/>
      <c r="K97" s="79"/>
      <c r="L97" s="79"/>
      <c r="M97" s="79"/>
      <c r="N97" s="79"/>
      <c r="O97" s="79"/>
      <c r="P97" s="1"/>
      <c r="Q97" s="1"/>
      <c r="R97" s="1"/>
      <c r="S97" s="1"/>
      <c r="T97" s="1"/>
      <c r="U97" s="1"/>
      <c r="V97" s="1"/>
      <c r="W97" s="1"/>
    </row>
    <row r="98" spans="1:23" ht="57.6" customHeight="1" x14ac:dyDescent="0.3">
      <c r="A98" s="1"/>
      <c r="B98" s="61" t="s">
        <v>126</v>
      </c>
      <c r="C98" s="1"/>
      <c r="D98" s="1"/>
      <c r="E98" s="13"/>
      <c r="F98" s="48" t="s">
        <v>195</v>
      </c>
      <c r="G98" s="79" t="b">
        <v>0</v>
      </c>
      <c r="H98" s="79"/>
      <c r="I98" s="79"/>
      <c r="J98" s="79"/>
      <c r="K98" s="79"/>
      <c r="L98" s="79"/>
      <c r="M98" s="79"/>
      <c r="N98" s="79"/>
      <c r="O98" s="79"/>
      <c r="P98" s="1"/>
      <c r="Q98" s="1"/>
      <c r="R98" s="1"/>
      <c r="S98" s="1"/>
      <c r="T98" s="1"/>
      <c r="U98" s="1"/>
      <c r="V98" s="1"/>
      <c r="W98" s="1"/>
    </row>
    <row r="99" spans="1:23" ht="57.6" customHeight="1" x14ac:dyDescent="0.3">
      <c r="A99" s="1"/>
      <c r="B99" s="1"/>
      <c r="C99" s="1"/>
      <c r="D99" s="1"/>
      <c r="E99" s="3"/>
      <c r="F99" s="47" t="s">
        <v>196</v>
      </c>
      <c r="G99" s="79" t="b">
        <v>0</v>
      </c>
      <c r="H99" s="79"/>
      <c r="I99" s="79"/>
      <c r="J99" s="79"/>
      <c r="K99" s="79"/>
      <c r="L99" s="79"/>
      <c r="M99" s="79"/>
      <c r="N99" s="79"/>
      <c r="O99" s="79"/>
      <c r="P99" s="1"/>
      <c r="Q99" s="1"/>
      <c r="R99" s="1"/>
      <c r="S99" s="1"/>
      <c r="T99" s="1"/>
      <c r="U99" s="1"/>
      <c r="V99" s="1"/>
      <c r="W99" s="1"/>
    </row>
    <row r="100" spans="1:23" ht="57.6" customHeight="1" x14ac:dyDescent="0.3">
      <c r="A100" s="1"/>
      <c r="B100" s="1"/>
      <c r="C100" s="1"/>
      <c r="D100" s="1"/>
      <c r="E100" s="13"/>
      <c r="F100" s="48" t="s">
        <v>197</v>
      </c>
      <c r="G100" s="79" t="b">
        <v>0</v>
      </c>
      <c r="H100" s="79"/>
      <c r="I100" s="79"/>
      <c r="J100" s="79"/>
      <c r="K100" s="79"/>
      <c r="L100" s="79"/>
      <c r="M100" s="79"/>
      <c r="N100" s="79"/>
      <c r="O100" s="79"/>
      <c r="P100" s="1"/>
      <c r="Q100" s="1"/>
      <c r="R100" s="1"/>
      <c r="S100" s="1"/>
      <c r="T100" s="1"/>
      <c r="U100" s="1"/>
      <c r="V100" s="1"/>
      <c r="W100" s="1"/>
    </row>
    <row r="101" spans="1:23" ht="57.6" customHeight="1" x14ac:dyDescent="0.3">
      <c r="A101" s="1"/>
      <c r="B101" s="1"/>
      <c r="C101" s="1"/>
      <c r="D101" s="1"/>
      <c r="E101" s="3"/>
      <c r="F101" s="47" t="s">
        <v>198</v>
      </c>
      <c r="G101" s="79" t="b">
        <v>0</v>
      </c>
      <c r="H101" s="79"/>
      <c r="I101" s="79"/>
      <c r="J101" s="79"/>
      <c r="K101" s="79"/>
      <c r="L101" s="79"/>
      <c r="M101" s="79"/>
      <c r="N101" s="79"/>
      <c r="O101" s="79"/>
      <c r="P101" s="1"/>
      <c r="Q101" s="1"/>
      <c r="R101" s="1"/>
      <c r="S101" s="1"/>
      <c r="T101" s="1"/>
      <c r="U101" s="1"/>
      <c r="V101" s="1"/>
      <c r="W101" s="1"/>
    </row>
    <row r="102" spans="1:23" ht="57.6" customHeight="1" x14ac:dyDescent="0.3">
      <c r="A102" s="1"/>
      <c r="B102" s="1"/>
      <c r="C102" s="1"/>
      <c r="D102" s="1"/>
      <c r="E102" s="13"/>
      <c r="F102" s="48" t="s">
        <v>199</v>
      </c>
      <c r="G102" s="79" t="b">
        <v>0</v>
      </c>
      <c r="H102" s="79"/>
      <c r="I102" s="79"/>
      <c r="J102" s="79"/>
      <c r="K102" s="79"/>
      <c r="L102" s="79"/>
      <c r="M102" s="79"/>
      <c r="N102" s="79"/>
      <c r="O102" s="79"/>
      <c r="P102" s="1"/>
      <c r="Q102" s="1"/>
      <c r="R102" s="1"/>
      <c r="S102" s="1"/>
      <c r="T102" s="1"/>
      <c r="U102" s="1"/>
      <c r="V102" s="1"/>
      <c r="W102" s="1"/>
    </row>
    <row r="103" spans="1:23" ht="57.6" customHeight="1" x14ac:dyDescent="0.3">
      <c r="A103" s="1"/>
      <c r="B103" s="1"/>
      <c r="C103" s="1"/>
      <c r="D103" s="1"/>
      <c r="E103" s="3"/>
      <c r="F103" s="47" t="s">
        <v>200</v>
      </c>
      <c r="G103" s="79" t="b">
        <v>0</v>
      </c>
      <c r="H103" s="79"/>
      <c r="I103" s="79"/>
      <c r="J103" s="79"/>
      <c r="K103" s="79"/>
      <c r="L103" s="79"/>
      <c r="M103" s="79"/>
      <c r="N103" s="79"/>
      <c r="O103" s="79"/>
      <c r="P103" s="1"/>
      <c r="Q103" s="1"/>
      <c r="R103" s="1"/>
      <c r="S103" s="1"/>
      <c r="T103" s="1"/>
      <c r="U103" s="1"/>
      <c r="V103" s="1"/>
      <c r="W103" s="1"/>
    </row>
    <row r="104" spans="1:23" ht="57.6" customHeight="1" x14ac:dyDescent="0.3">
      <c r="A104" s="1"/>
      <c r="B104" s="1"/>
      <c r="C104" s="1"/>
      <c r="D104" s="1"/>
      <c r="E104" s="3"/>
      <c r="F104" s="47" t="s">
        <v>201</v>
      </c>
      <c r="G104" s="79" t="b">
        <v>0</v>
      </c>
      <c r="H104" s="79"/>
      <c r="I104" s="79"/>
      <c r="J104" s="79"/>
      <c r="K104" s="79"/>
      <c r="L104" s="79"/>
      <c r="M104" s="79"/>
      <c r="N104" s="79"/>
      <c r="O104" s="79"/>
      <c r="P104" s="1"/>
      <c r="Q104" s="1"/>
      <c r="R104" s="1"/>
      <c r="S104" s="1"/>
      <c r="T104" s="1"/>
      <c r="U104" s="1"/>
      <c r="V104" s="1"/>
      <c r="W104" s="1"/>
    </row>
    <row r="105" spans="1:23" ht="14.4" customHeight="1" x14ac:dyDescent="0.3">
      <c r="A105" s="1"/>
      <c r="B105" s="51">
        <v>2</v>
      </c>
      <c r="C105" s="50" t="s">
        <v>36</v>
      </c>
      <c r="D105" s="50"/>
      <c r="E105" s="50"/>
      <c r="F105" s="52" t="s">
        <v>126</v>
      </c>
      <c r="G105" s="79"/>
      <c r="H105" s="79" t="b">
        <f>AND(G106:G114)</f>
        <v>0</v>
      </c>
      <c r="I105" s="79"/>
      <c r="J105" s="79"/>
      <c r="K105" s="79"/>
      <c r="L105" s="79"/>
      <c r="M105" s="79"/>
      <c r="N105" s="79"/>
      <c r="O105" s="79"/>
      <c r="P105" s="1"/>
      <c r="Q105" s="1"/>
      <c r="R105" s="1"/>
      <c r="S105" s="1"/>
      <c r="T105" s="1"/>
      <c r="U105" s="1"/>
      <c r="V105" s="1"/>
      <c r="W105" s="1"/>
    </row>
    <row r="106" spans="1:23" ht="57.6" customHeight="1" x14ac:dyDescent="0.3">
      <c r="A106" s="1"/>
      <c r="B106" s="61" t="s">
        <v>126</v>
      </c>
      <c r="C106" s="1"/>
      <c r="D106" s="1"/>
      <c r="E106" s="13"/>
      <c r="F106" s="48" t="s">
        <v>202</v>
      </c>
      <c r="G106" s="79" t="b">
        <v>0</v>
      </c>
      <c r="H106" s="79"/>
      <c r="I106" s="79"/>
      <c r="J106" s="79"/>
      <c r="K106" s="79"/>
      <c r="L106" s="79"/>
      <c r="M106" s="79"/>
      <c r="N106" s="79"/>
      <c r="O106" s="79"/>
      <c r="P106" s="1"/>
      <c r="Q106" s="1"/>
      <c r="R106" s="1"/>
      <c r="S106" s="1"/>
      <c r="T106" s="1"/>
      <c r="U106" s="1"/>
      <c r="V106" s="1"/>
      <c r="W106" s="1"/>
    </row>
    <row r="107" spans="1:23" ht="57.6" customHeight="1" x14ac:dyDescent="0.3">
      <c r="A107" s="1"/>
      <c r="B107" s="1"/>
      <c r="C107" s="1"/>
      <c r="D107" s="1"/>
      <c r="E107" s="3"/>
      <c r="F107" s="47" t="s">
        <v>203</v>
      </c>
      <c r="G107" s="79" t="b">
        <v>0</v>
      </c>
      <c r="H107" s="79"/>
      <c r="I107" s="79"/>
      <c r="J107" s="79"/>
      <c r="K107" s="79"/>
      <c r="L107" s="79"/>
      <c r="M107" s="79"/>
      <c r="N107" s="79"/>
      <c r="O107" s="79"/>
      <c r="P107" s="1"/>
      <c r="Q107" s="1"/>
      <c r="R107" s="1"/>
      <c r="S107" s="1"/>
      <c r="T107" s="1"/>
      <c r="U107" s="1"/>
      <c r="V107" s="1"/>
      <c r="W107" s="1"/>
    </row>
    <row r="108" spans="1:23" ht="57.6" customHeight="1" x14ac:dyDescent="0.3">
      <c r="A108" s="1"/>
      <c r="B108" s="1"/>
      <c r="C108" s="1"/>
      <c r="D108" s="1"/>
      <c r="E108" s="13"/>
      <c r="F108" s="48" t="s">
        <v>204</v>
      </c>
      <c r="G108" s="79" t="b">
        <v>0</v>
      </c>
      <c r="H108" s="79"/>
      <c r="I108" s="79"/>
      <c r="J108" s="79"/>
      <c r="K108" s="79"/>
      <c r="L108" s="79"/>
      <c r="M108" s="79"/>
      <c r="N108" s="79"/>
      <c r="O108" s="79"/>
      <c r="P108" s="1"/>
      <c r="Q108" s="1"/>
      <c r="R108" s="1"/>
      <c r="S108" s="1"/>
      <c r="T108" s="1"/>
      <c r="U108" s="1"/>
      <c r="V108" s="1"/>
      <c r="W108" s="1"/>
    </row>
    <row r="109" spans="1:23" ht="57.6" customHeight="1" x14ac:dyDescent="0.3">
      <c r="A109" s="1"/>
      <c r="B109" s="1"/>
      <c r="C109" s="1"/>
      <c r="D109" s="1"/>
      <c r="E109" s="3"/>
      <c r="F109" s="47" t="s">
        <v>205</v>
      </c>
      <c r="G109" s="79" t="b">
        <v>0</v>
      </c>
      <c r="H109" s="79"/>
      <c r="I109" s="79"/>
      <c r="J109" s="79"/>
      <c r="K109" s="79"/>
      <c r="L109" s="79"/>
      <c r="M109" s="79"/>
      <c r="N109" s="79"/>
      <c r="O109" s="79"/>
      <c r="P109" s="1"/>
      <c r="Q109" s="1"/>
      <c r="R109" s="1"/>
      <c r="S109" s="1"/>
      <c r="T109" s="1"/>
      <c r="U109" s="1"/>
      <c r="V109" s="1"/>
      <c r="W109" s="1"/>
    </row>
    <row r="110" spans="1:23" ht="57.6" customHeight="1" x14ac:dyDescent="0.3">
      <c r="A110" s="1"/>
      <c r="B110" s="1"/>
      <c r="C110" s="1"/>
      <c r="D110" s="1"/>
      <c r="E110" s="13"/>
      <c r="F110" s="48" t="s">
        <v>206</v>
      </c>
      <c r="G110" s="79" t="b">
        <v>0</v>
      </c>
      <c r="H110" s="79"/>
      <c r="I110" s="79"/>
      <c r="J110" s="79"/>
      <c r="K110" s="79"/>
      <c r="L110" s="79"/>
      <c r="M110" s="79"/>
      <c r="N110" s="79"/>
      <c r="O110" s="79"/>
      <c r="P110" s="1"/>
      <c r="Q110" s="1"/>
      <c r="R110" s="1"/>
      <c r="S110" s="1"/>
      <c r="T110" s="1"/>
      <c r="U110" s="1"/>
      <c r="V110" s="1"/>
      <c r="W110" s="1"/>
    </row>
    <row r="111" spans="1:23" ht="57.6" customHeight="1" x14ac:dyDescent="0.3">
      <c r="A111" s="1"/>
      <c r="B111" s="1"/>
      <c r="C111" s="1"/>
      <c r="D111" s="1"/>
      <c r="E111" s="3"/>
      <c r="F111" s="47" t="s">
        <v>207</v>
      </c>
      <c r="G111" s="79" t="b">
        <v>0</v>
      </c>
      <c r="H111" s="79"/>
      <c r="I111" s="79"/>
      <c r="J111" s="79"/>
      <c r="K111" s="79"/>
      <c r="L111" s="79"/>
      <c r="M111" s="79"/>
      <c r="N111" s="79"/>
      <c r="O111" s="79"/>
      <c r="P111" s="1"/>
      <c r="Q111" s="1"/>
      <c r="R111" s="1"/>
      <c r="S111" s="1"/>
      <c r="T111" s="1"/>
      <c r="U111" s="1"/>
      <c r="V111" s="1"/>
      <c r="W111" s="1"/>
    </row>
    <row r="112" spans="1:23" ht="57.6" customHeight="1" x14ac:dyDescent="0.3">
      <c r="A112" s="1"/>
      <c r="B112" s="1"/>
      <c r="C112" s="1"/>
      <c r="D112" s="1"/>
      <c r="E112" s="3"/>
      <c r="F112" s="47" t="s">
        <v>208</v>
      </c>
      <c r="G112" s="79" t="b">
        <v>0</v>
      </c>
      <c r="H112" s="79"/>
      <c r="I112" s="79"/>
      <c r="J112" s="79"/>
      <c r="K112" s="79"/>
      <c r="L112" s="79"/>
      <c r="M112" s="79"/>
      <c r="N112" s="79"/>
      <c r="O112" s="79"/>
      <c r="P112" s="1"/>
      <c r="Q112" s="1"/>
      <c r="R112" s="1"/>
      <c r="S112" s="1"/>
      <c r="T112" s="1"/>
      <c r="U112" s="1"/>
      <c r="V112" s="1"/>
      <c r="W112" s="1"/>
    </row>
    <row r="113" spans="1:23" ht="57.6" customHeight="1" x14ac:dyDescent="0.3">
      <c r="A113" s="1"/>
      <c r="B113" s="1"/>
      <c r="C113" s="1"/>
      <c r="D113" s="1"/>
      <c r="E113" s="3"/>
      <c r="F113" s="47" t="s">
        <v>209</v>
      </c>
      <c r="G113" s="79" t="b">
        <v>0</v>
      </c>
      <c r="H113" s="79"/>
      <c r="I113" s="79"/>
      <c r="J113" s="79"/>
      <c r="K113" s="79"/>
      <c r="L113" s="79"/>
      <c r="M113" s="79"/>
      <c r="N113" s="79"/>
      <c r="O113" s="79"/>
      <c r="P113" s="1"/>
      <c r="Q113" s="1"/>
      <c r="R113" s="1"/>
      <c r="S113" s="1"/>
      <c r="T113" s="1"/>
      <c r="U113" s="1"/>
      <c r="V113" s="1"/>
      <c r="W113" s="1"/>
    </row>
    <row r="114" spans="1:23" ht="57.6" customHeight="1" x14ac:dyDescent="0.3">
      <c r="A114" s="1"/>
      <c r="B114" s="1"/>
      <c r="C114" s="1"/>
      <c r="D114" s="1"/>
      <c r="E114" s="3"/>
      <c r="F114" s="47" t="s">
        <v>210</v>
      </c>
      <c r="G114" s="79" t="b">
        <v>0</v>
      </c>
      <c r="H114" s="79"/>
      <c r="I114" s="79"/>
      <c r="J114" s="79"/>
      <c r="K114" s="79"/>
      <c r="L114" s="79"/>
      <c r="M114" s="79"/>
      <c r="N114" s="79"/>
      <c r="O114" s="79"/>
      <c r="P114" s="1"/>
      <c r="Q114" s="1"/>
      <c r="R114" s="1"/>
      <c r="S114" s="1"/>
      <c r="T114" s="1"/>
      <c r="U114" s="1"/>
      <c r="V114" s="1"/>
      <c r="W114" s="1"/>
    </row>
    <row r="115" spans="1:23" ht="14.4" customHeight="1" x14ac:dyDescent="0.3">
      <c r="A115" s="63" t="s">
        <v>510</v>
      </c>
      <c r="B115" s="59" t="s">
        <v>211</v>
      </c>
      <c r="C115" s="56"/>
      <c r="D115" s="56"/>
      <c r="E115" s="56"/>
      <c r="F115" s="57"/>
      <c r="G115" s="79"/>
      <c r="H115" s="79" t="b">
        <f>AND(H116,H120,H124,H128,H132,H137,H142)</f>
        <v>0</v>
      </c>
      <c r="I115" s="79"/>
      <c r="J115" s="79"/>
      <c r="K115" s="79"/>
      <c r="L115" s="79"/>
      <c r="M115" s="79"/>
      <c r="N115" s="79"/>
      <c r="O115" s="79"/>
      <c r="P115" s="1"/>
      <c r="Q115" s="1"/>
      <c r="R115" s="1"/>
      <c r="S115" s="1"/>
      <c r="T115" s="1"/>
      <c r="U115" s="1"/>
      <c r="V115" s="1"/>
      <c r="W115" s="1"/>
    </row>
    <row r="116" spans="1:23" ht="14.4" customHeight="1" x14ac:dyDescent="0.3">
      <c r="A116" s="1"/>
      <c r="B116" s="51">
        <v>1</v>
      </c>
      <c r="C116" s="50" t="s">
        <v>38</v>
      </c>
      <c r="D116" s="50"/>
      <c r="E116" s="50"/>
      <c r="F116" s="52"/>
      <c r="G116" s="79"/>
      <c r="H116" s="79" t="b">
        <f>AND(G117:G119)</f>
        <v>0</v>
      </c>
      <c r="I116" s="79"/>
      <c r="J116" s="79"/>
      <c r="K116" s="79"/>
      <c r="L116" s="79"/>
      <c r="M116" s="79"/>
      <c r="N116" s="79"/>
      <c r="O116" s="79"/>
      <c r="P116" s="1"/>
      <c r="Q116" s="1"/>
      <c r="R116" s="1"/>
      <c r="S116" s="1"/>
      <c r="T116" s="1"/>
      <c r="U116" s="1"/>
      <c r="V116" s="1"/>
      <c r="W116" s="1"/>
    </row>
    <row r="117" spans="1:23" ht="57.6" customHeight="1" x14ac:dyDescent="0.3">
      <c r="A117" s="1"/>
      <c r="B117" s="61" t="s">
        <v>126</v>
      </c>
      <c r="C117" s="1"/>
      <c r="D117" s="1"/>
      <c r="E117" s="13"/>
      <c r="F117" s="48" t="s">
        <v>212</v>
      </c>
      <c r="G117" s="79" t="b">
        <v>0</v>
      </c>
      <c r="H117" s="79"/>
      <c r="I117" s="79"/>
      <c r="J117" s="79"/>
      <c r="K117" s="79"/>
      <c r="L117" s="79"/>
      <c r="M117" s="79"/>
      <c r="N117" s="79"/>
      <c r="O117" s="79"/>
      <c r="P117" s="1"/>
      <c r="Q117" s="1"/>
      <c r="R117" s="1"/>
      <c r="S117" s="1"/>
      <c r="T117" s="1"/>
      <c r="U117" s="1"/>
      <c r="V117" s="1"/>
      <c r="W117" s="1"/>
    </row>
    <row r="118" spans="1:23" ht="57.6" customHeight="1" x14ac:dyDescent="0.3">
      <c r="A118" s="1"/>
      <c r="B118" s="1"/>
      <c r="C118" s="1"/>
      <c r="D118" s="1"/>
      <c r="E118" s="3"/>
      <c r="F118" s="47" t="s">
        <v>213</v>
      </c>
      <c r="G118" s="79" t="b">
        <v>0</v>
      </c>
      <c r="H118" s="79"/>
      <c r="I118" s="79"/>
      <c r="J118" s="79"/>
      <c r="K118" s="79"/>
      <c r="L118" s="79"/>
      <c r="M118" s="79"/>
      <c r="N118" s="79"/>
      <c r="O118" s="79"/>
      <c r="P118" s="1"/>
      <c r="Q118" s="1"/>
      <c r="R118" s="1"/>
      <c r="S118" s="1"/>
      <c r="T118" s="1"/>
      <c r="U118" s="1"/>
      <c r="V118" s="1"/>
      <c r="W118" s="1"/>
    </row>
    <row r="119" spans="1:23" ht="57.6" customHeight="1" x14ac:dyDescent="0.3">
      <c r="A119" s="1"/>
      <c r="B119" s="1"/>
      <c r="C119" s="1"/>
      <c r="D119" s="1"/>
      <c r="E119" s="13"/>
      <c r="F119" s="48" t="s">
        <v>214</v>
      </c>
      <c r="G119" s="79" t="b">
        <v>0</v>
      </c>
      <c r="H119" s="79"/>
      <c r="I119" s="79"/>
      <c r="J119" s="79"/>
      <c r="K119" s="79"/>
      <c r="L119" s="79"/>
      <c r="M119" s="79"/>
      <c r="N119" s="79"/>
      <c r="O119" s="79"/>
      <c r="P119" s="1"/>
      <c r="Q119" s="1"/>
      <c r="R119" s="1"/>
      <c r="S119" s="1"/>
      <c r="T119" s="1"/>
      <c r="U119" s="1"/>
      <c r="V119" s="1"/>
      <c r="W119" s="1"/>
    </row>
    <row r="120" spans="1:23" ht="14.4" customHeight="1" x14ac:dyDescent="0.3">
      <c r="A120" s="1"/>
      <c r="B120" s="51">
        <v>2</v>
      </c>
      <c r="C120" s="50" t="s">
        <v>39</v>
      </c>
      <c r="D120" s="50"/>
      <c r="E120" s="50"/>
      <c r="F120" s="52"/>
      <c r="G120" s="79"/>
      <c r="H120" s="79" t="b">
        <f>AND(G121:G123)</f>
        <v>0</v>
      </c>
      <c r="I120" s="79"/>
      <c r="J120" s="79"/>
      <c r="K120" s="79"/>
      <c r="L120" s="79"/>
      <c r="M120" s="79"/>
      <c r="N120" s="79"/>
      <c r="O120" s="79"/>
      <c r="P120" s="1"/>
      <c r="Q120" s="1"/>
      <c r="R120" s="1"/>
      <c r="S120" s="1"/>
      <c r="T120" s="1"/>
      <c r="U120" s="1"/>
      <c r="V120" s="1"/>
      <c r="W120" s="1"/>
    </row>
    <row r="121" spans="1:23" ht="57.6" customHeight="1" x14ac:dyDescent="0.3">
      <c r="A121" s="1"/>
      <c r="B121" s="61" t="s">
        <v>126</v>
      </c>
      <c r="C121" s="1"/>
      <c r="D121" s="1"/>
      <c r="E121" s="13"/>
      <c r="F121" s="48" t="s">
        <v>215</v>
      </c>
      <c r="G121" s="79" t="b">
        <v>0</v>
      </c>
      <c r="H121" s="79"/>
      <c r="I121" s="79"/>
      <c r="J121" s="79"/>
      <c r="K121" s="79"/>
      <c r="L121" s="79"/>
      <c r="M121" s="79"/>
      <c r="N121" s="79"/>
      <c r="O121" s="79"/>
      <c r="P121" s="1"/>
      <c r="Q121" s="1"/>
      <c r="R121" s="1"/>
      <c r="S121" s="1"/>
      <c r="T121" s="1"/>
      <c r="U121" s="1"/>
      <c r="V121" s="1"/>
      <c r="W121" s="1"/>
    </row>
    <row r="122" spans="1:23" ht="57.6" customHeight="1" x14ac:dyDescent="0.3">
      <c r="A122" s="1"/>
      <c r="B122" s="1"/>
      <c r="C122" s="1"/>
      <c r="D122" s="1"/>
      <c r="E122" s="3"/>
      <c r="F122" s="47" t="s">
        <v>216</v>
      </c>
      <c r="G122" s="79" t="b">
        <v>0</v>
      </c>
      <c r="H122" s="79"/>
      <c r="I122" s="79"/>
      <c r="J122" s="79"/>
      <c r="K122" s="79"/>
      <c r="L122" s="79"/>
      <c r="M122" s="79"/>
      <c r="N122" s="79"/>
      <c r="O122" s="79"/>
      <c r="P122" s="1"/>
      <c r="Q122" s="1"/>
      <c r="R122" s="1"/>
      <c r="S122" s="1"/>
      <c r="T122" s="1"/>
      <c r="U122" s="1"/>
      <c r="V122" s="1"/>
      <c r="W122" s="1"/>
    </row>
    <row r="123" spans="1:23" ht="57.6" customHeight="1" x14ac:dyDescent="0.3">
      <c r="A123" s="1"/>
      <c r="B123" s="1"/>
      <c r="C123" s="1"/>
      <c r="D123" s="1"/>
      <c r="E123" s="13"/>
      <c r="F123" s="48" t="s">
        <v>217</v>
      </c>
      <c r="G123" s="79" t="b">
        <v>0</v>
      </c>
      <c r="H123" s="79"/>
      <c r="I123" s="79"/>
      <c r="J123" s="79"/>
      <c r="K123" s="79"/>
      <c r="L123" s="79"/>
      <c r="M123" s="79"/>
      <c r="N123" s="79"/>
      <c r="O123" s="79"/>
      <c r="P123" s="1"/>
      <c r="Q123" s="1"/>
      <c r="R123" s="1"/>
      <c r="S123" s="1"/>
      <c r="T123" s="1"/>
      <c r="U123" s="1"/>
      <c r="V123" s="1"/>
      <c r="W123" s="1"/>
    </row>
    <row r="124" spans="1:23" ht="14.4" customHeight="1" x14ac:dyDescent="0.3">
      <c r="A124" s="1"/>
      <c r="B124" s="51">
        <v>3</v>
      </c>
      <c r="C124" s="50" t="s">
        <v>40</v>
      </c>
      <c r="D124" s="50"/>
      <c r="E124" s="50"/>
      <c r="F124" s="52"/>
      <c r="G124" s="79"/>
      <c r="H124" s="79" t="b">
        <f>AND(G125:G127)</f>
        <v>0</v>
      </c>
      <c r="I124" s="79"/>
      <c r="J124" s="79"/>
      <c r="K124" s="79"/>
      <c r="L124" s="79"/>
      <c r="M124" s="79"/>
      <c r="N124" s="79"/>
      <c r="O124" s="79"/>
      <c r="P124" s="1"/>
      <c r="Q124" s="1"/>
      <c r="R124" s="1"/>
      <c r="S124" s="1"/>
      <c r="T124" s="1"/>
      <c r="U124" s="1"/>
      <c r="V124" s="1"/>
      <c r="W124" s="1"/>
    </row>
    <row r="125" spans="1:23" ht="57.6" customHeight="1" x14ac:dyDescent="0.3">
      <c r="A125" s="1"/>
      <c r="B125" s="61" t="s">
        <v>126</v>
      </c>
      <c r="C125" s="1"/>
      <c r="D125" s="1"/>
      <c r="E125" s="13"/>
      <c r="F125" s="48" t="s">
        <v>218</v>
      </c>
      <c r="G125" s="79" t="b">
        <v>0</v>
      </c>
      <c r="H125" s="79"/>
      <c r="I125" s="79"/>
      <c r="J125" s="79"/>
      <c r="K125" s="79"/>
      <c r="L125" s="79"/>
      <c r="M125" s="79"/>
      <c r="N125" s="79"/>
      <c r="O125" s="79"/>
      <c r="P125" s="1"/>
      <c r="Q125" s="1"/>
      <c r="R125" s="1"/>
      <c r="S125" s="1"/>
      <c r="T125" s="1"/>
      <c r="U125" s="1"/>
      <c r="V125" s="1"/>
      <c r="W125" s="1"/>
    </row>
    <row r="126" spans="1:23" ht="57.6" customHeight="1" x14ac:dyDescent="0.3">
      <c r="A126" s="1"/>
      <c r="B126" s="1"/>
      <c r="C126" s="1"/>
      <c r="D126" s="1"/>
      <c r="E126" s="3"/>
      <c r="F126" s="47" t="s">
        <v>219</v>
      </c>
      <c r="G126" s="79" t="b">
        <v>0</v>
      </c>
      <c r="H126" s="79"/>
      <c r="I126" s="79"/>
      <c r="J126" s="79"/>
      <c r="K126" s="79"/>
      <c r="L126" s="79"/>
      <c r="M126" s="79"/>
      <c r="N126" s="79"/>
      <c r="O126" s="79"/>
      <c r="P126" s="1"/>
      <c r="Q126" s="1"/>
      <c r="R126" s="1"/>
      <c r="S126" s="1"/>
      <c r="T126" s="1"/>
      <c r="U126" s="1"/>
      <c r="V126" s="1"/>
      <c r="W126" s="1"/>
    </row>
    <row r="127" spans="1:23" ht="57.6" customHeight="1" x14ac:dyDescent="0.3">
      <c r="A127" s="1"/>
      <c r="B127" s="1"/>
      <c r="C127" s="1"/>
      <c r="D127" s="1"/>
      <c r="E127" s="13"/>
      <c r="F127" s="48" t="s">
        <v>220</v>
      </c>
      <c r="G127" s="79" t="b">
        <v>0</v>
      </c>
      <c r="H127" s="79"/>
      <c r="I127" s="79"/>
      <c r="J127" s="79"/>
      <c r="K127" s="79"/>
      <c r="L127" s="79"/>
      <c r="M127" s="79"/>
      <c r="N127" s="79"/>
      <c r="O127" s="79"/>
      <c r="P127" s="1"/>
      <c r="Q127" s="1"/>
      <c r="R127" s="1"/>
      <c r="S127" s="1"/>
      <c r="T127" s="1"/>
      <c r="U127" s="1"/>
      <c r="V127" s="1"/>
      <c r="W127" s="1"/>
    </row>
    <row r="128" spans="1:23" ht="14.4" customHeight="1" x14ac:dyDescent="0.3">
      <c r="A128" s="1"/>
      <c r="B128" s="51">
        <v>4</v>
      </c>
      <c r="C128" s="50" t="s">
        <v>41</v>
      </c>
      <c r="D128" s="50"/>
      <c r="E128" s="50"/>
      <c r="F128" s="52"/>
      <c r="G128" s="79"/>
      <c r="H128" s="79" t="b">
        <f>AND(G129:G131)</f>
        <v>0</v>
      </c>
      <c r="I128" s="79"/>
      <c r="J128" s="79"/>
      <c r="K128" s="79"/>
      <c r="L128" s="79"/>
      <c r="M128" s="79"/>
      <c r="N128" s="79"/>
      <c r="O128" s="79"/>
      <c r="P128" s="1"/>
      <c r="Q128" s="1"/>
      <c r="R128" s="1"/>
      <c r="S128" s="1"/>
      <c r="T128" s="1"/>
      <c r="U128" s="1"/>
      <c r="V128" s="1"/>
      <c r="W128" s="1"/>
    </row>
    <row r="129" spans="1:23" ht="57.6" customHeight="1" x14ac:dyDescent="0.3">
      <c r="A129" s="1"/>
      <c r="B129" s="61" t="s">
        <v>126</v>
      </c>
      <c r="C129" s="1"/>
      <c r="D129" s="1"/>
      <c r="E129" s="13"/>
      <c r="F129" s="48" t="s">
        <v>221</v>
      </c>
      <c r="G129" s="79" t="b">
        <v>0</v>
      </c>
      <c r="H129" s="79"/>
      <c r="I129" s="79"/>
      <c r="J129" s="79"/>
      <c r="K129" s="79"/>
      <c r="L129" s="79"/>
      <c r="M129" s="79"/>
      <c r="N129" s="79"/>
      <c r="O129" s="79"/>
      <c r="P129" s="1"/>
      <c r="Q129" s="1"/>
      <c r="R129" s="1"/>
      <c r="S129" s="1"/>
      <c r="T129" s="1"/>
      <c r="U129" s="1"/>
      <c r="V129" s="1"/>
      <c r="W129" s="1"/>
    </row>
    <row r="130" spans="1:23" ht="57.6" customHeight="1" x14ac:dyDescent="0.3">
      <c r="A130" s="1"/>
      <c r="B130" s="1"/>
      <c r="C130" s="1"/>
      <c r="D130" s="1"/>
      <c r="E130" s="3"/>
      <c r="F130" s="47" t="s">
        <v>222</v>
      </c>
      <c r="G130" s="79" t="b">
        <v>0</v>
      </c>
      <c r="H130" s="79"/>
      <c r="I130" s="79"/>
      <c r="J130" s="79"/>
      <c r="K130" s="79"/>
      <c r="L130" s="79"/>
      <c r="M130" s="79"/>
      <c r="N130" s="79"/>
      <c r="O130" s="79"/>
      <c r="P130" s="1"/>
      <c r="Q130" s="1"/>
      <c r="R130" s="1"/>
      <c r="S130" s="1"/>
      <c r="T130" s="1"/>
      <c r="U130" s="1"/>
      <c r="V130" s="1"/>
      <c r="W130" s="1"/>
    </row>
    <row r="131" spans="1:23" ht="57.6" customHeight="1" x14ac:dyDescent="0.3">
      <c r="A131" s="1"/>
      <c r="B131" s="1"/>
      <c r="C131" s="1"/>
      <c r="D131" s="1"/>
      <c r="E131" s="13"/>
      <c r="F131" s="48" t="s">
        <v>223</v>
      </c>
      <c r="G131" s="79" t="b">
        <v>0</v>
      </c>
      <c r="H131" s="79"/>
      <c r="I131" s="79"/>
      <c r="J131" s="79"/>
      <c r="K131" s="79"/>
      <c r="L131" s="79"/>
      <c r="M131" s="79"/>
      <c r="N131" s="79"/>
      <c r="O131" s="79"/>
      <c r="P131" s="1"/>
      <c r="Q131" s="1"/>
      <c r="R131" s="1"/>
      <c r="S131" s="1"/>
      <c r="T131" s="1"/>
      <c r="U131" s="1"/>
      <c r="V131" s="1"/>
      <c r="W131" s="1"/>
    </row>
    <row r="132" spans="1:23" ht="14.4" customHeight="1" x14ac:dyDescent="0.3">
      <c r="A132" s="1"/>
      <c r="B132" s="51">
        <v>5</v>
      </c>
      <c r="C132" s="50" t="s">
        <v>42</v>
      </c>
      <c r="D132" s="50"/>
      <c r="E132" s="50"/>
      <c r="F132" s="52"/>
      <c r="G132" s="79"/>
      <c r="H132" s="79" t="b">
        <f>AND(G133:G136)</f>
        <v>0</v>
      </c>
      <c r="I132" s="79"/>
      <c r="J132" s="79"/>
      <c r="K132" s="79"/>
      <c r="L132" s="79"/>
      <c r="M132" s="79"/>
      <c r="N132" s="79"/>
      <c r="O132" s="79"/>
      <c r="P132" s="1"/>
      <c r="Q132" s="1"/>
      <c r="R132" s="1"/>
      <c r="S132" s="1"/>
      <c r="T132" s="1"/>
      <c r="U132" s="1"/>
      <c r="V132" s="1"/>
      <c r="W132" s="1"/>
    </row>
    <row r="133" spans="1:23" ht="57.6" customHeight="1" x14ac:dyDescent="0.3">
      <c r="A133" s="1"/>
      <c r="B133" s="61" t="s">
        <v>126</v>
      </c>
      <c r="C133" s="1"/>
      <c r="D133" s="1"/>
      <c r="E133" s="13"/>
      <c r="F133" s="48" t="s">
        <v>224</v>
      </c>
      <c r="G133" s="79" t="b">
        <v>0</v>
      </c>
      <c r="H133" s="79"/>
      <c r="I133" s="79"/>
      <c r="J133" s="79"/>
      <c r="K133" s="79"/>
      <c r="L133" s="79"/>
      <c r="M133" s="79"/>
      <c r="N133" s="79"/>
      <c r="O133" s="79"/>
      <c r="P133" s="1"/>
      <c r="Q133" s="1"/>
      <c r="R133" s="1"/>
      <c r="S133" s="1"/>
      <c r="T133" s="1"/>
      <c r="U133" s="1"/>
      <c r="V133" s="1"/>
      <c r="W133" s="1"/>
    </row>
    <row r="134" spans="1:23" ht="57.6" customHeight="1" x14ac:dyDescent="0.3">
      <c r="A134" s="1"/>
      <c r="B134" s="1"/>
      <c r="C134" s="1"/>
      <c r="D134" s="1"/>
      <c r="E134" s="3"/>
      <c r="F134" s="47" t="s">
        <v>225</v>
      </c>
      <c r="G134" s="79" t="b">
        <v>0</v>
      </c>
      <c r="H134" s="79"/>
      <c r="I134" s="79"/>
      <c r="J134" s="79"/>
      <c r="K134" s="79"/>
      <c r="L134" s="79"/>
      <c r="M134" s="79"/>
      <c r="N134" s="79"/>
      <c r="O134" s="79"/>
      <c r="P134" s="1"/>
      <c r="Q134" s="1"/>
      <c r="R134" s="1"/>
      <c r="S134" s="1"/>
      <c r="T134" s="1"/>
      <c r="U134" s="1"/>
      <c r="V134" s="1"/>
      <c r="W134" s="1"/>
    </row>
    <row r="135" spans="1:23" ht="57.6" customHeight="1" x14ac:dyDescent="0.3">
      <c r="A135" s="1"/>
      <c r="B135" s="1"/>
      <c r="C135" s="1"/>
      <c r="D135" s="1"/>
      <c r="E135" s="13"/>
      <c r="F135" s="48" t="s">
        <v>226</v>
      </c>
      <c r="G135" s="79" t="b">
        <v>0</v>
      </c>
      <c r="H135" s="79"/>
      <c r="I135" s="79"/>
      <c r="J135" s="79"/>
      <c r="K135" s="79"/>
      <c r="L135" s="79"/>
      <c r="M135" s="79"/>
      <c r="N135" s="79"/>
      <c r="O135" s="79"/>
      <c r="P135" s="1"/>
      <c r="Q135" s="1"/>
      <c r="R135" s="1"/>
      <c r="S135" s="1"/>
      <c r="T135" s="1"/>
      <c r="U135" s="1"/>
      <c r="V135" s="1"/>
      <c r="W135" s="1"/>
    </row>
    <row r="136" spans="1:23" ht="57.6" customHeight="1" x14ac:dyDescent="0.3">
      <c r="A136" s="1"/>
      <c r="B136" s="1"/>
      <c r="C136" s="1"/>
      <c r="D136" s="1"/>
      <c r="E136" s="13"/>
      <c r="F136" s="48" t="s">
        <v>227</v>
      </c>
      <c r="G136" s="79" t="b">
        <v>0</v>
      </c>
      <c r="H136" s="79"/>
      <c r="I136" s="79"/>
      <c r="J136" s="79"/>
      <c r="K136" s="79"/>
      <c r="L136" s="79"/>
      <c r="M136" s="79"/>
      <c r="N136" s="79"/>
      <c r="O136" s="79"/>
      <c r="P136" s="1"/>
      <c r="Q136" s="1"/>
      <c r="R136" s="1"/>
      <c r="S136" s="1"/>
      <c r="T136" s="1"/>
      <c r="U136" s="1"/>
      <c r="V136" s="1"/>
      <c r="W136" s="1"/>
    </row>
    <row r="137" spans="1:23" ht="14.4" customHeight="1" x14ac:dyDescent="0.3">
      <c r="A137" s="1"/>
      <c r="B137" s="51">
        <v>6</v>
      </c>
      <c r="C137" s="50" t="s">
        <v>43</v>
      </c>
      <c r="D137" s="50"/>
      <c r="E137" s="50"/>
      <c r="F137" s="52"/>
      <c r="G137" s="79"/>
      <c r="H137" s="79" t="b">
        <f>AND(G138:G141)</f>
        <v>0</v>
      </c>
      <c r="I137" s="79"/>
      <c r="J137" s="79"/>
      <c r="K137" s="79"/>
      <c r="L137" s="79"/>
      <c r="M137" s="79"/>
      <c r="N137" s="79"/>
      <c r="O137" s="79"/>
      <c r="P137" s="1"/>
      <c r="Q137" s="1"/>
      <c r="R137" s="1"/>
      <c r="S137" s="1"/>
      <c r="T137" s="1"/>
      <c r="U137" s="1"/>
      <c r="V137" s="1"/>
      <c r="W137" s="1"/>
    </row>
    <row r="138" spans="1:23" ht="57.6" customHeight="1" x14ac:dyDescent="0.3">
      <c r="A138" s="1"/>
      <c r="B138" s="61" t="s">
        <v>126</v>
      </c>
      <c r="C138" s="1"/>
      <c r="D138" s="1"/>
      <c r="E138" s="13"/>
      <c r="F138" s="48" t="s">
        <v>228</v>
      </c>
      <c r="G138" s="79" t="b">
        <v>0</v>
      </c>
      <c r="H138" s="79"/>
      <c r="I138" s="79"/>
      <c r="J138" s="79"/>
      <c r="K138" s="79"/>
      <c r="L138" s="79"/>
      <c r="M138" s="79"/>
      <c r="N138" s="79"/>
      <c r="O138" s="79"/>
      <c r="P138" s="1"/>
      <c r="Q138" s="1"/>
      <c r="R138" s="1"/>
      <c r="S138" s="1"/>
      <c r="T138" s="1"/>
      <c r="U138" s="1"/>
      <c r="V138" s="1"/>
      <c r="W138" s="1"/>
    </row>
    <row r="139" spans="1:23" ht="57.6" customHeight="1" x14ac:dyDescent="0.3">
      <c r="A139" s="1"/>
      <c r="B139" s="1"/>
      <c r="C139" s="1"/>
      <c r="D139" s="1"/>
      <c r="E139" s="3"/>
      <c r="F139" s="47" t="s">
        <v>229</v>
      </c>
      <c r="G139" s="79" t="b">
        <v>0</v>
      </c>
      <c r="H139" s="79"/>
      <c r="I139" s="79"/>
      <c r="J139" s="79"/>
      <c r="K139" s="79"/>
      <c r="L139" s="79"/>
      <c r="M139" s="79"/>
      <c r="N139" s="79"/>
      <c r="O139" s="79"/>
      <c r="P139" s="1"/>
      <c r="Q139" s="1"/>
      <c r="R139" s="1"/>
      <c r="S139" s="1"/>
      <c r="T139" s="1"/>
      <c r="U139" s="1"/>
      <c r="V139" s="1"/>
      <c r="W139" s="1"/>
    </row>
    <row r="140" spans="1:23" ht="57.6" customHeight="1" x14ac:dyDescent="0.3">
      <c r="A140" s="1"/>
      <c r="B140" s="1"/>
      <c r="C140" s="1"/>
      <c r="D140" s="1"/>
      <c r="E140" s="13"/>
      <c r="F140" s="48" t="s">
        <v>230</v>
      </c>
      <c r="G140" s="79" t="b">
        <v>0</v>
      </c>
      <c r="H140" s="79"/>
      <c r="I140" s="79"/>
      <c r="J140" s="79"/>
      <c r="K140" s="79"/>
      <c r="L140" s="79"/>
      <c r="M140" s="79"/>
      <c r="N140" s="79"/>
      <c r="O140" s="79"/>
      <c r="P140" s="1"/>
      <c r="Q140" s="1"/>
      <c r="R140" s="1"/>
      <c r="S140" s="1"/>
      <c r="T140" s="1"/>
      <c r="U140" s="1"/>
      <c r="V140" s="1"/>
      <c r="W140" s="1"/>
    </row>
    <row r="141" spans="1:23" ht="57.6" customHeight="1" x14ac:dyDescent="0.3">
      <c r="A141" s="1"/>
      <c r="B141" s="1"/>
      <c r="C141" s="1"/>
      <c r="D141" s="1"/>
      <c r="E141" s="13"/>
      <c r="F141" s="48" t="s">
        <v>231</v>
      </c>
      <c r="G141" s="79" t="b">
        <v>0</v>
      </c>
      <c r="H141" s="79"/>
      <c r="I141" s="79"/>
      <c r="J141" s="79"/>
      <c r="K141" s="79"/>
      <c r="L141" s="79"/>
      <c r="M141" s="79"/>
      <c r="N141" s="79"/>
      <c r="O141" s="79"/>
      <c r="P141" s="1"/>
      <c r="Q141" s="1"/>
      <c r="R141" s="1"/>
      <c r="S141" s="1"/>
      <c r="T141" s="1"/>
      <c r="U141" s="1"/>
      <c r="V141" s="1"/>
      <c r="W141" s="1"/>
    </row>
    <row r="142" spans="1:23" ht="14.4" customHeight="1" x14ac:dyDescent="0.3">
      <c r="A142" s="1"/>
      <c r="B142" s="51">
        <v>7</v>
      </c>
      <c r="C142" s="50" t="s">
        <v>44</v>
      </c>
      <c r="D142" s="50"/>
      <c r="E142" s="50"/>
      <c r="F142" s="52"/>
      <c r="G142" s="79"/>
      <c r="H142" s="79" t="b">
        <f>AND(G143:G144)</f>
        <v>0</v>
      </c>
      <c r="I142" s="79"/>
      <c r="J142" s="79"/>
      <c r="K142" s="79"/>
      <c r="L142" s="79"/>
      <c r="M142" s="79"/>
      <c r="N142" s="79"/>
      <c r="O142" s="79"/>
      <c r="P142" s="1"/>
      <c r="Q142" s="1"/>
      <c r="R142" s="1"/>
      <c r="S142" s="1"/>
      <c r="T142" s="1"/>
      <c r="U142" s="1"/>
      <c r="V142" s="1"/>
      <c r="W142" s="1"/>
    </row>
    <row r="143" spans="1:23" ht="57.6" customHeight="1" x14ac:dyDescent="0.3">
      <c r="A143" s="1"/>
      <c r="B143" s="61" t="s">
        <v>126</v>
      </c>
      <c r="C143" s="1"/>
      <c r="D143" s="1"/>
      <c r="E143" s="13"/>
      <c r="F143" s="48" t="s">
        <v>232</v>
      </c>
      <c r="G143" s="79" t="b">
        <v>0</v>
      </c>
      <c r="H143" s="79"/>
      <c r="I143" s="79"/>
      <c r="J143" s="79"/>
      <c r="K143" s="79"/>
      <c r="L143" s="79"/>
      <c r="M143" s="79"/>
      <c r="N143" s="79"/>
      <c r="O143" s="79"/>
      <c r="P143" s="1"/>
      <c r="Q143" s="1"/>
      <c r="R143" s="1"/>
      <c r="S143" s="1"/>
      <c r="T143" s="1"/>
      <c r="U143" s="1"/>
      <c r="V143" s="1"/>
      <c r="W143" s="1"/>
    </row>
    <row r="144" spans="1:23" ht="57.6" customHeight="1" x14ac:dyDescent="0.3">
      <c r="A144" s="1"/>
      <c r="B144" s="1"/>
      <c r="C144" s="1"/>
      <c r="D144" s="1"/>
      <c r="E144" s="3"/>
      <c r="F144" s="47" t="s">
        <v>233</v>
      </c>
      <c r="G144" s="79" t="b">
        <v>0</v>
      </c>
      <c r="H144" s="79"/>
      <c r="I144" s="79"/>
      <c r="J144" s="79"/>
      <c r="K144" s="79"/>
      <c r="L144" s="79"/>
      <c r="M144" s="79"/>
      <c r="N144" s="79"/>
      <c r="O144" s="79"/>
      <c r="P144" s="1"/>
      <c r="Q144" s="1"/>
      <c r="R144" s="1"/>
      <c r="S144" s="1"/>
      <c r="T144" s="1"/>
      <c r="U144" s="1"/>
      <c r="V144" s="1"/>
      <c r="W144" s="1"/>
    </row>
    <row r="145" spans="1:23" ht="14.4" customHeight="1" x14ac:dyDescent="0.3">
      <c r="A145" s="63" t="s">
        <v>513</v>
      </c>
      <c r="B145" s="59" t="s">
        <v>234</v>
      </c>
      <c r="C145" s="56"/>
      <c r="D145" s="56"/>
      <c r="E145" s="56"/>
      <c r="F145" s="57"/>
      <c r="G145" s="79"/>
      <c r="H145" s="79" t="b">
        <f>AND(H146,H152,H158,H169,H164,H172,H176,H180)</f>
        <v>0</v>
      </c>
      <c r="I145" s="79"/>
      <c r="J145" s="79"/>
      <c r="K145" s="79"/>
      <c r="L145" s="79"/>
      <c r="M145" s="79"/>
      <c r="N145" s="79"/>
      <c r="O145" s="79"/>
      <c r="P145" s="1"/>
      <c r="Q145" s="1"/>
      <c r="R145" s="1"/>
      <c r="S145" s="1"/>
      <c r="T145" s="1"/>
      <c r="U145" s="1"/>
      <c r="V145" s="1"/>
      <c r="W145" s="1"/>
    </row>
    <row r="146" spans="1:23" ht="14.4" customHeight="1" x14ac:dyDescent="0.3">
      <c r="A146" s="1"/>
      <c r="B146" s="51">
        <v>1</v>
      </c>
      <c r="C146" s="50" t="s">
        <v>45</v>
      </c>
      <c r="D146" s="50"/>
      <c r="E146" s="50"/>
      <c r="F146" s="52"/>
      <c r="G146" s="79"/>
      <c r="H146" s="79" t="b">
        <f>AND(G147:G151)</f>
        <v>0</v>
      </c>
      <c r="I146" s="79"/>
      <c r="J146" s="79"/>
      <c r="K146" s="79"/>
      <c r="L146" s="79"/>
      <c r="M146" s="79"/>
      <c r="N146" s="79"/>
      <c r="O146" s="79"/>
      <c r="P146" s="1"/>
      <c r="Q146" s="1"/>
      <c r="R146" s="1"/>
      <c r="S146" s="1"/>
      <c r="T146" s="1"/>
      <c r="U146" s="1"/>
      <c r="V146" s="1"/>
      <c r="W146" s="1"/>
    </row>
    <row r="147" spans="1:23" ht="57.6" customHeight="1" x14ac:dyDescent="0.3">
      <c r="A147" s="1"/>
      <c r="B147" s="61" t="s">
        <v>126</v>
      </c>
      <c r="C147" s="1"/>
      <c r="D147" s="1"/>
      <c r="E147" s="13"/>
      <c r="F147" s="48" t="s">
        <v>235</v>
      </c>
      <c r="G147" s="79" t="b">
        <v>0</v>
      </c>
      <c r="H147" s="79"/>
      <c r="I147" s="79"/>
      <c r="J147" s="79"/>
      <c r="K147" s="79"/>
      <c r="L147" s="79"/>
      <c r="M147" s="79"/>
      <c r="N147" s="79"/>
      <c r="O147" s="79"/>
      <c r="P147" s="1"/>
      <c r="Q147" s="1"/>
      <c r="R147" s="1"/>
      <c r="S147" s="1"/>
      <c r="T147" s="1"/>
      <c r="U147" s="1"/>
      <c r="V147" s="1"/>
      <c r="W147" s="1"/>
    </row>
    <row r="148" spans="1:23" ht="57.6" customHeight="1" x14ac:dyDescent="0.3">
      <c r="A148" s="1"/>
      <c r="B148" s="1"/>
      <c r="C148" s="1"/>
      <c r="D148" s="1"/>
      <c r="E148" s="3"/>
      <c r="F148" s="47" t="s">
        <v>236</v>
      </c>
      <c r="G148" s="79" t="b">
        <v>0</v>
      </c>
      <c r="H148" s="79"/>
      <c r="I148" s="79"/>
      <c r="J148" s="79"/>
      <c r="K148" s="79"/>
      <c r="L148" s="79"/>
      <c r="M148" s="79"/>
      <c r="N148" s="79"/>
      <c r="O148" s="79"/>
      <c r="P148" s="1"/>
      <c r="Q148" s="1"/>
      <c r="R148" s="1"/>
      <c r="S148" s="1"/>
      <c r="T148" s="1"/>
      <c r="U148" s="1"/>
      <c r="V148" s="1"/>
      <c r="W148" s="1"/>
    </row>
    <row r="149" spans="1:23" ht="57.6" customHeight="1" x14ac:dyDescent="0.3">
      <c r="A149" s="1"/>
      <c r="B149" s="1"/>
      <c r="C149" s="1"/>
      <c r="D149" s="1"/>
      <c r="E149" s="13"/>
      <c r="F149" s="48" t="s">
        <v>237</v>
      </c>
      <c r="G149" s="79" t="b">
        <v>0</v>
      </c>
      <c r="H149" s="79"/>
      <c r="I149" s="79"/>
      <c r="J149" s="79"/>
      <c r="K149" s="79"/>
      <c r="L149" s="79"/>
      <c r="M149" s="79"/>
      <c r="N149" s="79"/>
      <c r="O149" s="79"/>
      <c r="P149" s="1"/>
      <c r="Q149" s="1"/>
      <c r="R149" s="1"/>
      <c r="S149" s="1"/>
      <c r="T149" s="1"/>
      <c r="U149" s="1"/>
      <c r="V149" s="1"/>
      <c r="W149" s="1"/>
    </row>
    <row r="150" spans="1:23" ht="57.6" customHeight="1" x14ac:dyDescent="0.3">
      <c r="A150" s="1"/>
      <c r="B150" s="1"/>
      <c r="C150" s="1"/>
      <c r="D150" s="1"/>
      <c r="E150" s="3"/>
      <c r="F150" s="47" t="s">
        <v>238</v>
      </c>
      <c r="G150" s="79" t="b">
        <v>0</v>
      </c>
      <c r="H150" s="79"/>
      <c r="I150" s="79"/>
      <c r="J150" s="79"/>
      <c r="K150" s="79"/>
      <c r="L150" s="79"/>
      <c r="M150" s="79"/>
      <c r="N150" s="79"/>
      <c r="O150" s="79"/>
      <c r="P150" s="1"/>
      <c r="Q150" s="1"/>
      <c r="R150" s="1"/>
      <c r="S150" s="1"/>
      <c r="T150" s="1"/>
      <c r="U150" s="1"/>
      <c r="V150" s="1"/>
      <c r="W150" s="1"/>
    </row>
    <row r="151" spans="1:23" ht="57.6" customHeight="1" x14ac:dyDescent="0.3">
      <c r="A151" s="1"/>
      <c r="B151" s="1"/>
      <c r="C151" s="1"/>
      <c r="D151" s="1"/>
      <c r="E151" s="13"/>
      <c r="F151" s="48" t="s">
        <v>239</v>
      </c>
      <c r="G151" s="79" t="b">
        <v>0</v>
      </c>
      <c r="H151" s="79"/>
      <c r="I151" s="79"/>
      <c r="J151" s="79"/>
      <c r="K151" s="79"/>
      <c r="L151" s="79"/>
      <c r="M151" s="79"/>
      <c r="N151" s="79"/>
      <c r="O151" s="79"/>
      <c r="P151" s="1"/>
      <c r="Q151" s="1"/>
      <c r="R151" s="1"/>
      <c r="S151" s="1"/>
      <c r="T151" s="1"/>
      <c r="U151" s="1"/>
      <c r="V151" s="1"/>
      <c r="W151" s="1"/>
    </row>
    <row r="152" spans="1:23" ht="14.4" customHeight="1" x14ac:dyDescent="0.3">
      <c r="A152" s="1"/>
      <c r="B152" s="51">
        <v>2</v>
      </c>
      <c r="C152" s="50" t="s">
        <v>46</v>
      </c>
      <c r="D152" s="50"/>
      <c r="E152" s="50"/>
      <c r="F152" s="52"/>
      <c r="G152" s="79"/>
      <c r="H152" s="79" t="b">
        <f>AND(G153:G157)</f>
        <v>0</v>
      </c>
      <c r="I152" s="79"/>
      <c r="J152" s="79"/>
      <c r="K152" s="79"/>
      <c r="L152" s="79"/>
      <c r="M152" s="79"/>
      <c r="N152" s="79"/>
      <c r="O152" s="79"/>
      <c r="P152" s="1"/>
      <c r="Q152" s="1"/>
      <c r="R152" s="1"/>
      <c r="S152" s="1"/>
      <c r="T152" s="1"/>
      <c r="U152" s="1"/>
      <c r="V152" s="1"/>
      <c r="W152" s="1"/>
    </row>
    <row r="153" spans="1:23" ht="57.6" customHeight="1" x14ac:dyDescent="0.3">
      <c r="A153" s="1"/>
      <c r="B153" s="61" t="s">
        <v>126</v>
      </c>
      <c r="C153" s="1"/>
      <c r="D153" s="1"/>
      <c r="E153" s="13"/>
      <c r="F153" s="48" t="s">
        <v>240</v>
      </c>
      <c r="G153" s="79" t="b">
        <v>0</v>
      </c>
      <c r="H153" s="79"/>
      <c r="I153" s="79"/>
      <c r="J153" s="79"/>
      <c r="K153" s="79"/>
      <c r="L153" s="79"/>
      <c r="M153" s="79"/>
      <c r="N153" s="79"/>
      <c r="O153" s="79"/>
      <c r="P153" s="1"/>
      <c r="Q153" s="1"/>
      <c r="R153" s="1"/>
      <c r="S153" s="1"/>
      <c r="T153" s="1"/>
      <c r="U153" s="1"/>
      <c r="V153" s="1"/>
      <c r="W153" s="1"/>
    </row>
    <row r="154" spans="1:23" ht="57.6" customHeight="1" x14ac:dyDescent="0.3">
      <c r="A154" s="1"/>
      <c r="B154" s="1"/>
      <c r="C154" s="1"/>
      <c r="D154" s="1"/>
      <c r="E154" s="3"/>
      <c r="F154" s="47" t="s">
        <v>241</v>
      </c>
      <c r="G154" s="79" t="b">
        <v>0</v>
      </c>
      <c r="H154" s="79"/>
      <c r="I154" s="79"/>
      <c r="J154" s="79"/>
      <c r="K154" s="79"/>
      <c r="L154" s="79"/>
      <c r="M154" s="79"/>
      <c r="N154" s="79"/>
      <c r="O154" s="79"/>
      <c r="P154" s="1"/>
      <c r="Q154" s="1"/>
      <c r="R154" s="1"/>
      <c r="S154" s="1"/>
      <c r="T154" s="1"/>
      <c r="U154" s="1"/>
      <c r="V154" s="1"/>
      <c r="W154" s="1"/>
    </row>
    <row r="155" spans="1:23" ht="57.6" customHeight="1" x14ac:dyDescent="0.3">
      <c r="A155" s="1"/>
      <c r="B155" s="1"/>
      <c r="C155" s="1"/>
      <c r="D155" s="1"/>
      <c r="E155" s="13"/>
      <c r="F155" s="48" t="s">
        <v>242</v>
      </c>
      <c r="G155" s="79" t="b">
        <v>0</v>
      </c>
      <c r="H155" s="79"/>
      <c r="I155" s="79"/>
      <c r="J155" s="79"/>
      <c r="K155" s="79"/>
      <c r="L155" s="79"/>
      <c r="M155" s="79"/>
      <c r="N155" s="79"/>
      <c r="O155" s="79"/>
      <c r="P155" s="1"/>
      <c r="Q155" s="1"/>
      <c r="R155" s="1"/>
      <c r="S155" s="1"/>
      <c r="T155" s="1"/>
      <c r="U155" s="1"/>
      <c r="V155" s="1"/>
      <c r="W155" s="1"/>
    </row>
    <row r="156" spans="1:23" ht="57.6" customHeight="1" x14ac:dyDescent="0.3">
      <c r="A156" s="1"/>
      <c r="B156" s="1"/>
      <c r="C156" s="1"/>
      <c r="D156" s="1"/>
      <c r="E156" s="3"/>
      <c r="F156" s="47" t="s">
        <v>243</v>
      </c>
      <c r="G156" s="79" t="b">
        <v>0</v>
      </c>
      <c r="H156" s="79"/>
      <c r="I156" s="79"/>
      <c r="J156" s="79"/>
      <c r="K156" s="79"/>
      <c r="L156" s="79"/>
      <c r="M156" s="79"/>
      <c r="N156" s="79"/>
      <c r="O156" s="79"/>
      <c r="P156" s="1"/>
      <c r="Q156" s="1"/>
      <c r="R156" s="1"/>
      <c r="S156" s="1"/>
      <c r="T156" s="1"/>
      <c r="U156" s="1"/>
      <c r="V156" s="1"/>
      <c r="W156" s="1"/>
    </row>
    <row r="157" spans="1:23" ht="57.6" customHeight="1" x14ac:dyDescent="0.3">
      <c r="A157" s="1"/>
      <c r="B157" s="1"/>
      <c r="C157" s="1"/>
      <c r="D157" s="1"/>
      <c r="E157" s="13"/>
      <c r="F157" s="48" t="s">
        <v>244</v>
      </c>
      <c r="G157" s="79" t="b">
        <v>0</v>
      </c>
      <c r="H157" s="79"/>
      <c r="I157" s="79"/>
      <c r="J157" s="79"/>
      <c r="K157" s="79"/>
      <c r="L157" s="79"/>
      <c r="M157" s="79"/>
      <c r="N157" s="79"/>
      <c r="O157" s="79"/>
      <c r="P157" s="1"/>
      <c r="Q157" s="1"/>
      <c r="R157" s="1"/>
      <c r="S157" s="1"/>
      <c r="T157" s="1"/>
      <c r="U157" s="1"/>
      <c r="V157" s="1"/>
      <c r="W157" s="1"/>
    </row>
    <row r="158" spans="1:23" ht="14.4" customHeight="1" x14ac:dyDescent="0.3">
      <c r="A158" s="1"/>
      <c r="B158" s="51">
        <v>3</v>
      </c>
      <c r="C158" s="50" t="s">
        <v>47</v>
      </c>
      <c r="D158" s="50"/>
      <c r="E158" s="50"/>
      <c r="F158" s="52"/>
      <c r="G158" s="79"/>
      <c r="H158" s="79" t="b">
        <f>AND(G159:G163)</f>
        <v>0</v>
      </c>
      <c r="I158" s="79"/>
      <c r="J158" s="79"/>
      <c r="K158" s="79"/>
      <c r="L158" s="79"/>
      <c r="M158" s="79"/>
      <c r="N158" s="79"/>
      <c r="O158" s="79"/>
      <c r="P158" s="1"/>
      <c r="Q158" s="1"/>
      <c r="R158" s="1"/>
      <c r="S158" s="1"/>
      <c r="T158" s="1"/>
      <c r="U158" s="1"/>
      <c r="V158" s="1"/>
      <c r="W158" s="1"/>
    </row>
    <row r="159" spans="1:23" ht="57.6" customHeight="1" x14ac:dyDescent="0.3">
      <c r="A159" s="1"/>
      <c r="B159" s="61" t="s">
        <v>126</v>
      </c>
      <c r="C159" s="1"/>
      <c r="D159" s="1"/>
      <c r="E159" s="13"/>
      <c r="F159" s="48" t="s">
        <v>245</v>
      </c>
      <c r="G159" s="79" t="b">
        <v>0</v>
      </c>
      <c r="H159" s="79"/>
      <c r="I159" s="79"/>
      <c r="J159" s="79"/>
      <c r="K159" s="79"/>
      <c r="L159" s="79"/>
      <c r="M159" s="79"/>
      <c r="N159" s="79"/>
      <c r="O159" s="79"/>
      <c r="P159" s="1"/>
      <c r="Q159" s="1"/>
      <c r="R159" s="1"/>
      <c r="S159" s="1"/>
      <c r="T159" s="1"/>
      <c r="U159" s="1"/>
      <c r="V159" s="1"/>
      <c r="W159" s="1"/>
    </row>
    <row r="160" spans="1:23" ht="57.6" customHeight="1" x14ac:dyDescent="0.3">
      <c r="A160" s="1"/>
      <c r="B160" s="1"/>
      <c r="C160" s="1"/>
      <c r="D160" s="1"/>
      <c r="E160" s="3"/>
      <c r="F160" s="47" t="s">
        <v>246</v>
      </c>
      <c r="G160" s="79" t="b">
        <v>0</v>
      </c>
      <c r="H160" s="79"/>
      <c r="I160" s="79"/>
      <c r="J160" s="79"/>
      <c r="K160" s="79"/>
      <c r="L160" s="79"/>
      <c r="M160" s="79"/>
      <c r="N160" s="79"/>
      <c r="O160" s="79"/>
      <c r="P160" s="1"/>
      <c r="Q160" s="1"/>
      <c r="R160" s="1"/>
      <c r="S160" s="1"/>
      <c r="T160" s="1"/>
      <c r="U160" s="1"/>
      <c r="V160" s="1"/>
      <c r="W160" s="1"/>
    </row>
    <row r="161" spans="1:23" ht="57.6" customHeight="1" x14ac:dyDescent="0.3">
      <c r="A161" s="1"/>
      <c r="B161" s="1"/>
      <c r="C161" s="1"/>
      <c r="D161" s="1"/>
      <c r="E161" s="13"/>
      <c r="F161" s="48" t="s">
        <v>247</v>
      </c>
      <c r="G161" s="79" t="b">
        <v>0</v>
      </c>
      <c r="H161" s="79"/>
      <c r="I161" s="79"/>
      <c r="J161" s="79"/>
      <c r="K161" s="79"/>
      <c r="L161" s="79"/>
      <c r="M161" s="79"/>
      <c r="N161" s="79"/>
      <c r="O161" s="79"/>
      <c r="P161" s="1"/>
      <c r="Q161" s="1"/>
      <c r="R161" s="1"/>
      <c r="S161" s="1"/>
      <c r="T161" s="1"/>
      <c r="U161" s="1"/>
      <c r="V161" s="1"/>
      <c r="W161" s="1"/>
    </row>
    <row r="162" spans="1:23" ht="57.6" customHeight="1" x14ac:dyDescent="0.3">
      <c r="A162" s="1"/>
      <c r="B162" s="1"/>
      <c r="C162" s="1"/>
      <c r="D162" s="1"/>
      <c r="E162" s="3"/>
      <c r="F162" s="47" t="s">
        <v>248</v>
      </c>
      <c r="G162" s="79" t="b">
        <v>0</v>
      </c>
      <c r="H162" s="79"/>
      <c r="I162" s="79"/>
      <c r="J162" s="79"/>
      <c r="K162" s="79"/>
      <c r="L162" s="79"/>
      <c r="M162" s="79"/>
      <c r="N162" s="79"/>
      <c r="O162" s="79"/>
      <c r="P162" s="1"/>
      <c r="Q162" s="1"/>
      <c r="R162" s="1"/>
      <c r="S162" s="1"/>
      <c r="T162" s="1"/>
      <c r="U162" s="1"/>
      <c r="V162" s="1"/>
      <c r="W162" s="1"/>
    </row>
    <row r="163" spans="1:23" ht="57.6" customHeight="1" x14ac:dyDescent="0.3">
      <c r="A163" s="1"/>
      <c r="B163" s="1"/>
      <c r="C163" s="1"/>
      <c r="D163" s="1"/>
      <c r="E163" s="13"/>
      <c r="F163" s="48" t="s">
        <v>249</v>
      </c>
      <c r="G163" s="79" t="b">
        <v>0</v>
      </c>
      <c r="H163" s="79"/>
      <c r="I163" s="79"/>
      <c r="J163" s="79"/>
      <c r="K163" s="79"/>
      <c r="L163" s="79"/>
      <c r="M163" s="79"/>
      <c r="N163" s="79"/>
      <c r="O163" s="79"/>
      <c r="P163" s="1"/>
      <c r="Q163" s="1"/>
      <c r="R163" s="1"/>
      <c r="S163" s="1"/>
      <c r="T163" s="1"/>
      <c r="U163" s="1"/>
      <c r="V163" s="1"/>
      <c r="W163" s="1"/>
    </row>
    <row r="164" spans="1:23" ht="14.4" customHeight="1" x14ac:dyDescent="0.3">
      <c r="A164" s="1"/>
      <c r="B164" s="51">
        <v>4</v>
      </c>
      <c r="C164" s="50" t="s">
        <v>48</v>
      </c>
      <c r="D164" s="50"/>
      <c r="E164" s="50"/>
      <c r="F164" s="52"/>
      <c r="G164" s="79"/>
      <c r="H164" s="79" t="b">
        <f>AND(G165:G168)</f>
        <v>0</v>
      </c>
      <c r="I164" s="79"/>
      <c r="J164" s="79"/>
      <c r="K164" s="79"/>
      <c r="L164" s="79"/>
      <c r="M164" s="79"/>
      <c r="N164" s="79"/>
      <c r="O164" s="79"/>
      <c r="P164" s="1"/>
      <c r="Q164" s="1"/>
      <c r="R164" s="1"/>
      <c r="S164" s="1"/>
      <c r="T164" s="1"/>
      <c r="U164" s="1"/>
      <c r="V164" s="1"/>
      <c r="W164" s="1"/>
    </row>
    <row r="165" spans="1:23" ht="57.6" customHeight="1" x14ac:dyDescent="0.3">
      <c r="A165" s="1"/>
      <c r="B165" s="61" t="s">
        <v>126</v>
      </c>
      <c r="C165" s="1"/>
      <c r="D165" s="1"/>
      <c r="E165" s="13"/>
      <c r="F165" s="48" t="s">
        <v>250</v>
      </c>
      <c r="G165" s="79" t="b">
        <v>0</v>
      </c>
      <c r="H165" s="79"/>
      <c r="I165" s="79"/>
      <c r="J165" s="79"/>
      <c r="K165" s="79"/>
      <c r="L165" s="79"/>
      <c r="M165" s="79"/>
      <c r="N165" s="79"/>
      <c r="O165" s="79"/>
      <c r="P165" s="1"/>
      <c r="Q165" s="1"/>
      <c r="R165" s="1"/>
      <c r="S165" s="1"/>
      <c r="T165" s="1"/>
      <c r="U165" s="1"/>
      <c r="V165" s="1"/>
      <c r="W165" s="1"/>
    </row>
    <row r="166" spans="1:23" ht="57.6" customHeight="1" x14ac:dyDescent="0.3">
      <c r="A166" s="1"/>
      <c r="B166" s="1"/>
      <c r="C166" s="1"/>
      <c r="D166" s="1"/>
      <c r="E166" s="3"/>
      <c r="F166" s="47" t="s">
        <v>251</v>
      </c>
      <c r="G166" s="79" t="b">
        <v>0</v>
      </c>
      <c r="H166" s="79"/>
      <c r="I166" s="79"/>
      <c r="J166" s="79"/>
      <c r="K166" s="79"/>
      <c r="L166" s="79"/>
      <c r="M166" s="79"/>
      <c r="N166" s="79"/>
      <c r="O166" s="79"/>
      <c r="P166" s="1"/>
      <c r="Q166" s="1"/>
      <c r="R166" s="1"/>
      <c r="S166" s="1"/>
      <c r="T166" s="1"/>
      <c r="U166" s="1"/>
      <c r="V166" s="1"/>
      <c r="W166" s="1"/>
    </row>
    <row r="167" spans="1:23" ht="57.6" customHeight="1" x14ac:dyDescent="0.3">
      <c r="A167" s="1"/>
      <c r="B167" s="1"/>
      <c r="C167" s="1"/>
      <c r="D167" s="1"/>
      <c r="E167" s="13"/>
      <c r="F167" s="48" t="s">
        <v>252</v>
      </c>
      <c r="G167" s="79" t="b">
        <v>0</v>
      </c>
      <c r="H167" s="79"/>
      <c r="I167" s="79"/>
      <c r="J167" s="79"/>
      <c r="K167" s="79"/>
      <c r="L167" s="79"/>
      <c r="M167" s="79"/>
      <c r="N167" s="79"/>
      <c r="O167" s="79"/>
      <c r="P167" s="1"/>
      <c r="Q167" s="1"/>
      <c r="R167" s="1"/>
      <c r="S167" s="1"/>
      <c r="T167" s="1"/>
      <c r="U167" s="1"/>
      <c r="V167" s="1"/>
      <c r="W167" s="1"/>
    </row>
    <row r="168" spans="1:23" ht="57.6" customHeight="1" x14ac:dyDescent="0.3">
      <c r="A168" s="1"/>
      <c r="B168" s="1"/>
      <c r="C168" s="1"/>
      <c r="D168" s="1"/>
      <c r="E168" s="3"/>
      <c r="F168" s="47" t="s">
        <v>253</v>
      </c>
      <c r="G168" s="79" t="b">
        <v>0</v>
      </c>
      <c r="H168" s="79"/>
      <c r="I168" s="79"/>
      <c r="J168" s="79"/>
      <c r="K168" s="79"/>
      <c r="L168" s="79"/>
      <c r="M168" s="79"/>
      <c r="N168" s="79"/>
      <c r="O168" s="79"/>
      <c r="P168" s="1"/>
      <c r="Q168" s="1"/>
      <c r="R168" s="1"/>
      <c r="S168" s="1"/>
      <c r="T168" s="1"/>
      <c r="U168" s="1"/>
      <c r="V168" s="1"/>
      <c r="W168" s="1"/>
    </row>
    <row r="169" spans="1:23" ht="14.4" customHeight="1" x14ac:dyDescent="0.3">
      <c r="A169" s="1"/>
      <c r="B169" s="51">
        <v>5</v>
      </c>
      <c r="C169" s="50" t="s">
        <v>49</v>
      </c>
      <c r="D169" s="50"/>
      <c r="E169" s="50"/>
      <c r="F169" s="52"/>
      <c r="G169" s="79"/>
      <c r="H169" s="79" t="b">
        <f>AND(G170:G171)</f>
        <v>0</v>
      </c>
      <c r="I169" s="79"/>
      <c r="J169" s="79"/>
      <c r="K169" s="79"/>
      <c r="L169" s="79"/>
      <c r="M169" s="79"/>
      <c r="N169" s="79"/>
      <c r="O169" s="79"/>
      <c r="P169" s="1"/>
      <c r="Q169" s="1"/>
      <c r="R169" s="1"/>
      <c r="S169" s="1"/>
      <c r="T169" s="1"/>
      <c r="U169" s="1"/>
      <c r="V169" s="1"/>
      <c r="W169" s="1"/>
    </row>
    <row r="170" spans="1:23" ht="57.6" customHeight="1" x14ac:dyDescent="0.3">
      <c r="A170" s="1"/>
      <c r="B170" s="61" t="s">
        <v>126</v>
      </c>
      <c r="C170" s="1"/>
      <c r="D170" s="1"/>
      <c r="E170" s="13"/>
      <c r="F170" s="48" t="s">
        <v>254</v>
      </c>
      <c r="G170" s="79" t="b">
        <v>0</v>
      </c>
      <c r="H170" s="79"/>
      <c r="I170" s="79"/>
      <c r="J170" s="79"/>
      <c r="K170" s="79"/>
      <c r="L170" s="79"/>
      <c r="M170" s="79"/>
      <c r="N170" s="79"/>
      <c r="O170" s="79"/>
      <c r="P170" s="1"/>
      <c r="Q170" s="1"/>
      <c r="R170" s="1"/>
      <c r="S170" s="1"/>
      <c r="T170" s="1"/>
      <c r="U170" s="1"/>
      <c r="V170" s="1"/>
      <c r="W170" s="1"/>
    </row>
    <row r="171" spans="1:23" ht="57.6" customHeight="1" x14ac:dyDescent="0.3">
      <c r="A171" s="1"/>
      <c r="B171" s="1"/>
      <c r="C171" s="1"/>
      <c r="D171" s="1"/>
      <c r="E171" s="3"/>
      <c r="F171" s="47" t="s">
        <v>255</v>
      </c>
      <c r="G171" s="79" t="b">
        <v>0</v>
      </c>
      <c r="H171" s="79"/>
      <c r="I171" s="79"/>
      <c r="J171" s="79"/>
      <c r="K171" s="79"/>
      <c r="L171" s="79"/>
      <c r="M171" s="79"/>
      <c r="N171" s="79"/>
      <c r="O171" s="79"/>
      <c r="P171" s="1"/>
      <c r="Q171" s="1"/>
      <c r="R171" s="1"/>
      <c r="S171" s="1"/>
      <c r="T171" s="1"/>
      <c r="U171" s="1"/>
      <c r="V171" s="1"/>
      <c r="W171" s="1"/>
    </row>
    <row r="172" spans="1:23" ht="14.4" customHeight="1" x14ac:dyDescent="0.3">
      <c r="A172" s="1"/>
      <c r="B172" s="51">
        <v>6</v>
      </c>
      <c r="C172" s="50" t="s">
        <v>50</v>
      </c>
      <c r="D172" s="50"/>
      <c r="E172" s="50"/>
      <c r="F172" s="52"/>
      <c r="G172" s="79"/>
      <c r="H172" s="79" t="b">
        <f>AND(G173:G175)</f>
        <v>0</v>
      </c>
      <c r="I172" s="79"/>
      <c r="J172" s="79"/>
      <c r="K172" s="79"/>
      <c r="L172" s="79"/>
      <c r="M172" s="79"/>
      <c r="N172" s="79"/>
      <c r="O172" s="79"/>
      <c r="P172" s="1"/>
      <c r="Q172" s="1"/>
      <c r="R172" s="1"/>
      <c r="S172" s="1"/>
      <c r="T172" s="1"/>
      <c r="U172" s="1"/>
      <c r="V172" s="1"/>
      <c r="W172" s="1"/>
    </row>
    <row r="173" spans="1:23" ht="57.6" customHeight="1" x14ac:dyDescent="0.3">
      <c r="A173" s="1"/>
      <c r="B173" s="61" t="s">
        <v>126</v>
      </c>
      <c r="C173" s="1"/>
      <c r="D173" s="1"/>
      <c r="E173" s="13"/>
      <c r="F173" s="48" t="s">
        <v>256</v>
      </c>
      <c r="G173" s="79" t="b">
        <v>0</v>
      </c>
      <c r="H173" s="79"/>
      <c r="I173" s="79"/>
      <c r="J173" s="79"/>
      <c r="K173" s="79"/>
      <c r="L173" s="79"/>
      <c r="M173" s="79"/>
      <c r="N173" s="79"/>
      <c r="O173" s="79"/>
      <c r="P173" s="1"/>
      <c r="Q173" s="1"/>
      <c r="R173" s="1"/>
      <c r="S173" s="1"/>
      <c r="T173" s="1"/>
      <c r="U173" s="1"/>
      <c r="V173" s="1"/>
      <c r="W173" s="1"/>
    </row>
    <row r="174" spans="1:23" ht="57.6" customHeight="1" x14ac:dyDescent="0.3">
      <c r="A174" s="1"/>
      <c r="B174" s="1"/>
      <c r="C174" s="1"/>
      <c r="D174" s="1"/>
      <c r="E174" s="3"/>
      <c r="F174" s="47" t="s">
        <v>257</v>
      </c>
      <c r="G174" s="79" t="b">
        <v>0</v>
      </c>
      <c r="H174" s="79"/>
      <c r="I174" s="79"/>
      <c r="J174" s="79"/>
      <c r="K174" s="79"/>
      <c r="L174" s="79"/>
      <c r="M174" s="79"/>
      <c r="N174" s="79"/>
      <c r="O174" s="79"/>
      <c r="P174" s="1"/>
      <c r="Q174" s="1"/>
      <c r="R174" s="1"/>
      <c r="S174" s="1"/>
      <c r="T174" s="1"/>
      <c r="U174" s="1"/>
      <c r="V174" s="1"/>
      <c r="W174" s="1"/>
    </row>
    <row r="175" spans="1:23" ht="57.6" customHeight="1" x14ac:dyDescent="0.3">
      <c r="A175" s="1"/>
      <c r="B175" s="1"/>
      <c r="C175" s="1"/>
      <c r="D175" s="1"/>
      <c r="E175" s="13"/>
      <c r="F175" s="48" t="s">
        <v>258</v>
      </c>
      <c r="G175" s="79" t="b">
        <v>0</v>
      </c>
      <c r="H175" s="79"/>
      <c r="I175" s="79"/>
      <c r="J175" s="79"/>
      <c r="K175" s="79"/>
      <c r="L175" s="79"/>
      <c r="M175" s="79"/>
      <c r="N175" s="79"/>
      <c r="O175" s="79"/>
      <c r="P175" s="1"/>
      <c r="Q175" s="1"/>
      <c r="R175" s="1"/>
      <c r="S175" s="1"/>
      <c r="T175" s="1"/>
      <c r="U175" s="1"/>
      <c r="V175" s="1"/>
      <c r="W175" s="1"/>
    </row>
    <row r="176" spans="1:23" ht="14.4" customHeight="1" x14ac:dyDescent="0.3">
      <c r="A176" s="1"/>
      <c r="B176" s="51">
        <v>7</v>
      </c>
      <c r="C176" s="50" t="s">
        <v>51</v>
      </c>
      <c r="D176" s="50"/>
      <c r="E176" s="50"/>
      <c r="F176" s="52"/>
      <c r="G176" s="79"/>
      <c r="H176" s="79" t="b">
        <f>AND(G177:G179)</f>
        <v>0</v>
      </c>
      <c r="I176" s="79"/>
      <c r="J176" s="79"/>
      <c r="K176" s="79"/>
      <c r="L176" s="79"/>
      <c r="M176" s="79"/>
      <c r="N176" s="79"/>
      <c r="O176" s="79"/>
      <c r="P176" s="1"/>
      <c r="Q176" s="1"/>
      <c r="R176" s="1"/>
      <c r="S176" s="1"/>
      <c r="T176" s="1"/>
      <c r="U176" s="1"/>
      <c r="V176" s="1"/>
      <c r="W176" s="1"/>
    </row>
    <row r="177" spans="1:23" ht="57.6" customHeight="1" x14ac:dyDescent="0.3">
      <c r="A177" s="1"/>
      <c r="B177" s="61" t="s">
        <v>126</v>
      </c>
      <c r="C177" s="1"/>
      <c r="D177" s="1"/>
      <c r="E177" s="13"/>
      <c r="F177" s="48" t="s">
        <v>259</v>
      </c>
      <c r="G177" s="79" t="b">
        <v>0</v>
      </c>
      <c r="H177" s="79"/>
      <c r="I177" s="79"/>
      <c r="J177" s="79"/>
      <c r="K177" s="79"/>
      <c r="L177" s="79"/>
      <c r="M177" s="79"/>
      <c r="N177" s="79"/>
      <c r="O177" s="79"/>
      <c r="P177" s="1"/>
      <c r="Q177" s="1"/>
      <c r="R177" s="1"/>
      <c r="S177" s="1"/>
      <c r="T177" s="1"/>
      <c r="U177" s="1"/>
      <c r="V177" s="1"/>
      <c r="W177" s="1"/>
    </row>
    <row r="178" spans="1:23" ht="57.6" customHeight="1" x14ac:dyDescent="0.3">
      <c r="A178" s="1"/>
      <c r="B178" s="1"/>
      <c r="C178" s="1"/>
      <c r="D178" s="1"/>
      <c r="E178" s="3"/>
      <c r="F178" s="47" t="s">
        <v>260</v>
      </c>
      <c r="G178" s="79" t="b">
        <v>0</v>
      </c>
      <c r="H178" s="79"/>
      <c r="I178" s="79"/>
      <c r="J178" s="79"/>
      <c r="K178" s="79"/>
      <c r="L178" s="79"/>
      <c r="M178" s="79"/>
      <c r="N178" s="79"/>
      <c r="O178" s="79"/>
      <c r="P178" s="1"/>
      <c r="Q178" s="1"/>
      <c r="R178" s="1"/>
      <c r="S178" s="1"/>
      <c r="T178" s="1"/>
      <c r="U178" s="1"/>
      <c r="V178" s="1"/>
      <c r="W178" s="1"/>
    </row>
    <row r="179" spans="1:23" ht="57.6" customHeight="1" x14ac:dyDescent="0.3">
      <c r="A179" s="1"/>
      <c r="B179" s="1"/>
      <c r="C179" s="1"/>
      <c r="D179" s="1"/>
      <c r="E179" s="13"/>
      <c r="F179" s="48" t="s">
        <v>261</v>
      </c>
      <c r="G179" s="79" t="b">
        <v>0</v>
      </c>
      <c r="H179" s="79"/>
      <c r="I179" s="79"/>
      <c r="J179" s="79"/>
      <c r="K179" s="79"/>
      <c r="L179" s="79"/>
      <c r="M179" s="79"/>
      <c r="N179" s="79"/>
      <c r="O179" s="79"/>
      <c r="P179" s="1"/>
      <c r="Q179" s="1"/>
      <c r="R179" s="1"/>
      <c r="S179" s="1"/>
      <c r="T179" s="1"/>
      <c r="U179" s="1"/>
      <c r="V179" s="1"/>
      <c r="W179" s="1"/>
    </row>
    <row r="180" spans="1:23" ht="14.4" customHeight="1" x14ac:dyDescent="0.3">
      <c r="A180" s="1"/>
      <c r="B180" s="51">
        <v>8</v>
      </c>
      <c r="C180" s="50" t="s">
        <v>52</v>
      </c>
      <c r="D180" s="50"/>
      <c r="E180" s="50"/>
      <c r="F180" s="52"/>
      <c r="G180" s="79"/>
      <c r="H180" s="79" t="b">
        <f>AND(G181:G183)</f>
        <v>0</v>
      </c>
      <c r="I180" s="79"/>
      <c r="J180" s="79"/>
      <c r="K180" s="79"/>
      <c r="L180" s="79"/>
      <c r="M180" s="79"/>
      <c r="N180" s="79"/>
      <c r="O180" s="79"/>
      <c r="P180" s="1"/>
      <c r="Q180" s="1"/>
      <c r="R180" s="1"/>
      <c r="S180" s="1"/>
      <c r="T180" s="1"/>
      <c r="U180" s="1"/>
      <c r="V180" s="1"/>
      <c r="W180" s="1"/>
    </row>
    <row r="181" spans="1:23" ht="57.6" customHeight="1" x14ac:dyDescent="0.3">
      <c r="A181" s="1"/>
      <c r="B181" s="61" t="s">
        <v>126</v>
      </c>
      <c r="C181" s="1"/>
      <c r="D181" s="1"/>
      <c r="E181" s="13"/>
      <c r="F181" s="48" t="s">
        <v>262</v>
      </c>
      <c r="G181" s="79" t="b">
        <v>0</v>
      </c>
      <c r="H181" s="79"/>
      <c r="I181" s="79"/>
      <c r="J181" s="79"/>
      <c r="K181" s="79"/>
      <c r="L181" s="79"/>
      <c r="M181" s="79"/>
      <c r="N181" s="79"/>
      <c r="O181" s="79"/>
      <c r="P181" s="1"/>
      <c r="Q181" s="1"/>
      <c r="R181" s="1"/>
      <c r="S181" s="1"/>
      <c r="T181" s="1"/>
      <c r="U181" s="1"/>
      <c r="V181" s="1"/>
      <c r="W181" s="1"/>
    </row>
    <row r="182" spans="1:23" ht="57.6" customHeight="1" x14ac:dyDescent="0.3">
      <c r="A182" s="1"/>
      <c r="B182" s="1"/>
      <c r="C182" s="1"/>
      <c r="D182" s="1"/>
      <c r="E182" s="3"/>
      <c r="F182" s="47" t="s">
        <v>263</v>
      </c>
      <c r="G182" s="79" t="b">
        <v>0</v>
      </c>
      <c r="H182" s="79"/>
      <c r="I182" s="79"/>
      <c r="J182" s="79"/>
      <c r="K182" s="79"/>
      <c r="L182" s="79"/>
      <c r="M182" s="79"/>
      <c r="N182" s="79"/>
      <c r="O182" s="79"/>
      <c r="P182" s="1"/>
      <c r="Q182" s="1"/>
      <c r="R182" s="1"/>
      <c r="S182" s="1"/>
      <c r="T182" s="1"/>
      <c r="U182" s="1"/>
      <c r="V182" s="1"/>
      <c r="W182" s="1"/>
    </row>
    <row r="183" spans="1:23" ht="57.6" customHeight="1" x14ac:dyDescent="0.3">
      <c r="A183" s="1"/>
      <c r="B183" s="1"/>
      <c r="C183" s="1"/>
      <c r="D183" s="1"/>
      <c r="E183" s="13"/>
      <c r="F183" s="48" t="s">
        <v>264</v>
      </c>
      <c r="G183" s="79" t="b">
        <v>0</v>
      </c>
      <c r="H183" s="79"/>
      <c r="I183" s="79"/>
      <c r="J183" s="79"/>
      <c r="K183" s="79"/>
      <c r="L183" s="79"/>
      <c r="M183" s="79"/>
      <c r="N183" s="79"/>
      <c r="O183" s="79"/>
      <c r="P183" s="1"/>
      <c r="Q183" s="1"/>
      <c r="R183" s="1"/>
      <c r="S183" s="1"/>
      <c r="T183" s="1"/>
      <c r="U183" s="1"/>
      <c r="V183" s="1"/>
      <c r="W183" s="1"/>
    </row>
    <row r="184" spans="1:23" ht="25.05" customHeight="1" x14ac:dyDescent="0.3">
      <c r="A184" s="1"/>
      <c r="B184" s="1"/>
      <c r="C184" s="1"/>
      <c r="D184" s="1"/>
      <c r="E184" s="1"/>
      <c r="F184" s="1"/>
      <c r="G184" s="79"/>
      <c r="H184" s="79"/>
      <c r="I184" s="79"/>
      <c r="J184" s="79"/>
      <c r="K184" s="79"/>
      <c r="L184" s="79"/>
      <c r="M184" s="79"/>
      <c r="N184" s="79"/>
      <c r="O184" s="79"/>
      <c r="P184" s="1"/>
      <c r="Q184" s="1"/>
      <c r="R184" s="1"/>
      <c r="S184" s="1"/>
      <c r="T184" s="1"/>
      <c r="U184" s="1"/>
      <c r="V184" s="1"/>
      <c r="W184" s="1"/>
    </row>
    <row r="185" spans="1:23" ht="14.4" customHeight="1" x14ac:dyDescent="0.3">
      <c r="A185" s="63" t="s">
        <v>503</v>
      </c>
      <c r="B185" s="58" t="s">
        <v>265</v>
      </c>
      <c r="C185" s="54"/>
      <c r="D185" s="54"/>
      <c r="E185" s="54"/>
      <c r="F185" s="55"/>
      <c r="G185" s="79"/>
      <c r="H185" s="79" t="b">
        <f>AND(H186,H214)</f>
        <v>0</v>
      </c>
      <c r="I185" s="79"/>
      <c r="J185" s="79"/>
      <c r="K185" s="79"/>
      <c r="L185" s="79"/>
      <c r="M185" s="79"/>
      <c r="N185" s="79"/>
      <c r="O185" s="79"/>
      <c r="P185" s="1"/>
      <c r="Q185" s="1"/>
      <c r="R185" s="1"/>
      <c r="S185" s="1"/>
      <c r="T185" s="1"/>
      <c r="U185" s="1"/>
      <c r="V185" s="1"/>
      <c r="W185" s="1"/>
    </row>
    <row r="186" spans="1:23" ht="14.4" customHeight="1" x14ac:dyDescent="0.3">
      <c r="A186" s="63" t="s">
        <v>507</v>
      </c>
      <c r="B186" s="59" t="s">
        <v>234</v>
      </c>
      <c r="C186" s="56"/>
      <c r="D186" s="56"/>
      <c r="E186" s="56"/>
      <c r="F186" s="57"/>
      <c r="G186" s="79"/>
      <c r="H186" s="79" t="b">
        <f>AND(H187,H192,H201,H208)</f>
        <v>0</v>
      </c>
      <c r="I186" s="79"/>
      <c r="J186" s="79"/>
      <c r="K186" s="79"/>
      <c r="L186" s="79"/>
      <c r="M186" s="79"/>
      <c r="N186" s="79"/>
      <c r="O186" s="79"/>
      <c r="P186" s="1"/>
      <c r="Q186" s="1"/>
      <c r="R186" s="1"/>
      <c r="S186" s="1"/>
      <c r="T186" s="1"/>
      <c r="U186" s="1"/>
      <c r="V186" s="1"/>
      <c r="W186" s="1"/>
    </row>
    <row r="187" spans="1:23" ht="14.4" customHeight="1" x14ac:dyDescent="0.3">
      <c r="A187" s="1"/>
      <c r="B187" s="51">
        <v>1</v>
      </c>
      <c r="C187" s="50" t="s">
        <v>55</v>
      </c>
      <c r="D187" s="50"/>
      <c r="E187" s="50"/>
      <c r="F187" s="52" t="s">
        <v>126</v>
      </c>
      <c r="G187" s="79"/>
      <c r="H187" s="79" t="b">
        <f>AND(G188:G191)</f>
        <v>0</v>
      </c>
      <c r="I187" s="79"/>
      <c r="J187" s="79"/>
      <c r="K187" s="79"/>
      <c r="L187" s="79"/>
      <c r="M187" s="79"/>
      <c r="N187" s="79"/>
      <c r="O187" s="79"/>
      <c r="P187" s="1"/>
      <c r="Q187" s="1"/>
      <c r="R187" s="1"/>
      <c r="S187" s="1"/>
      <c r="T187" s="1"/>
      <c r="U187" s="1"/>
      <c r="V187" s="1"/>
      <c r="W187" s="1"/>
    </row>
    <row r="188" spans="1:23" ht="57.6" customHeight="1" x14ac:dyDescent="0.3">
      <c r="A188" s="1"/>
      <c r="B188" s="61" t="s">
        <v>126</v>
      </c>
      <c r="C188" s="1"/>
      <c r="D188" s="1"/>
      <c r="E188" s="13"/>
      <c r="F188" s="48" t="s">
        <v>266</v>
      </c>
      <c r="G188" s="79" t="b">
        <v>0</v>
      </c>
      <c r="H188" s="79"/>
      <c r="I188" s="79"/>
      <c r="J188" s="79"/>
      <c r="K188" s="79"/>
      <c r="L188" s="79"/>
      <c r="M188" s="79"/>
      <c r="N188" s="79"/>
      <c r="O188" s="79"/>
      <c r="P188" s="1"/>
      <c r="Q188" s="1"/>
      <c r="R188" s="1"/>
      <c r="S188" s="1"/>
      <c r="T188" s="1"/>
      <c r="U188" s="1"/>
      <c r="V188" s="1"/>
      <c r="W188" s="1"/>
    </row>
    <row r="189" spans="1:23" ht="57.6" customHeight="1" x14ac:dyDescent="0.3">
      <c r="A189" s="1"/>
      <c r="B189" s="1"/>
      <c r="C189" s="1"/>
      <c r="D189" s="1"/>
      <c r="E189" s="3"/>
      <c r="F189" s="47" t="s">
        <v>267</v>
      </c>
      <c r="G189" s="79" t="b">
        <v>0</v>
      </c>
      <c r="H189" s="79"/>
      <c r="I189" s="79"/>
      <c r="J189" s="79"/>
      <c r="K189" s="79"/>
      <c r="L189" s="79"/>
      <c r="M189" s="79"/>
      <c r="N189" s="79"/>
      <c r="O189" s="79"/>
      <c r="P189" s="1"/>
      <c r="Q189" s="1"/>
      <c r="R189" s="1"/>
      <c r="S189" s="1"/>
      <c r="T189" s="1"/>
      <c r="U189" s="1"/>
      <c r="V189" s="1"/>
      <c r="W189" s="1"/>
    </row>
    <row r="190" spans="1:23" ht="57.6" customHeight="1" x14ac:dyDescent="0.3">
      <c r="A190" s="1"/>
      <c r="B190" s="1"/>
      <c r="C190" s="1"/>
      <c r="D190" s="1"/>
      <c r="E190" s="13"/>
      <c r="F190" s="48" t="s">
        <v>268</v>
      </c>
      <c r="G190" s="79" t="b">
        <v>0</v>
      </c>
      <c r="H190" s="79"/>
      <c r="I190" s="79"/>
      <c r="J190" s="79"/>
      <c r="K190" s="79"/>
      <c r="L190" s="79"/>
      <c r="M190" s="79"/>
      <c r="N190" s="79"/>
      <c r="O190" s="79"/>
      <c r="P190" s="1"/>
      <c r="Q190" s="1"/>
      <c r="R190" s="1"/>
      <c r="S190" s="1"/>
      <c r="T190" s="1"/>
      <c r="U190" s="1"/>
      <c r="V190" s="1"/>
      <c r="W190" s="1"/>
    </row>
    <row r="191" spans="1:23" ht="57.6" customHeight="1" x14ac:dyDescent="0.3">
      <c r="A191" s="1"/>
      <c r="B191" s="1"/>
      <c r="C191" s="1"/>
      <c r="D191" s="1"/>
      <c r="E191" s="3"/>
      <c r="F191" s="47" t="s">
        <v>269</v>
      </c>
      <c r="G191" s="79" t="b">
        <v>0</v>
      </c>
      <c r="H191" s="79"/>
      <c r="I191" s="79"/>
      <c r="J191" s="79"/>
      <c r="K191" s="79"/>
      <c r="L191" s="79"/>
      <c r="M191" s="79"/>
      <c r="N191" s="79"/>
      <c r="O191" s="79"/>
      <c r="P191" s="1"/>
      <c r="Q191" s="1"/>
      <c r="R191" s="1"/>
      <c r="S191" s="1"/>
      <c r="T191" s="1"/>
      <c r="U191" s="1"/>
      <c r="V191" s="1"/>
      <c r="W191" s="1"/>
    </row>
    <row r="192" spans="1:23" ht="14.4" customHeight="1" x14ac:dyDescent="0.3">
      <c r="A192" s="1"/>
      <c r="B192" s="51">
        <v>2</v>
      </c>
      <c r="C192" s="50" t="s">
        <v>56</v>
      </c>
      <c r="D192" s="50"/>
      <c r="E192" s="50"/>
      <c r="F192" s="52" t="s">
        <v>126</v>
      </c>
      <c r="G192" s="79"/>
      <c r="H192" s="79" t="b">
        <f>AND(G193:G200)</f>
        <v>0</v>
      </c>
      <c r="I192" s="79"/>
      <c r="J192" s="79"/>
      <c r="K192" s="79"/>
      <c r="L192" s="79"/>
      <c r="M192" s="79"/>
      <c r="N192" s="79"/>
      <c r="O192" s="79"/>
      <c r="P192" s="1"/>
      <c r="Q192" s="1"/>
      <c r="R192" s="1"/>
      <c r="S192" s="1"/>
      <c r="T192" s="1"/>
      <c r="U192" s="1"/>
      <c r="V192" s="1"/>
      <c r="W192" s="1"/>
    </row>
    <row r="193" spans="1:23" ht="57.6" customHeight="1" x14ac:dyDescent="0.3">
      <c r="A193" s="1"/>
      <c r="B193" s="61" t="s">
        <v>126</v>
      </c>
      <c r="C193" s="1"/>
      <c r="D193" s="1"/>
      <c r="E193" s="13"/>
      <c r="F193" s="48" t="s">
        <v>270</v>
      </c>
      <c r="G193" s="79" t="b">
        <v>0</v>
      </c>
      <c r="H193" s="79"/>
      <c r="I193" s="79"/>
      <c r="J193" s="79"/>
      <c r="K193" s="79"/>
      <c r="L193" s="79"/>
      <c r="M193" s="79"/>
      <c r="N193" s="79"/>
      <c r="O193" s="79"/>
      <c r="P193" s="1"/>
      <c r="Q193" s="1"/>
      <c r="R193" s="1"/>
      <c r="S193" s="1"/>
      <c r="T193" s="1"/>
      <c r="U193" s="1"/>
      <c r="V193" s="1"/>
      <c r="W193" s="1"/>
    </row>
    <row r="194" spans="1:23" ht="57.6" customHeight="1" x14ac:dyDescent="0.3">
      <c r="A194" s="1"/>
      <c r="B194" s="1"/>
      <c r="C194" s="1"/>
      <c r="D194" s="1"/>
      <c r="E194" s="3"/>
      <c r="F194" s="47" t="s">
        <v>271</v>
      </c>
      <c r="G194" s="79" t="b">
        <v>0</v>
      </c>
      <c r="H194" s="79"/>
      <c r="I194" s="79"/>
      <c r="J194" s="79"/>
      <c r="K194" s="79"/>
      <c r="L194" s="79"/>
      <c r="M194" s="79"/>
      <c r="N194" s="79"/>
      <c r="O194" s="79"/>
      <c r="P194" s="1"/>
      <c r="Q194" s="1"/>
      <c r="R194" s="1"/>
      <c r="S194" s="1"/>
      <c r="T194" s="1"/>
      <c r="U194" s="1"/>
      <c r="V194" s="1"/>
      <c r="W194" s="1"/>
    </row>
    <row r="195" spans="1:23" ht="57.6" customHeight="1" x14ac:dyDescent="0.3">
      <c r="A195" s="1"/>
      <c r="B195" s="1"/>
      <c r="C195" s="1"/>
      <c r="D195" s="1"/>
      <c r="E195" s="13"/>
      <c r="F195" s="48" t="s">
        <v>272</v>
      </c>
      <c r="G195" s="79" t="b">
        <v>0</v>
      </c>
      <c r="H195" s="79"/>
      <c r="I195" s="79"/>
      <c r="J195" s="79"/>
      <c r="K195" s="79"/>
      <c r="L195" s="79"/>
      <c r="M195" s="79"/>
      <c r="N195" s="79"/>
      <c r="O195" s="79"/>
      <c r="P195" s="1"/>
      <c r="Q195" s="1"/>
      <c r="R195" s="1"/>
      <c r="S195" s="1"/>
      <c r="T195" s="1"/>
      <c r="U195" s="1"/>
      <c r="V195" s="1"/>
      <c r="W195" s="1"/>
    </row>
    <row r="196" spans="1:23" ht="57.6" customHeight="1" x14ac:dyDescent="0.3">
      <c r="A196" s="1"/>
      <c r="B196" s="1"/>
      <c r="C196" s="1"/>
      <c r="D196" s="1"/>
      <c r="E196" s="3"/>
      <c r="F196" s="47" t="s">
        <v>273</v>
      </c>
      <c r="G196" s="79" t="b">
        <v>0</v>
      </c>
      <c r="H196" s="79"/>
      <c r="I196" s="79"/>
      <c r="J196" s="79"/>
      <c r="K196" s="79"/>
      <c r="L196" s="79"/>
      <c r="M196" s="79"/>
      <c r="N196" s="79"/>
      <c r="O196" s="79"/>
      <c r="P196" s="1"/>
      <c r="Q196" s="1"/>
      <c r="R196" s="1"/>
      <c r="S196" s="1"/>
      <c r="T196" s="1"/>
      <c r="U196" s="1"/>
      <c r="V196" s="1"/>
      <c r="W196" s="1"/>
    </row>
    <row r="197" spans="1:23" ht="57.6" customHeight="1" x14ac:dyDescent="0.3">
      <c r="A197" s="1"/>
      <c r="B197" s="1"/>
      <c r="C197" s="1"/>
      <c r="D197" s="1"/>
      <c r="E197" s="13"/>
      <c r="F197" s="48" t="s">
        <v>274</v>
      </c>
      <c r="G197" s="79" t="b">
        <v>0</v>
      </c>
      <c r="H197" s="79"/>
      <c r="I197" s="79"/>
      <c r="J197" s="79"/>
      <c r="K197" s="79"/>
      <c r="L197" s="79"/>
      <c r="M197" s="79"/>
      <c r="N197" s="79"/>
      <c r="O197" s="79"/>
      <c r="P197" s="1"/>
      <c r="Q197" s="1"/>
      <c r="R197" s="1"/>
      <c r="S197" s="1"/>
      <c r="T197" s="1"/>
      <c r="U197" s="1"/>
      <c r="V197" s="1"/>
      <c r="W197" s="1"/>
    </row>
    <row r="198" spans="1:23" ht="57.6" customHeight="1" x14ac:dyDescent="0.3">
      <c r="A198" s="1"/>
      <c r="B198" s="1"/>
      <c r="C198" s="1"/>
      <c r="D198" s="1"/>
      <c r="E198" s="3"/>
      <c r="F198" s="47" t="s">
        <v>275</v>
      </c>
      <c r="G198" s="79" t="b">
        <v>0</v>
      </c>
      <c r="H198" s="79"/>
      <c r="I198" s="79"/>
      <c r="J198" s="79"/>
      <c r="K198" s="79"/>
      <c r="L198" s="79"/>
      <c r="M198" s="79"/>
      <c r="N198" s="79"/>
      <c r="O198" s="79"/>
      <c r="P198" s="1"/>
      <c r="Q198" s="1"/>
      <c r="R198" s="1"/>
      <c r="S198" s="1"/>
      <c r="T198" s="1"/>
      <c r="U198" s="1"/>
      <c r="V198" s="1"/>
      <c r="W198" s="1"/>
    </row>
    <row r="199" spans="1:23" ht="57.6" customHeight="1" x14ac:dyDescent="0.3">
      <c r="A199" s="1"/>
      <c r="B199" s="1"/>
      <c r="C199" s="1"/>
      <c r="D199" s="1"/>
      <c r="E199" s="13"/>
      <c r="F199" s="48" t="s">
        <v>276</v>
      </c>
      <c r="G199" s="79" t="b">
        <v>0</v>
      </c>
      <c r="H199" s="79"/>
      <c r="I199" s="79"/>
      <c r="J199" s="79"/>
      <c r="K199" s="79"/>
      <c r="L199" s="79"/>
      <c r="M199" s="79"/>
      <c r="N199" s="79"/>
      <c r="O199" s="79"/>
      <c r="P199" s="1"/>
      <c r="Q199" s="1"/>
      <c r="R199" s="1"/>
      <c r="S199" s="1"/>
      <c r="T199" s="1"/>
      <c r="U199" s="1"/>
      <c r="V199" s="1"/>
      <c r="W199" s="1"/>
    </row>
    <row r="200" spans="1:23" ht="57.6" customHeight="1" x14ac:dyDescent="0.3">
      <c r="A200" s="1"/>
      <c r="B200" s="1"/>
      <c r="C200" s="1"/>
      <c r="D200" s="1"/>
      <c r="E200" s="3"/>
      <c r="F200" s="47" t="s">
        <v>277</v>
      </c>
      <c r="G200" s="79" t="b">
        <v>0</v>
      </c>
      <c r="H200" s="79"/>
      <c r="I200" s="79"/>
      <c r="J200" s="79"/>
      <c r="K200" s="79"/>
      <c r="L200" s="79"/>
      <c r="M200" s="79"/>
      <c r="N200" s="79"/>
      <c r="O200" s="79"/>
      <c r="P200" s="1"/>
      <c r="Q200" s="1"/>
      <c r="R200" s="1"/>
      <c r="S200" s="1"/>
      <c r="T200" s="1"/>
      <c r="U200" s="1"/>
      <c r="V200" s="1"/>
      <c r="W200" s="1"/>
    </row>
    <row r="201" spans="1:23" ht="14.4" customHeight="1" x14ac:dyDescent="0.3">
      <c r="A201" s="1"/>
      <c r="B201" s="51">
        <v>3</v>
      </c>
      <c r="C201" s="50" t="s">
        <v>57</v>
      </c>
      <c r="D201" s="50"/>
      <c r="E201" s="50"/>
      <c r="F201" s="52" t="s">
        <v>126</v>
      </c>
      <c r="G201" s="79"/>
      <c r="H201" s="79" t="b">
        <f>AND(G202:G207)</f>
        <v>0</v>
      </c>
      <c r="I201" s="79"/>
      <c r="J201" s="79"/>
      <c r="K201" s="79"/>
      <c r="L201" s="79"/>
      <c r="M201" s="79"/>
      <c r="N201" s="79"/>
      <c r="O201" s="79"/>
      <c r="P201" s="1"/>
      <c r="Q201" s="1"/>
      <c r="R201" s="1"/>
      <c r="S201" s="1"/>
      <c r="T201" s="1"/>
      <c r="U201" s="1"/>
      <c r="V201" s="1"/>
      <c r="W201" s="1"/>
    </row>
    <row r="202" spans="1:23" ht="57.6" customHeight="1" x14ac:dyDescent="0.3">
      <c r="A202" s="1"/>
      <c r="B202" s="61" t="s">
        <v>126</v>
      </c>
      <c r="C202" s="1"/>
      <c r="D202" s="1"/>
      <c r="E202" s="13"/>
      <c r="F202" s="48" t="s">
        <v>278</v>
      </c>
      <c r="G202" s="79" t="b">
        <v>0</v>
      </c>
      <c r="H202" s="79"/>
      <c r="I202" s="79"/>
      <c r="J202" s="79"/>
      <c r="K202" s="79"/>
      <c r="L202" s="79"/>
      <c r="M202" s="79"/>
      <c r="N202" s="79"/>
      <c r="O202" s="79"/>
      <c r="P202" s="1"/>
      <c r="Q202" s="1"/>
      <c r="R202" s="1"/>
      <c r="S202" s="1"/>
      <c r="T202" s="1"/>
      <c r="U202" s="1"/>
      <c r="V202" s="1"/>
      <c r="W202" s="1"/>
    </row>
    <row r="203" spans="1:23" ht="57.6" customHeight="1" x14ac:dyDescent="0.3">
      <c r="A203" s="1"/>
      <c r="B203" s="1"/>
      <c r="C203" s="1"/>
      <c r="D203" s="1"/>
      <c r="E203" s="3"/>
      <c r="F203" s="47" t="s">
        <v>279</v>
      </c>
      <c r="G203" s="79" t="b">
        <v>0</v>
      </c>
      <c r="H203" s="79"/>
      <c r="I203" s="79"/>
      <c r="J203" s="79"/>
      <c r="K203" s="79"/>
      <c r="L203" s="79"/>
      <c r="M203" s="79"/>
      <c r="N203" s="79"/>
      <c r="O203" s="79"/>
      <c r="P203" s="1"/>
      <c r="Q203" s="1"/>
      <c r="R203" s="1"/>
      <c r="S203" s="1"/>
      <c r="T203" s="1"/>
      <c r="U203" s="1"/>
      <c r="V203" s="1"/>
      <c r="W203" s="1"/>
    </row>
    <row r="204" spans="1:23" ht="57.6" customHeight="1" x14ac:dyDescent="0.3">
      <c r="A204" s="1"/>
      <c r="B204" s="1"/>
      <c r="C204" s="1"/>
      <c r="D204" s="1"/>
      <c r="E204" s="13"/>
      <c r="F204" s="48" t="s">
        <v>280</v>
      </c>
      <c r="G204" s="79" t="b">
        <v>0</v>
      </c>
      <c r="H204" s="79"/>
      <c r="I204" s="79"/>
      <c r="J204" s="79"/>
      <c r="K204" s="79"/>
      <c r="L204" s="79"/>
      <c r="M204" s="79"/>
      <c r="N204" s="79"/>
      <c r="O204" s="79"/>
      <c r="P204" s="1"/>
      <c r="Q204" s="1"/>
      <c r="R204" s="1"/>
      <c r="S204" s="1"/>
      <c r="T204" s="1"/>
      <c r="U204" s="1"/>
      <c r="V204" s="1"/>
      <c r="W204" s="1"/>
    </row>
    <row r="205" spans="1:23" ht="57.6" customHeight="1" x14ac:dyDescent="0.3">
      <c r="A205" s="1"/>
      <c r="B205" s="1"/>
      <c r="C205" s="1"/>
      <c r="D205" s="1"/>
      <c r="E205" s="3"/>
      <c r="F205" s="47" t="s">
        <v>281</v>
      </c>
      <c r="G205" s="79" t="b">
        <v>0</v>
      </c>
      <c r="H205" s="79"/>
      <c r="I205" s="79"/>
      <c r="J205" s="79"/>
      <c r="K205" s="79"/>
      <c r="L205" s="79"/>
      <c r="M205" s="79"/>
      <c r="N205" s="79"/>
      <c r="O205" s="79"/>
      <c r="P205" s="1"/>
      <c r="Q205" s="1"/>
      <c r="R205" s="1"/>
      <c r="S205" s="1"/>
      <c r="T205" s="1"/>
      <c r="U205" s="1"/>
      <c r="V205" s="1"/>
      <c r="W205" s="1"/>
    </row>
    <row r="206" spans="1:23" ht="57.6" customHeight="1" x14ac:dyDescent="0.3">
      <c r="A206" s="1"/>
      <c r="B206" s="1"/>
      <c r="C206" s="1"/>
      <c r="D206" s="1"/>
      <c r="E206" s="13"/>
      <c r="F206" s="48" t="s">
        <v>282</v>
      </c>
      <c r="G206" s="79" t="b">
        <v>0</v>
      </c>
      <c r="H206" s="79"/>
      <c r="I206" s="79"/>
      <c r="J206" s="79"/>
      <c r="K206" s="79"/>
      <c r="L206" s="79"/>
      <c r="M206" s="79"/>
      <c r="N206" s="79"/>
      <c r="O206" s="79"/>
      <c r="P206" s="1"/>
      <c r="Q206" s="1"/>
      <c r="R206" s="1"/>
      <c r="S206" s="1"/>
      <c r="T206" s="1"/>
      <c r="U206" s="1"/>
      <c r="V206" s="1"/>
      <c r="W206" s="1"/>
    </row>
    <row r="207" spans="1:23" ht="57.6" customHeight="1" x14ac:dyDescent="0.3">
      <c r="A207" s="1"/>
      <c r="B207" s="1"/>
      <c r="C207" s="1"/>
      <c r="D207" s="1"/>
      <c r="E207" s="3"/>
      <c r="F207" s="47" t="s">
        <v>283</v>
      </c>
      <c r="G207" s="79" t="b">
        <v>0</v>
      </c>
      <c r="H207" s="79"/>
      <c r="I207" s="79"/>
      <c r="J207" s="79"/>
      <c r="K207" s="79"/>
      <c r="L207" s="79"/>
      <c r="M207" s="79"/>
      <c r="N207" s="79"/>
      <c r="O207" s="79"/>
      <c r="P207" s="1"/>
      <c r="Q207" s="1"/>
      <c r="R207" s="1"/>
      <c r="S207" s="1"/>
      <c r="T207" s="1"/>
      <c r="U207" s="1"/>
      <c r="V207" s="1"/>
      <c r="W207" s="1"/>
    </row>
    <row r="208" spans="1:23" ht="14.4" customHeight="1" x14ac:dyDescent="0.3">
      <c r="A208" s="1"/>
      <c r="B208" s="51">
        <v>4</v>
      </c>
      <c r="C208" s="50" t="s">
        <v>58</v>
      </c>
      <c r="D208" s="50"/>
      <c r="E208" s="50"/>
      <c r="F208" s="52"/>
      <c r="G208" s="79"/>
      <c r="H208" s="79" t="b">
        <f>AND(G209:G213)</f>
        <v>0</v>
      </c>
      <c r="I208" s="79"/>
      <c r="J208" s="79"/>
      <c r="K208" s="79"/>
      <c r="L208" s="79"/>
      <c r="M208" s="79"/>
      <c r="N208" s="79"/>
      <c r="O208" s="79"/>
      <c r="P208" s="1"/>
      <c r="Q208" s="1"/>
      <c r="R208" s="1"/>
      <c r="S208" s="1"/>
      <c r="T208" s="1"/>
      <c r="U208" s="1"/>
      <c r="V208" s="1"/>
      <c r="W208" s="1"/>
    </row>
    <row r="209" spans="1:23" ht="57.6" customHeight="1" x14ac:dyDescent="0.3">
      <c r="A209" s="1"/>
      <c r="B209" s="61" t="s">
        <v>126</v>
      </c>
      <c r="C209" s="1"/>
      <c r="D209" s="1"/>
      <c r="E209" s="13"/>
      <c r="F209" s="48" t="s">
        <v>284</v>
      </c>
      <c r="G209" s="79" t="b">
        <v>0</v>
      </c>
      <c r="H209" s="79"/>
      <c r="I209" s="79"/>
      <c r="J209" s="79"/>
      <c r="K209" s="79"/>
      <c r="L209" s="79"/>
      <c r="M209" s="79"/>
      <c r="N209" s="79"/>
      <c r="O209" s="79"/>
      <c r="P209" s="1"/>
      <c r="Q209" s="1"/>
      <c r="R209" s="1"/>
      <c r="S209" s="1"/>
      <c r="T209" s="1"/>
      <c r="U209" s="1"/>
      <c r="V209" s="1"/>
      <c r="W209" s="1"/>
    </row>
    <row r="210" spans="1:23" ht="57.6" customHeight="1" x14ac:dyDescent="0.3">
      <c r="A210" s="1"/>
      <c r="B210" s="1"/>
      <c r="C210" s="1"/>
      <c r="D210" s="1"/>
      <c r="E210" s="3"/>
      <c r="F210" s="47" t="s">
        <v>285</v>
      </c>
      <c r="G210" s="79" t="b">
        <v>0</v>
      </c>
      <c r="H210" s="79"/>
      <c r="I210" s="79"/>
      <c r="J210" s="79"/>
      <c r="K210" s="79"/>
      <c r="L210" s="79"/>
      <c r="M210" s="79"/>
      <c r="N210" s="79"/>
      <c r="O210" s="79"/>
      <c r="P210" s="1"/>
      <c r="Q210" s="1"/>
      <c r="R210" s="1"/>
      <c r="S210" s="1"/>
      <c r="T210" s="1"/>
      <c r="U210" s="1"/>
      <c r="V210" s="1"/>
      <c r="W210" s="1"/>
    </row>
    <row r="211" spans="1:23" ht="57.6" customHeight="1" x14ac:dyDescent="0.3">
      <c r="A211" s="1"/>
      <c r="B211" s="1"/>
      <c r="C211" s="1"/>
      <c r="D211" s="1"/>
      <c r="E211" s="13"/>
      <c r="F211" s="48" t="s">
        <v>286</v>
      </c>
      <c r="G211" s="79" t="b">
        <v>0</v>
      </c>
      <c r="H211" s="79"/>
      <c r="I211" s="79"/>
      <c r="J211" s="79"/>
      <c r="K211" s="79"/>
      <c r="L211" s="79"/>
      <c r="M211" s="79"/>
      <c r="N211" s="79"/>
      <c r="O211" s="79"/>
      <c r="P211" s="1"/>
      <c r="Q211" s="1"/>
      <c r="R211" s="1"/>
      <c r="S211" s="1"/>
      <c r="T211" s="1"/>
      <c r="U211" s="1"/>
      <c r="V211" s="1"/>
      <c r="W211" s="1"/>
    </row>
    <row r="212" spans="1:23" ht="57.6" customHeight="1" x14ac:dyDescent="0.3">
      <c r="A212" s="1"/>
      <c r="B212" s="1"/>
      <c r="C212" s="1"/>
      <c r="D212" s="1"/>
      <c r="E212" s="3"/>
      <c r="F212" s="47" t="s">
        <v>287</v>
      </c>
      <c r="G212" s="79" t="b">
        <v>0</v>
      </c>
      <c r="H212" s="79"/>
      <c r="I212" s="79"/>
      <c r="J212" s="79"/>
      <c r="K212" s="79"/>
      <c r="L212" s="79"/>
      <c r="M212" s="79"/>
      <c r="N212" s="79"/>
      <c r="O212" s="79"/>
      <c r="P212" s="1"/>
      <c r="Q212" s="1"/>
      <c r="R212" s="1"/>
      <c r="S212" s="1"/>
      <c r="T212" s="1"/>
      <c r="U212" s="1"/>
      <c r="V212" s="1"/>
      <c r="W212" s="1"/>
    </row>
    <row r="213" spans="1:23" ht="57.6" customHeight="1" x14ac:dyDescent="0.3">
      <c r="A213" s="1"/>
      <c r="B213" s="1"/>
      <c r="C213" s="1"/>
      <c r="D213" s="1"/>
      <c r="E213" s="13"/>
      <c r="F213" s="48" t="s">
        <v>288</v>
      </c>
      <c r="G213" s="79" t="b">
        <v>0</v>
      </c>
      <c r="H213" s="79"/>
      <c r="I213" s="79"/>
      <c r="J213" s="79"/>
      <c r="K213" s="79"/>
      <c r="L213" s="79"/>
      <c r="M213" s="79"/>
      <c r="N213" s="79"/>
      <c r="O213" s="79"/>
      <c r="P213" s="1"/>
      <c r="Q213" s="1"/>
      <c r="R213" s="1"/>
      <c r="S213" s="1"/>
      <c r="T213" s="1"/>
      <c r="U213" s="1"/>
      <c r="V213" s="1"/>
      <c r="W213" s="1"/>
    </row>
    <row r="214" spans="1:23" ht="14.4" customHeight="1" x14ac:dyDescent="0.3">
      <c r="A214" s="63" t="s">
        <v>508</v>
      </c>
      <c r="B214" s="59" t="s">
        <v>289</v>
      </c>
      <c r="C214" s="56"/>
      <c r="D214" s="56"/>
      <c r="E214" s="56"/>
      <c r="F214" s="57"/>
      <c r="G214" s="79"/>
      <c r="H214" s="79" t="b">
        <f>AND(H215,H228,H240,H248,H257,H263,H269,H275)</f>
        <v>0</v>
      </c>
      <c r="I214" s="79"/>
      <c r="J214" s="79"/>
      <c r="K214" s="79"/>
      <c r="L214" s="79"/>
      <c r="M214" s="79"/>
      <c r="N214" s="79"/>
      <c r="O214" s="79"/>
      <c r="P214" s="1"/>
      <c r="Q214" s="1"/>
      <c r="R214" s="1"/>
      <c r="S214" s="1"/>
      <c r="T214" s="1"/>
      <c r="U214" s="1"/>
      <c r="V214" s="1"/>
      <c r="W214" s="1"/>
    </row>
    <row r="215" spans="1:23" ht="14.4" customHeight="1" x14ac:dyDescent="0.3">
      <c r="A215" s="1"/>
      <c r="B215" s="51">
        <v>1</v>
      </c>
      <c r="C215" s="50" t="s">
        <v>59</v>
      </c>
      <c r="D215" s="50"/>
      <c r="E215" s="50"/>
      <c r="F215" s="52" t="s">
        <v>126</v>
      </c>
      <c r="G215" s="79"/>
      <c r="H215" s="79" t="b">
        <f>AND(G216:G227)</f>
        <v>0</v>
      </c>
      <c r="I215" s="79"/>
      <c r="J215" s="79"/>
      <c r="K215" s="79"/>
      <c r="L215" s="79"/>
      <c r="M215" s="79"/>
      <c r="N215" s="79"/>
      <c r="O215" s="79"/>
      <c r="P215" s="1"/>
      <c r="Q215" s="1"/>
      <c r="R215" s="1"/>
      <c r="S215" s="1"/>
      <c r="T215" s="1"/>
      <c r="U215" s="1"/>
      <c r="V215" s="1"/>
      <c r="W215" s="1"/>
    </row>
    <row r="216" spans="1:23" ht="57.6" customHeight="1" x14ac:dyDescent="0.3">
      <c r="A216" s="1"/>
      <c r="B216" s="61" t="s">
        <v>126</v>
      </c>
      <c r="C216" s="1"/>
      <c r="D216" s="1"/>
      <c r="E216" s="13"/>
      <c r="F216" s="48" t="s">
        <v>290</v>
      </c>
      <c r="G216" s="79" t="b">
        <v>0</v>
      </c>
      <c r="H216" s="79"/>
      <c r="I216" s="79"/>
      <c r="J216" s="79"/>
      <c r="K216" s="79"/>
      <c r="L216" s="79"/>
      <c r="M216" s="79"/>
      <c r="N216" s="79"/>
      <c r="O216" s="79"/>
      <c r="P216" s="1"/>
      <c r="Q216" s="1"/>
      <c r="R216" s="1"/>
      <c r="S216" s="1"/>
      <c r="T216" s="1"/>
      <c r="U216" s="1"/>
      <c r="V216" s="1"/>
      <c r="W216" s="1"/>
    </row>
    <row r="217" spans="1:23" ht="57.6" customHeight="1" x14ac:dyDescent="0.3">
      <c r="A217" s="1"/>
      <c r="B217" s="1"/>
      <c r="C217" s="1"/>
      <c r="D217" s="1"/>
      <c r="E217" s="3"/>
      <c r="F217" s="47" t="s">
        <v>291</v>
      </c>
      <c r="G217" s="79" t="b">
        <v>0</v>
      </c>
      <c r="H217" s="79"/>
      <c r="I217" s="79"/>
      <c r="J217" s="79"/>
      <c r="K217" s="79"/>
      <c r="L217" s="79"/>
      <c r="M217" s="79"/>
      <c r="N217" s="79"/>
      <c r="O217" s="79"/>
      <c r="P217" s="1"/>
      <c r="Q217" s="1"/>
      <c r="R217" s="1"/>
      <c r="S217" s="1"/>
      <c r="T217" s="1"/>
      <c r="U217" s="1"/>
      <c r="V217" s="1"/>
      <c r="W217" s="1"/>
    </row>
    <row r="218" spans="1:23" ht="57.6" customHeight="1" x14ac:dyDescent="0.3">
      <c r="A218" s="1"/>
      <c r="B218" s="1"/>
      <c r="C218" s="1"/>
      <c r="D218" s="1"/>
      <c r="E218" s="13"/>
      <c r="F218" s="48" t="s">
        <v>292</v>
      </c>
      <c r="G218" s="79" t="b">
        <v>0</v>
      </c>
      <c r="H218" s="79"/>
      <c r="I218" s="79"/>
      <c r="J218" s="79"/>
      <c r="K218" s="79"/>
      <c r="L218" s="79"/>
      <c r="M218" s="79"/>
      <c r="N218" s="79"/>
      <c r="O218" s="79"/>
      <c r="P218" s="1"/>
      <c r="Q218" s="1"/>
      <c r="R218" s="1"/>
      <c r="S218" s="1"/>
      <c r="T218" s="1"/>
      <c r="U218" s="1"/>
      <c r="V218" s="1"/>
      <c r="W218" s="1"/>
    </row>
    <row r="219" spans="1:23" ht="57.6" customHeight="1" x14ac:dyDescent="0.3">
      <c r="A219" s="1"/>
      <c r="B219" s="1"/>
      <c r="C219" s="1"/>
      <c r="D219" s="1"/>
      <c r="E219" s="3"/>
      <c r="F219" s="47" t="s">
        <v>293</v>
      </c>
      <c r="G219" s="79" t="b">
        <v>0</v>
      </c>
      <c r="H219" s="79"/>
      <c r="I219" s="79"/>
      <c r="J219" s="79"/>
      <c r="K219" s="79"/>
      <c r="L219" s="79"/>
      <c r="M219" s="79"/>
      <c r="N219" s="79"/>
      <c r="O219" s="79"/>
      <c r="P219" s="1"/>
      <c r="Q219" s="1"/>
      <c r="R219" s="1"/>
      <c r="S219" s="1"/>
      <c r="T219" s="1"/>
      <c r="U219" s="1"/>
      <c r="V219" s="1"/>
      <c r="W219" s="1"/>
    </row>
    <row r="220" spans="1:23" ht="57.6" customHeight="1" x14ac:dyDescent="0.3">
      <c r="A220" s="1"/>
      <c r="B220" s="1"/>
      <c r="C220" s="1"/>
      <c r="D220" s="1"/>
      <c r="E220" s="13"/>
      <c r="F220" s="48" t="s">
        <v>294</v>
      </c>
      <c r="G220" s="79" t="b">
        <v>0</v>
      </c>
      <c r="H220" s="79"/>
      <c r="I220" s="79"/>
      <c r="J220" s="79"/>
      <c r="K220" s="79"/>
      <c r="L220" s="79"/>
      <c r="M220" s="79"/>
      <c r="N220" s="79"/>
      <c r="O220" s="79"/>
      <c r="P220" s="1"/>
      <c r="Q220" s="1"/>
      <c r="R220" s="1"/>
      <c r="S220" s="1"/>
      <c r="T220" s="1"/>
      <c r="U220" s="1"/>
      <c r="V220" s="1"/>
      <c r="W220" s="1"/>
    </row>
    <row r="221" spans="1:23" ht="57.6" customHeight="1" x14ac:dyDescent="0.3">
      <c r="A221" s="1"/>
      <c r="B221" s="1"/>
      <c r="C221" s="1"/>
      <c r="D221" s="1"/>
      <c r="E221" s="3"/>
      <c r="F221" s="47" t="s">
        <v>295</v>
      </c>
      <c r="G221" s="79" t="b">
        <v>0</v>
      </c>
      <c r="H221" s="79"/>
      <c r="I221" s="79"/>
      <c r="J221" s="79"/>
      <c r="K221" s="79"/>
      <c r="L221" s="79"/>
      <c r="M221" s="79"/>
      <c r="N221" s="79"/>
      <c r="O221" s="79"/>
      <c r="P221" s="1"/>
      <c r="Q221" s="1"/>
      <c r="R221" s="1"/>
      <c r="S221" s="1"/>
      <c r="T221" s="1"/>
      <c r="U221" s="1"/>
      <c r="V221" s="1"/>
      <c r="W221" s="1"/>
    </row>
    <row r="222" spans="1:23" ht="57.6" customHeight="1" x14ac:dyDescent="0.3">
      <c r="A222" s="1"/>
      <c r="B222" s="1"/>
      <c r="C222" s="1"/>
      <c r="D222" s="1"/>
      <c r="E222" s="13"/>
      <c r="F222" s="48" t="s">
        <v>296</v>
      </c>
      <c r="G222" s="79" t="b">
        <v>0</v>
      </c>
      <c r="H222" s="79"/>
      <c r="I222" s="79"/>
      <c r="J222" s="79"/>
      <c r="K222" s="79"/>
      <c r="L222" s="79"/>
      <c r="M222" s="79"/>
      <c r="N222" s="79"/>
      <c r="O222" s="79"/>
      <c r="P222" s="1"/>
      <c r="Q222" s="1"/>
      <c r="R222" s="1"/>
      <c r="S222" s="1"/>
      <c r="T222" s="1"/>
      <c r="U222" s="1"/>
      <c r="V222" s="1"/>
      <c r="W222" s="1"/>
    </row>
    <row r="223" spans="1:23" ht="57.6" customHeight="1" x14ac:dyDescent="0.3">
      <c r="A223" s="1"/>
      <c r="B223" s="1"/>
      <c r="C223" s="1"/>
      <c r="D223" s="1"/>
      <c r="E223" s="3"/>
      <c r="F223" s="47" t="s">
        <v>297</v>
      </c>
      <c r="G223" s="79" t="b">
        <v>0</v>
      </c>
      <c r="H223" s="79"/>
      <c r="I223" s="79"/>
      <c r="J223" s="79"/>
      <c r="K223" s="79"/>
      <c r="L223" s="79"/>
      <c r="M223" s="79"/>
      <c r="N223" s="79"/>
      <c r="O223" s="79"/>
      <c r="P223" s="1"/>
      <c r="Q223" s="1"/>
      <c r="R223" s="1"/>
      <c r="S223" s="1"/>
      <c r="T223" s="1"/>
      <c r="U223" s="1"/>
      <c r="V223" s="1"/>
      <c r="W223" s="1"/>
    </row>
    <row r="224" spans="1:23" ht="57.6" customHeight="1" x14ac:dyDescent="0.3">
      <c r="A224" s="1"/>
      <c r="B224" s="1"/>
      <c r="C224" s="1"/>
      <c r="E224" s="13"/>
      <c r="F224" s="48" t="s">
        <v>298</v>
      </c>
      <c r="G224" s="79" t="b">
        <v>0</v>
      </c>
      <c r="H224" s="79"/>
      <c r="I224" s="79"/>
      <c r="J224" s="79"/>
      <c r="K224" s="79"/>
      <c r="L224" s="79"/>
      <c r="M224" s="79"/>
      <c r="N224" s="79"/>
      <c r="O224" s="79"/>
      <c r="P224" s="1"/>
      <c r="Q224" s="1"/>
      <c r="R224" s="1"/>
      <c r="S224" s="1"/>
      <c r="T224" s="1"/>
      <c r="U224" s="1"/>
      <c r="V224" s="1"/>
      <c r="W224" s="1"/>
    </row>
    <row r="225" spans="1:23" ht="57.6" customHeight="1" x14ac:dyDescent="0.3">
      <c r="A225" s="1"/>
      <c r="B225" s="1"/>
      <c r="C225" s="1"/>
      <c r="D225" s="1"/>
      <c r="E225" s="3"/>
      <c r="F225" s="47" t="s">
        <v>299</v>
      </c>
      <c r="G225" s="79" t="b">
        <v>0</v>
      </c>
      <c r="H225" s="79"/>
      <c r="I225" s="79"/>
      <c r="J225" s="79"/>
      <c r="K225" s="79"/>
      <c r="L225" s="79"/>
      <c r="M225" s="79"/>
      <c r="N225" s="79"/>
      <c r="O225" s="79"/>
      <c r="P225" s="1"/>
      <c r="Q225" s="1"/>
      <c r="R225" s="1"/>
      <c r="S225" s="1"/>
      <c r="T225" s="1"/>
      <c r="U225" s="1"/>
      <c r="V225" s="1"/>
      <c r="W225" s="1"/>
    </row>
    <row r="226" spans="1:23" ht="57.6" customHeight="1" x14ac:dyDescent="0.3">
      <c r="A226" s="1"/>
      <c r="B226" s="1"/>
      <c r="C226" s="1"/>
      <c r="D226" s="1"/>
      <c r="E226" s="13"/>
      <c r="F226" s="48" t="s">
        <v>300</v>
      </c>
      <c r="G226" s="79" t="b">
        <v>0</v>
      </c>
      <c r="H226" s="79"/>
      <c r="I226" s="79"/>
      <c r="J226" s="79"/>
      <c r="K226" s="79"/>
      <c r="L226" s="79"/>
      <c r="M226" s="79"/>
      <c r="N226" s="79"/>
      <c r="O226" s="79"/>
      <c r="P226" s="1"/>
      <c r="Q226" s="1"/>
      <c r="R226" s="1"/>
      <c r="S226" s="1"/>
      <c r="T226" s="1"/>
      <c r="U226" s="1"/>
      <c r="V226" s="1"/>
      <c r="W226" s="1"/>
    </row>
    <row r="227" spans="1:23" ht="57.6" customHeight="1" x14ac:dyDescent="0.3">
      <c r="A227" s="1"/>
      <c r="B227" s="1"/>
      <c r="C227" s="1"/>
      <c r="D227" s="1"/>
      <c r="E227" s="3"/>
      <c r="F227" s="47" t="s">
        <v>301</v>
      </c>
      <c r="G227" s="79" t="b">
        <v>0</v>
      </c>
      <c r="H227" s="79"/>
      <c r="I227" s="79"/>
      <c r="J227" s="79"/>
      <c r="K227" s="79"/>
      <c r="L227" s="79"/>
      <c r="M227" s="79"/>
      <c r="N227" s="79"/>
      <c r="O227" s="79"/>
      <c r="P227" s="1"/>
      <c r="Q227" s="1"/>
      <c r="R227" s="1"/>
      <c r="S227" s="1"/>
      <c r="T227" s="1"/>
      <c r="U227" s="1"/>
      <c r="V227" s="1"/>
      <c r="W227" s="1"/>
    </row>
    <row r="228" spans="1:23" ht="14.4" customHeight="1" x14ac:dyDescent="0.3">
      <c r="A228" s="1"/>
      <c r="B228" s="51">
        <v>2</v>
      </c>
      <c r="C228" s="50" t="s">
        <v>61</v>
      </c>
      <c r="D228" s="50"/>
      <c r="E228" s="50"/>
      <c r="F228" s="52" t="s">
        <v>126</v>
      </c>
      <c r="G228" s="79"/>
      <c r="H228" s="79" t="b">
        <f>AND(G229:G239)</f>
        <v>0</v>
      </c>
      <c r="I228" s="79"/>
      <c r="J228" s="79"/>
      <c r="K228" s="79"/>
      <c r="L228" s="79"/>
      <c r="M228" s="79"/>
      <c r="N228" s="79"/>
      <c r="O228" s="79"/>
      <c r="P228" s="1"/>
      <c r="Q228" s="1"/>
      <c r="R228" s="1"/>
      <c r="S228" s="1"/>
      <c r="T228" s="1"/>
      <c r="U228" s="1"/>
      <c r="V228" s="1"/>
      <c r="W228" s="1"/>
    </row>
    <row r="229" spans="1:23" ht="57.6" customHeight="1" x14ac:dyDescent="0.3">
      <c r="A229" s="1"/>
      <c r="B229" s="61" t="s">
        <v>126</v>
      </c>
      <c r="C229" s="1"/>
      <c r="D229" s="1"/>
      <c r="E229" s="13"/>
      <c r="F229" s="48" t="s">
        <v>302</v>
      </c>
      <c r="G229" s="79" t="b">
        <v>0</v>
      </c>
      <c r="H229" s="79"/>
      <c r="I229" s="79"/>
      <c r="J229" s="79"/>
      <c r="K229" s="79"/>
      <c r="L229" s="79"/>
      <c r="M229" s="79"/>
      <c r="N229" s="79"/>
      <c r="O229" s="79"/>
      <c r="P229" s="1"/>
      <c r="Q229" s="1"/>
      <c r="R229" s="1"/>
      <c r="S229" s="1"/>
      <c r="T229" s="1"/>
      <c r="U229" s="1"/>
      <c r="V229" s="1"/>
      <c r="W229" s="1"/>
    </row>
    <row r="230" spans="1:23" ht="57.6" customHeight="1" x14ac:dyDescent="0.3">
      <c r="A230" s="1"/>
      <c r="B230" s="1"/>
      <c r="C230" s="1"/>
      <c r="D230" s="1"/>
      <c r="E230" s="3"/>
      <c r="F230" s="47" t="s">
        <v>303</v>
      </c>
      <c r="G230" s="79" t="b">
        <v>0</v>
      </c>
      <c r="H230" s="79"/>
      <c r="I230" s="79"/>
      <c r="J230" s="79"/>
      <c r="K230" s="79"/>
      <c r="L230" s="79"/>
      <c r="M230" s="79"/>
      <c r="N230" s="79"/>
      <c r="O230" s="79"/>
      <c r="P230" s="1"/>
      <c r="Q230" s="1"/>
      <c r="R230" s="1"/>
      <c r="S230" s="1"/>
      <c r="T230" s="1"/>
      <c r="U230" s="1"/>
      <c r="V230" s="1"/>
      <c r="W230" s="1"/>
    </row>
    <row r="231" spans="1:23" ht="57.6" customHeight="1" x14ac:dyDescent="0.3">
      <c r="A231" s="1"/>
      <c r="B231" s="1"/>
      <c r="C231" s="1"/>
      <c r="D231" s="1"/>
      <c r="E231" s="13"/>
      <c r="F231" s="48" t="s">
        <v>304</v>
      </c>
      <c r="G231" s="79" t="b">
        <v>0</v>
      </c>
      <c r="H231" s="79"/>
      <c r="I231" s="79"/>
      <c r="J231" s="79"/>
      <c r="K231" s="79"/>
      <c r="L231" s="79"/>
      <c r="M231" s="79"/>
      <c r="N231" s="79"/>
      <c r="O231" s="79"/>
      <c r="P231" s="1"/>
      <c r="Q231" s="1"/>
      <c r="R231" s="1"/>
      <c r="S231" s="1"/>
      <c r="T231" s="1"/>
      <c r="U231" s="1"/>
      <c r="V231" s="1"/>
      <c r="W231" s="1"/>
    </row>
    <row r="232" spans="1:23" ht="57.6" customHeight="1" x14ac:dyDescent="0.3">
      <c r="A232" s="1"/>
      <c r="B232" s="1"/>
      <c r="C232" s="1"/>
      <c r="D232" s="1"/>
      <c r="E232" s="3"/>
      <c r="F232" s="47" t="s">
        <v>305</v>
      </c>
      <c r="G232" s="79" t="b">
        <v>0</v>
      </c>
      <c r="H232" s="79"/>
      <c r="I232" s="79"/>
      <c r="J232" s="79"/>
      <c r="K232" s="79"/>
      <c r="L232" s="79"/>
      <c r="M232" s="79"/>
      <c r="N232" s="79"/>
      <c r="O232" s="79"/>
      <c r="P232" s="1"/>
      <c r="Q232" s="1"/>
      <c r="R232" s="1"/>
      <c r="S232" s="1"/>
      <c r="T232" s="1"/>
      <c r="U232" s="1"/>
      <c r="V232" s="1"/>
      <c r="W232" s="1"/>
    </row>
    <row r="233" spans="1:23" ht="57.6" customHeight="1" x14ac:dyDescent="0.3">
      <c r="A233" s="1"/>
      <c r="B233" s="1"/>
      <c r="C233" s="1"/>
      <c r="D233" s="1"/>
      <c r="E233" s="13"/>
      <c r="F233" s="48" t="s">
        <v>306</v>
      </c>
      <c r="G233" s="79" t="b">
        <v>0</v>
      </c>
      <c r="H233" s="79"/>
      <c r="I233" s="79"/>
      <c r="J233" s="79"/>
      <c r="K233" s="79"/>
      <c r="L233" s="79"/>
      <c r="M233" s="79"/>
      <c r="N233" s="79"/>
      <c r="O233" s="79"/>
      <c r="P233" s="1"/>
      <c r="Q233" s="1"/>
      <c r="R233" s="1"/>
      <c r="S233" s="1"/>
      <c r="T233" s="1"/>
      <c r="U233" s="1"/>
      <c r="V233" s="1"/>
      <c r="W233" s="1"/>
    </row>
    <row r="234" spans="1:23" ht="57.6" customHeight="1" x14ac:dyDescent="0.3">
      <c r="A234" s="1"/>
      <c r="B234" s="1"/>
      <c r="C234" s="1"/>
      <c r="D234" s="1"/>
      <c r="E234" s="3"/>
      <c r="F234" s="47" t="s">
        <v>307</v>
      </c>
      <c r="G234" s="79" t="b">
        <v>0</v>
      </c>
      <c r="H234" s="79"/>
      <c r="I234" s="79"/>
      <c r="J234" s="79"/>
      <c r="K234" s="79"/>
      <c r="L234" s="79"/>
      <c r="M234" s="79"/>
      <c r="N234" s="79"/>
      <c r="O234" s="79"/>
      <c r="P234" s="1"/>
      <c r="Q234" s="1"/>
      <c r="R234" s="1"/>
      <c r="S234" s="1"/>
      <c r="T234" s="1"/>
      <c r="U234" s="1"/>
      <c r="V234" s="1"/>
      <c r="W234" s="1"/>
    </row>
    <row r="235" spans="1:23" ht="57.6" customHeight="1" x14ac:dyDescent="0.3">
      <c r="A235" s="1"/>
      <c r="B235" s="1"/>
      <c r="C235" s="1"/>
      <c r="D235" s="1"/>
      <c r="E235" s="13"/>
      <c r="F235" s="48" t="s">
        <v>308</v>
      </c>
      <c r="G235" s="79" t="b">
        <v>0</v>
      </c>
      <c r="H235" s="79"/>
      <c r="I235" s="79"/>
      <c r="J235" s="79"/>
      <c r="K235" s="79"/>
      <c r="L235" s="79"/>
      <c r="M235" s="79"/>
      <c r="N235" s="79"/>
      <c r="O235" s="79"/>
      <c r="P235" s="1"/>
      <c r="Q235" s="1"/>
      <c r="R235" s="1"/>
      <c r="S235" s="1"/>
      <c r="T235" s="1"/>
      <c r="U235" s="1"/>
      <c r="V235" s="1"/>
      <c r="W235" s="1"/>
    </row>
    <row r="236" spans="1:23" ht="57.6" customHeight="1" x14ac:dyDescent="0.3">
      <c r="A236" s="1"/>
      <c r="B236" s="1"/>
      <c r="C236" s="1"/>
      <c r="D236" s="1"/>
      <c r="E236" s="3"/>
      <c r="F236" s="47" t="s">
        <v>309</v>
      </c>
      <c r="G236" s="79" t="b">
        <v>0</v>
      </c>
      <c r="H236" s="79"/>
      <c r="I236" s="79"/>
      <c r="J236" s="79"/>
      <c r="K236" s="79"/>
      <c r="L236" s="79"/>
      <c r="M236" s="79"/>
      <c r="N236" s="79"/>
      <c r="O236" s="79"/>
      <c r="P236" s="1"/>
      <c r="Q236" s="1"/>
      <c r="R236" s="1"/>
      <c r="S236" s="1"/>
      <c r="T236" s="1"/>
      <c r="U236" s="1"/>
      <c r="V236" s="1"/>
      <c r="W236" s="1"/>
    </row>
    <row r="237" spans="1:23" ht="57.6" customHeight="1" x14ac:dyDescent="0.3">
      <c r="A237" s="1"/>
      <c r="B237" s="1"/>
      <c r="C237" s="1"/>
      <c r="D237" s="1"/>
      <c r="E237" s="13"/>
      <c r="F237" s="48" t="s">
        <v>310</v>
      </c>
      <c r="G237" s="79" t="b">
        <v>0</v>
      </c>
      <c r="H237" s="79"/>
      <c r="I237" s="79"/>
      <c r="J237" s="79"/>
      <c r="K237" s="79"/>
      <c r="L237" s="79"/>
      <c r="M237" s="79"/>
      <c r="N237" s="79"/>
      <c r="O237" s="79"/>
      <c r="P237" s="1"/>
      <c r="Q237" s="1"/>
      <c r="R237" s="1"/>
      <c r="S237" s="1"/>
      <c r="T237" s="1"/>
      <c r="U237" s="1"/>
      <c r="V237" s="1"/>
      <c r="W237" s="1"/>
    </row>
    <row r="238" spans="1:23" ht="57.6" customHeight="1" x14ac:dyDescent="0.3">
      <c r="A238" s="1"/>
      <c r="B238" s="1"/>
      <c r="C238" s="1"/>
      <c r="D238" s="1"/>
      <c r="E238" s="3"/>
      <c r="F238" s="47" t="s">
        <v>311</v>
      </c>
      <c r="G238" s="79" t="b">
        <v>0</v>
      </c>
      <c r="H238" s="79"/>
      <c r="I238" s="79"/>
      <c r="J238" s="79"/>
      <c r="K238" s="79"/>
      <c r="L238" s="79"/>
      <c r="M238" s="79"/>
      <c r="N238" s="79"/>
      <c r="O238" s="79"/>
      <c r="P238" s="1"/>
      <c r="Q238" s="1"/>
      <c r="R238" s="1"/>
      <c r="S238" s="1"/>
      <c r="T238" s="1"/>
      <c r="U238" s="1"/>
      <c r="V238" s="1"/>
      <c r="W238" s="1"/>
    </row>
    <row r="239" spans="1:23" ht="57.6" customHeight="1" x14ac:dyDescent="0.3">
      <c r="A239" s="1"/>
      <c r="B239" s="1"/>
      <c r="C239" s="1"/>
      <c r="D239" s="1"/>
      <c r="E239" s="13"/>
      <c r="F239" s="48" t="s">
        <v>312</v>
      </c>
      <c r="G239" s="79" t="b">
        <v>0</v>
      </c>
      <c r="H239" s="79"/>
      <c r="I239" s="79"/>
      <c r="J239" s="79"/>
      <c r="K239" s="79"/>
      <c r="L239" s="79"/>
      <c r="M239" s="79"/>
      <c r="N239" s="79"/>
      <c r="O239" s="79"/>
      <c r="P239" s="1"/>
      <c r="Q239" s="1"/>
      <c r="R239" s="1"/>
      <c r="S239" s="1"/>
      <c r="T239" s="1"/>
      <c r="U239" s="1"/>
      <c r="V239" s="1"/>
      <c r="W239" s="1"/>
    </row>
    <row r="240" spans="1:23" ht="14.4" customHeight="1" x14ac:dyDescent="0.3">
      <c r="A240" s="1"/>
      <c r="B240" s="51">
        <v>3</v>
      </c>
      <c r="C240" s="50" t="s">
        <v>62</v>
      </c>
      <c r="D240" s="50"/>
      <c r="E240" s="50"/>
      <c r="F240" s="52" t="s">
        <v>126</v>
      </c>
      <c r="G240" s="79"/>
      <c r="H240" s="79" t="b">
        <f>AND(G241:G247)</f>
        <v>0</v>
      </c>
      <c r="I240" s="79"/>
      <c r="J240" s="79"/>
      <c r="K240" s="79"/>
      <c r="L240" s="79"/>
      <c r="M240" s="79"/>
      <c r="N240" s="79"/>
      <c r="O240" s="79"/>
      <c r="P240" s="1"/>
      <c r="Q240" s="1"/>
      <c r="R240" s="1"/>
      <c r="S240" s="1"/>
      <c r="T240" s="1"/>
      <c r="U240" s="1"/>
      <c r="V240" s="1"/>
      <c r="W240" s="1"/>
    </row>
    <row r="241" spans="1:23" ht="57.6" customHeight="1" x14ac:dyDescent="0.3">
      <c r="A241" s="1"/>
      <c r="B241" s="61" t="s">
        <v>126</v>
      </c>
      <c r="C241" s="1"/>
      <c r="D241" s="1"/>
      <c r="E241" s="13"/>
      <c r="F241" s="48" t="s">
        <v>313</v>
      </c>
      <c r="G241" s="79" t="b">
        <v>0</v>
      </c>
      <c r="H241" s="79"/>
      <c r="I241" s="79"/>
      <c r="J241" s="79"/>
      <c r="K241" s="79"/>
      <c r="L241" s="79"/>
      <c r="M241" s="79"/>
      <c r="N241" s="79"/>
      <c r="O241" s="79"/>
      <c r="P241" s="1"/>
      <c r="Q241" s="1"/>
      <c r="R241" s="1"/>
      <c r="S241" s="1"/>
      <c r="T241" s="1"/>
      <c r="U241" s="1"/>
      <c r="V241" s="1"/>
      <c r="W241" s="1"/>
    </row>
    <row r="242" spans="1:23" ht="57.6" customHeight="1" x14ac:dyDescent="0.3">
      <c r="A242" s="1"/>
      <c r="B242" s="1"/>
      <c r="C242" s="1"/>
      <c r="D242" s="1"/>
      <c r="E242" s="3"/>
      <c r="F242" s="47" t="s">
        <v>314</v>
      </c>
      <c r="G242" s="79" t="b">
        <v>0</v>
      </c>
      <c r="H242" s="79"/>
      <c r="I242" s="79"/>
      <c r="J242" s="79"/>
      <c r="K242" s="79"/>
      <c r="L242" s="79"/>
      <c r="M242" s="79"/>
      <c r="N242" s="79"/>
      <c r="O242" s="79"/>
      <c r="P242" s="1"/>
      <c r="Q242" s="1"/>
      <c r="R242" s="1"/>
      <c r="S242" s="1"/>
      <c r="T242" s="1"/>
      <c r="U242" s="1"/>
      <c r="V242" s="1"/>
      <c r="W242" s="1"/>
    </row>
    <row r="243" spans="1:23" ht="57.6" customHeight="1" x14ac:dyDescent="0.3">
      <c r="A243" s="1"/>
      <c r="B243" s="1"/>
      <c r="C243" s="1"/>
      <c r="D243" s="1"/>
      <c r="E243" s="13"/>
      <c r="F243" s="48" t="s">
        <v>315</v>
      </c>
      <c r="G243" s="79" t="b">
        <v>0</v>
      </c>
      <c r="H243" s="79"/>
      <c r="I243" s="79"/>
      <c r="J243" s="79"/>
      <c r="K243" s="79"/>
      <c r="L243" s="79"/>
      <c r="M243" s="79"/>
      <c r="N243" s="79"/>
      <c r="O243" s="79"/>
      <c r="P243" s="1"/>
      <c r="Q243" s="1"/>
      <c r="R243" s="1"/>
      <c r="S243" s="1"/>
      <c r="T243" s="1"/>
      <c r="U243" s="1"/>
      <c r="V243" s="1"/>
      <c r="W243" s="1"/>
    </row>
    <row r="244" spans="1:23" ht="57.6" customHeight="1" x14ac:dyDescent="0.3">
      <c r="A244" s="1"/>
      <c r="B244" s="1"/>
      <c r="C244" s="1"/>
      <c r="D244" s="1"/>
      <c r="E244" s="3"/>
      <c r="F244" s="47" t="s">
        <v>316</v>
      </c>
      <c r="G244" s="79" t="b">
        <v>0</v>
      </c>
      <c r="H244" s="79"/>
      <c r="I244" s="79"/>
      <c r="J244" s="79"/>
      <c r="K244" s="79"/>
      <c r="L244" s="79"/>
      <c r="M244" s="79"/>
      <c r="N244" s="79"/>
      <c r="O244" s="79"/>
      <c r="P244" s="1"/>
      <c r="Q244" s="1"/>
      <c r="R244" s="1"/>
      <c r="S244" s="1"/>
      <c r="T244" s="1"/>
      <c r="U244" s="1"/>
      <c r="V244" s="1"/>
      <c r="W244" s="1"/>
    </row>
    <row r="245" spans="1:23" ht="57.6" customHeight="1" x14ac:dyDescent="0.3">
      <c r="A245" s="1"/>
      <c r="B245" s="1"/>
      <c r="C245" s="1"/>
      <c r="D245" s="1"/>
      <c r="E245" s="13"/>
      <c r="F245" s="48" t="s">
        <v>317</v>
      </c>
      <c r="G245" s="79" t="b">
        <v>0</v>
      </c>
      <c r="H245" s="79"/>
      <c r="I245" s="79"/>
      <c r="J245" s="79"/>
      <c r="K245" s="79"/>
      <c r="L245" s="79"/>
      <c r="M245" s="79"/>
      <c r="N245" s="79"/>
      <c r="O245" s="79"/>
      <c r="P245" s="1"/>
      <c r="Q245" s="1"/>
      <c r="R245" s="1"/>
      <c r="S245" s="1"/>
      <c r="T245" s="1"/>
      <c r="U245" s="1"/>
      <c r="V245" s="1"/>
      <c r="W245" s="1"/>
    </row>
    <row r="246" spans="1:23" ht="57.6" customHeight="1" x14ac:dyDescent="0.3">
      <c r="A246" s="1"/>
      <c r="B246" s="1"/>
      <c r="C246" s="1"/>
      <c r="D246" s="1"/>
      <c r="E246" s="3"/>
      <c r="F246" s="47" t="s">
        <v>318</v>
      </c>
      <c r="G246" s="79" t="b">
        <v>0</v>
      </c>
      <c r="H246" s="79"/>
      <c r="I246" s="79"/>
      <c r="J246" s="79"/>
      <c r="K246" s="79"/>
      <c r="L246" s="79"/>
      <c r="M246" s="79"/>
      <c r="N246" s="79"/>
      <c r="O246" s="79"/>
      <c r="P246" s="1"/>
      <c r="Q246" s="1"/>
      <c r="R246" s="1"/>
      <c r="S246" s="1"/>
      <c r="T246" s="1"/>
      <c r="U246" s="1"/>
      <c r="V246" s="1"/>
      <c r="W246" s="1"/>
    </row>
    <row r="247" spans="1:23" ht="57.6" customHeight="1" x14ac:dyDescent="0.3">
      <c r="A247" s="1"/>
      <c r="B247" s="1"/>
      <c r="C247" s="1"/>
      <c r="D247" s="1"/>
      <c r="E247" s="13"/>
      <c r="F247" s="48" t="s">
        <v>319</v>
      </c>
      <c r="G247" s="79" t="b">
        <v>0</v>
      </c>
      <c r="H247" s="79"/>
      <c r="I247" s="79"/>
      <c r="J247" s="79"/>
      <c r="K247" s="79"/>
      <c r="L247" s="79"/>
      <c r="M247" s="79"/>
      <c r="N247" s="79"/>
      <c r="O247" s="79"/>
      <c r="P247" s="1"/>
      <c r="Q247" s="1"/>
      <c r="R247" s="1"/>
      <c r="S247" s="1"/>
      <c r="T247" s="1"/>
      <c r="U247" s="1"/>
      <c r="V247" s="1"/>
      <c r="W247" s="1"/>
    </row>
    <row r="248" spans="1:23" ht="14.4" customHeight="1" x14ac:dyDescent="0.3">
      <c r="A248" s="1"/>
      <c r="B248" s="51">
        <v>4</v>
      </c>
      <c r="C248" s="50" t="s">
        <v>63</v>
      </c>
      <c r="D248" s="50"/>
      <c r="E248" s="50"/>
      <c r="F248" s="52" t="s">
        <v>126</v>
      </c>
      <c r="G248" s="79"/>
      <c r="H248" s="79" t="b">
        <f>AND(G249:G256)</f>
        <v>0</v>
      </c>
      <c r="I248" s="79"/>
      <c r="J248" s="79"/>
      <c r="K248" s="79"/>
      <c r="L248" s="79"/>
      <c r="M248" s="79"/>
      <c r="N248" s="79"/>
      <c r="O248" s="79"/>
      <c r="P248" s="1"/>
      <c r="Q248" s="1"/>
      <c r="R248" s="1"/>
      <c r="S248" s="1"/>
      <c r="T248" s="1"/>
      <c r="U248" s="1"/>
      <c r="V248" s="1"/>
      <c r="W248" s="1"/>
    </row>
    <row r="249" spans="1:23" ht="57.6" customHeight="1" x14ac:dyDescent="0.3">
      <c r="A249" s="1"/>
      <c r="B249" s="61" t="s">
        <v>126</v>
      </c>
      <c r="C249" s="1"/>
      <c r="D249" s="1"/>
      <c r="E249" s="13"/>
      <c r="F249" s="48" t="s">
        <v>320</v>
      </c>
      <c r="G249" s="79" t="b">
        <v>0</v>
      </c>
      <c r="H249" s="79"/>
      <c r="I249" s="79"/>
      <c r="J249" s="79"/>
      <c r="K249" s="79"/>
      <c r="L249" s="79"/>
      <c r="M249" s="79"/>
      <c r="N249" s="79"/>
      <c r="O249" s="79"/>
      <c r="P249" s="1"/>
      <c r="Q249" s="1"/>
      <c r="R249" s="1"/>
      <c r="S249" s="1"/>
      <c r="T249" s="1"/>
      <c r="U249" s="1"/>
      <c r="V249" s="1"/>
      <c r="W249" s="1"/>
    </row>
    <row r="250" spans="1:23" ht="57.6" customHeight="1" x14ac:dyDescent="0.3">
      <c r="A250" s="1"/>
      <c r="B250" s="1"/>
      <c r="C250" s="1"/>
      <c r="D250" s="1"/>
      <c r="E250" s="3"/>
      <c r="F250" s="47" t="s">
        <v>321</v>
      </c>
      <c r="G250" s="79" t="b">
        <v>0</v>
      </c>
      <c r="H250" s="79"/>
      <c r="I250" s="79"/>
      <c r="J250" s="79"/>
      <c r="K250" s="79"/>
      <c r="L250" s="79"/>
      <c r="M250" s="79"/>
      <c r="N250" s="79"/>
      <c r="O250" s="79"/>
      <c r="P250" s="1"/>
      <c r="Q250" s="1"/>
      <c r="R250" s="1"/>
      <c r="S250" s="1"/>
      <c r="T250" s="1"/>
      <c r="U250" s="1"/>
      <c r="V250" s="1"/>
      <c r="W250" s="1"/>
    </row>
    <row r="251" spans="1:23" ht="57.6" customHeight="1" x14ac:dyDescent="0.3">
      <c r="A251" s="1"/>
      <c r="B251" s="1"/>
      <c r="C251" s="1"/>
      <c r="D251" s="1"/>
      <c r="E251" s="13"/>
      <c r="F251" s="48" t="s">
        <v>322</v>
      </c>
      <c r="G251" s="79" t="b">
        <v>0</v>
      </c>
      <c r="H251" s="79"/>
      <c r="I251" s="79"/>
      <c r="J251" s="79"/>
      <c r="K251" s="79"/>
      <c r="L251" s="79"/>
      <c r="M251" s="79"/>
      <c r="N251" s="79"/>
      <c r="O251" s="79"/>
      <c r="P251" s="1"/>
      <c r="Q251" s="1"/>
      <c r="R251" s="1"/>
      <c r="S251" s="1"/>
      <c r="T251" s="1"/>
      <c r="U251" s="1"/>
      <c r="V251" s="1"/>
      <c r="W251" s="1"/>
    </row>
    <row r="252" spans="1:23" ht="57.6" customHeight="1" x14ac:dyDescent="0.3">
      <c r="A252" s="1"/>
      <c r="B252" s="1"/>
      <c r="C252" s="1"/>
      <c r="D252" s="1"/>
      <c r="E252" s="3"/>
      <c r="F252" s="47" t="s">
        <v>323</v>
      </c>
      <c r="G252" s="79" t="b">
        <v>0</v>
      </c>
      <c r="H252" s="79"/>
      <c r="I252" s="79"/>
      <c r="J252" s="79"/>
      <c r="K252" s="79"/>
      <c r="L252" s="79"/>
      <c r="M252" s="79"/>
      <c r="N252" s="79"/>
      <c r="O252" s="79"/>
      <c r="P252" s="1"/>
      <c r="Q252" s="1"/>
      <c r="R252" s="1"/>
      <c r="S252" s="1"/>
      <c r="T252" s="1"/>
      <c r="U252" s="1"/>
      <c r="V252" s="1"/>
      <c r="W252" s="1"/>
    </row>
    <row r="253" spans="1:23" ht="57.6" customHeight="1" x14ac:dyDescent="0.3">
      <c r="A253" s="1"/>
      <c r="B253" s="1"/>
      <c r="C253" s="1"/>
      <c r="D253" s="1"/>
      <c r="E253" s="13"/>
      <c r="F253" s="48" t="s">
        <v>324</v>
      </c>
      <c r="G253" s="79" t="b">
        <v>0</v>
      </c>
      <c r="H253" s="79"/>
      <c r="I253" s="79"/>
      <c r="J253" s="79"/>
      <c r="K253" s="79"/>
      <c r="L253" s="79"/>
      <c r="M253" s="79"/>
      <c r="N253" s="79"/>
      <c r="O253" s="79"/>
      <c r="P253" s="1"/>
      <c r="Q253" s="1"/>
      <c r="R253" s="1"/>
      <c r="S253" s="1"/>
      <c r="T253" s="1"/>
      <c r="U253" s="1"/>
      <c r="V253" s="1"/>
      <c r="W253" s="1"/>
    </row>
    <row r="254" spans="1:23" ht="57.6" customHeight="1" x14ac:dyDescent="0.3">
      <c r="A254" s="1"/>
      <c r="B254" s="1"/>
      <c r="C254" s="1"/>
      <c r="D254" s="1"/>
      <c r="E254" s="3"/>
      <c r="F254" s="47" t="s">
        <v>325</v>
      </c>
      <c r="G254" s="79" t="b">
        <v>0</v>
      </c>
      <c r="H254" s="79"/>
      <c r="I254" s="79"/>
      <c r="J254" s="79"/>
      <c r="K254" s="79"/>
      <c r="L254" s="79"/>
      <c r="M254" s="79"/>
      <c r="N254" s="79"/>
      <c r="O254" s="79"/>
      <c r="P254" s="1"/>
      <c r="Q254" s="1"/>
      <c r="R254" s="1"/>
      <c r="S254" s="1"/>
      <c r="T254" s="1"/>
      <c r="U254" s="1"/>
      <c r="V254" s="1"/>
      <c r="W254" s="1"/>
    </row>
    <row r="255" spans="1:23" ht="57.6" customHeight="1" x14ac:dyDescent="0.3">
      <c r="A255" s="1"/>
      <c r="B255" s="1"/>
      <c r="C255" s="1"/>
      <c r="D255" s="1"/>
      <c r="E255" s="13"/>
      <c r="F255" s="48" t="s">
        <v>326</v>
      </c>
      <c r="G255" s="79" t="b">
        <v>0</v>
      </c>
      <c r="H255" s="79"/>
      <c r="I255" s="79"/>
      <c r="J255" s="79"/>
      <c r="K255" s="79"/>
      <c r="L255" s="79"/>
      <c r="M255" s="79"/>
      <c r="N255" s="79"/>
      <c r="O255" s="79"/>
      <c r="P255" s="1"/>
      <c r="Q255" s="1"/>
      <c r="R255" s="1"/>
      <c r="S255" s="1"/>
      <c r="T255" s="1"/>
      <c r="U255" s="1"/>
      <c r="V255" s="1"/>
      <c r="W255" s="1"/>
    </row>
    <row r="256" spans="1:23" ht="57.6" customHeight="1" x14ac:dyDescent="0.3">
      <c r="A256" s="1"/>
      <c r="B256" s="1"/>
      <c r="C256" s="1"/>
      <c r="D256" s="1"/>
      <c r="E256" s="3"/>
      <c r="F256" s="47" t="s">
        <v>327</v>
      </c>
      <c r="G256" s="79" t="b">
        <v>0</v>
      </c>
      <c r="H256" s="79"/>
      <c r="I256" s="79"/>
      <c r="J256" s="79"/>
      <c r="K256" s="79"/>
      <c r="L256" s="79"/>
      <c r="M256" s="79"/>
      <c r="N256" s="79"/>
      <c r="O256" s="79"/>
      <c r="P256" s="1"/>
      <c r="Q256" s="1"/>
      <c r="R256" s="1"/>
      <c r="S256" s="1"/>
      <c r="T256" s="1"/>
      <c r="U256" s="1"/>
      <c r="V256" s="1"/>
      <c r="W256" s="1"/>
    </row>
    <row r="257" spans="1:23" ht="14.4" customHeight="1" x14ac:dyDescent="0.3">
      <c r="A257" s="1"/>
      <c r="B257" s="51">
        <v>5</v>
      </c>
      <c r="C257" s="50" t="s">
        <v>64</v>
      </c>
      <c r="D257" s="50"/>
      <c r="E257" s="50"/>
      <c r="F257" s="52" t="s">
        <v>126</v>
      </c>
      <c r="G257" s="79"/>
      <c r="H257" s="79" t="b">
        <f>AND(G258:G262)</f>
        <v>0</v>
      </c>
      <c r="I257" s="79"/>
      <c r="J257" s="79"/>
      <c r="K257" s="79"/>
      <c r="L257" s="79"/>
      <c r="M257" s="79"/>
      <c r="N257" s="79"/>
      <c r="O257" s="79"/>
      <c r="P257" s="1"/>
      <c r="Q257" s="1"/>
      <c r="R257" s="1"/>
      <c r="S257" s="1"/>
      <c r="T257" s="1"/>
      <c r="U257" s="1"/>
      <c r="V257" s="1"/>
      <c r="W257" s="1"/>
    </row>
    <row r="258" spans="1:23" ht="57.6" customHeight="1" x14ac:dyDescent="0.3">
      <c r="A258" s="1"/>
      <c r="B258" s="61" t="s">
        <v>126</v>
      </c>
      <c r="C258" s="1"/>
      <c r="D258" s="1"/>
      <c r="E258" s="13"/>
      <c r="F258" s="48" t="s">
        <v>328</v>
      </c>
      <c r="G258" s="79" t="b">
        <v>0</v>
      </c>
      <c r="H258" s="79"/>
      <c r="I258" s="79"/>
      <c r="J258" s="79"/>
      <c r="K258" s="79"/>
      <c r="L258" s="79"/>
      <c r="M258" s="79"/>
      <c r="N258" s="79"/>
      <c r="O258" s="79"/>
      <c r="P258" s="1"/>
      <c r="Q258" s="1"/>
      <c r="R258" s="1"/>
      <c r="S258" s="1"/>
      <c r="T258" s="1"/>
      <c r="U258" s="1"/>
      <c r="V258" s="1"/>
      <c r="W258" s="1"/>
    </row>
    <row r="259" spans="1:23" ht="57.6" customHeight="1" x14ac:dyDescent="0.3">
      <c r="A259" s="1"/>
      <c r="B259" s="1"/>
      <c r="C259" s="1"/>
      <c r="D259" s="1"/>
      <c r="E259" s="3"/>
      <c r="F259" s="47" t="s">
        <v>329</v>
      </c>
      <c r="G259" s="79" t="b">
        <v>0</v>
      </c>
      <c r="H259" s="79"/>
      <c r="I259" s="79"/>
      <c r="J259" s="79"/>
      <c r="K259" s="79"/>
      <c r="L259" s="79"/>
      <c r="M259" s="79"/>
      <c r="N259" s="79"/>
      <c r="O259" s="79"/>
      <c r="P259" s="1"/>
      <c r="Q259" s="1"/>
      <c r="R259" s="1"/>
      <c r="S259" s="1"/>
      <c r="T259" s="1"/>
      <c r="U259" s="1"/>
      <c r="V259" s="1"/>
      <c r="W259" s="1"/>
    </row>
    <row r="260" spans="1:23" ht="57.6" customHeight="1" x14ac:dyDescent="0.3">
      <c r="A260" s="1"/>
      <c r="B260" s="1"/>
      <c r="C260" s="1"/>
      <c r="D260" s="1"/>
      <c r="E260" s="13"/>
      <c r="F260" s="48" t="s">
        <v>330</v>
      </c>
      <c r="G260" s="79" t="b">
        <v>0</v>
      </c>
      <c r="H260" s="79"/>
      <c r="I260" s="79"/>
      <c r="J260" s="79"/>
      <c r="K260" s="79"/>
      <c r="L260" s="79"/>
      <c r="M260" s="79"/>
      <c r="N260" s="79"/>
      <c r="O260" s="79"/>
      <c r="P260" s="1"/>
      <c r="Q260" s="1"/>
      <c r="R260" s="1"/>
      <c r="S260" s="1"/>
      <c r="T260" s="1"/>
      <c r="U260" s="1"/>
      <c r="V260" s="1"/>
      <c r="W260" s="1"/>
    </row>
    <row r="261" spans="1:23" ht="57.6" customHeight="1" x14ac:dyDescent="0.3">
      <c r="A261" s="1"/>
      <c r="B261" s="1"/>
      <c r="C261" s="1"/>
      <c r="D261" s="1"/>
      <c r="E261" s="3"/>
      <c r="F261" s="47" t="s">
        <v>331</v>
      </c>
      <c r="G261" s="79" t="b">
        <v>0</v>
      </c>
      <c r="H261" s="79"/>
      <c r="I261" s="79"/>
      <c r="J261" s="79"/>
      <c r="K261" s="79"/>
      <c r="L261" s="79"/>
      <c r="M261" s="79"/>
      <c r="N261" s="79"/>
      <c r="O261" s="79"/>
      <c r="P261" s="1"/>
      <c r="Q261" s="1"/>
      <c r="R261" s="1"/>
      <c r="S261" s="1"/>
      <c r="T261" s="1"/>
      <c r="U261" s="1"/>
      <c r="V261" s="1"/>
      <c r="W261" s="1"/>
    </row>
    <row r="262" spans="1:23" ht="57.6" customHeight="1" x14ac:dyDescent="0.3">
      <c r="A262" s="1"/>
      <c r="B262" s="1"/>
      <c r="C262" s="1"/>
      <c r="D262" s="1"/>
      <c r="E262" s="13"/>
      <c r="F262" s="48" t="s">
        <v>332</v>
      </c>
      <c r="G262" s="79" t="b">
        <v>0</v>
      </c>
      <c r="H262" s="79"/>
      <c r="I262" s="79"/>
      <c r="J262" s="79"/>
      <c r="K262" s="79"/>
      <c r="L262" s="79"/>
      <c r="M262" s="79"/>
      <c r="N262" s="79"/>
      <c r="O262" s="79"/>
      <c r="P262" s="1"/>
      <c r="Q262" s="1"/>
      <c r="R262" s="1"/>
      <c r="S262" s="1"/>
      <c r="T262" s="1"/>
      <c r="U262" s="1"/>
      <c r="V262" s="1"/>
      <c r="W262" s="1"/>
    </row>
    <row r="263" spans="1:23" ht="14.4" customHeight="1" x14ac:dyDescent="0.3">
      <c r="A263" s="1"/>
      <c r="B263" s="51">
        <v>6</v>
      </c>
      <c r="C263" s="50" t="s">
        <v>65</v>
      </c>
      <c r="D263" s="50"/>
      <c r="E263" s="50"/>
      <c r="F263" s="52" t="s">
        <v>126</v>
      </c>
      <c r="G263" s="79"/>
      <c r="H263" s="79" t="b">
        <f>AND(G264:G268)</f>
        <v>0</v>
      </c>
      <c r="I263" s="79"/>
      <c r="J263" s="79"/>
      <c r="K263" s="79"/>
      <c r="L263" s="79"/>
      <c r="M263" s="79"/>
      <c r="N263" s="79"/>
      <c r="O263" s="79"/>
      <c r="P263" s="1"/>
      <c r="Q263" s="1"/>
      <c r="R263" s="1"/>
      <c r="S263" s="1"/>
      <c r="T263" s="1"/>
      <c r="U263" s="1"/>
      <c r="V263" s="1"/>
      <c r="W263" s="1"/>
    </row>
    <row r="264" spans="1:23" ht="57.6" customHeight="1" x14ac:dyDescent="0.3">
      <c r="A264" s="1"/>
      <c r="B264" s="61" t="s">
        <v>126</v>
      </c>
      <c r="C264" s="1"/>
      <c r="D264" s="1"/>
      <c r="E264" s="13"/>
      <c r="F264" s="48" t="s">
        <v>333</v>
      </c>
      <c r="G264" s="79" t="b">
        <v>0</v>
      </c>
      <c r="H264" s="79"/>
      <c r="I264" s="79"/>
      <c r="J264" s="79"/>
      <c r="K264" s="79"/>
      <c r="L264" s="79"/>
      <c r="M264" s="79"/>
      <c r="N264" s="79"/>
      <c r="O264" s="79"/>
      <c r="P264" s="1"/>
      <c r="Q264" s="1"/>
      <c r="R264" s="1"/>
      <c r="S264" s="1"/>
      <c r="T264" s="1"/>
      <c r="U264" s="1"/>
      <c r="V264" s="1"/>
      <c r="W264" s="1"/>
    </row>
    <row r="265" spans="1:23" ht="57.6" customHeight="1" x14ac:dyDescent="0.3">
      <c r="A265" s="1"/>
      <c r="B265" s="1"/>
      <c r="C265" s="1"/>
      <c r="D265" s="1"/>
      <c r="E265" s="3"/>
      <c r="F265" s="47" t="s">
        <v>334</v>
      </c>
      <c r="G265" s="79" t="b">
        <v>0</v>
      </c>
      <c r="H265" s="79"/>
      <c r="I265" s="79"/>
      <c r="J265" s="79"/>
      <c r="K265" s="79"/>
      <c r="L265" s="79"/>
      <c r="M265" s="79"/>
      <c r="N265" s="79"/>
      <c r="O265" s="79"/>
      <c r="P265" s="1"/>
      <c r="Q265" s="1"/>
      <c r="R265" s="1"/>
      <c r="S265" s="1"/>
      <c r="T265" s="1"/>
      <c r="U265" s="1"/>
      <c r="V265" s="1"/>
      <c r="W265" s="1"/>
    </row>
    <row r="266" spans="1:23" ht="57.6" customHeight="1" x14ac:dyDescent="0.3">
      <c r="A266" s="1"/>
      <c r="B266" s="1"/>
      <c r="C266" s="1"/>
      <c r="D266" s="1"/>
      <c r="E266" s="13"/>
      <c r="F266" s="48" t="s">
        <v>335</v>
      </c>
      <c r="G266" s="79" t="b">
        <v>0</v>
      </c>
      <c r="H266" s="79"/>
      <c r="I266" s="79"/>
      <c r="J266" s="79"/>
      <c r="K266" s="79"/>
      <c r="L266" s="79"/>
      <c r="M266" s="79"/>
      <c r="N266" s="79"/>
      <c r="O266" s="79"/>
      <c r="P266" s="1"/>
      <c r="Q266" s="1"/>
      <c r="R266" s="1"/>
      <c r="S266" s="1"/>
      <c r="T266" s="1"/>
      <c r="U266" s="1"/>
      <c r="V266" s="1"/>
      <c r="W266" s="1"/>
    </row>
    <row r="267" spans="1:23" ht="57.6" customHeight="1" x14ac:dyDescent="0.3">
      <c r="A267" s="1"/>
      <c r="B267" s="1"/>
      <c r="C267" s="1"/>
      <c r="D267" s="1"/>
      <c r="E267" s="3"/>
      <c r="F267" s="47" t="s">
        <v>336</v>
      </c>
      <c r="G267" s="79" t="b">
        <v>0</v>
      </c>
      <c r="H267" s="79"/>
      <c r="I267" s="79"/>
      <c r="J267" s="79"/>
      <c r="K267" s="79"/>
      <c r="L267" s="79"/>
      <c r="M267" s="79"/>
      <c r="N267" s="79"/>
      <c r="O267" s="79"/>
      <c r="P267" s="1"/>
      <c r="Q267" s="1"/>
      <c r="R267" s="1"/>
      <c r="S267" s="1"/>
      <c r="T267" s="1"/>
      <c r="U267" s="1"/>
      <c r="V267" s="1"/>
      <c r="W267" s="1"/>
    </row>
    <row r="268" spans="1:23" ht="57.6" customHeight="1" x14ac:dyDescent="0.3">
      <c r="A268" s="1"/>
      <c r="B268" s="1"/>
      <c r="C268" s="1"/>
      <c r="D268" s="1"/>
      <c r="E268" s="13"/>
      <c r="F268" s="48" t="s">
        <v>337</v>
      </c>
      <c r="G268" s="79" t="b">
        <v>0</v>
      </c>
      <c r="H268" s="79"/>
      <c r="I268" s="79"/>
      <c r="J268" s="79"/>
      <c r="K268" s="79"/>
      <c r="L268" s="79"/>
      <c r="M268" s="79"/>
      <c r="N268" s="79"/>
      <c r="O268" s="79"/>
      <c r="P268" s="1"/>
      <c r="Q268" s="1"/>
      <c r="R268" s="1"/>
      <c r="S268" s="1"/>
      <c r="T268" s="1"/>
      <c r="U268" s="1"/>
      <c r="V268" s="1"/>
      <c r="W268" s="1"/>
    </row>
    <row r="269" spans="1:23" ht="14.4" customHeight="1" x14ac:dyDescent="0.3">
      <c r="A269" s="1"/>
      <c r="B269" s="51">
        <v>7</v>
      </c>
      <c r="C269" s="50" t="s">
        <v>66</v>
      </c>
      <c r="D269" s="50"/>
      <c r="E269" s="50"/>
      <c r="F269" s="52" t="s">
        <v>126</v>
      </c>
      <c r="G269" s="79"/>
      <c r="H269" s="79" t="b">
        <f>AND(G270:G274)</f>
        <v>0</v>
      </c>
      <c r="I269" s="79"/>
      <c r="J269" s="79"/>
      <c r="K269" s="79"/>
      <c r="L269" s="79"/>
      <c r="M269" s="79"/>
      <c r="N269" s="79"/>
      <c r="O269" s="79"/>
      <c r="P269" s="1"/>
      <c r="Q269" s="1"/>
      <c r="R269" s="1"/>
      <c r="S269" s="1"/>
      <c r="T269" s="1"/>
      <c r="U269" s="1"/>
      <c r="V269" s="1"/>
      <c r="W269" s="1"/>
    </row>
    <row r="270" spans="1:23" ht="57.6" customHeight="1" x14ac:dyDescent="0.3">
      <c r="A270" s="1"/>
      <c r="B270" s="61" t="s">
        <v>126</v>
      </c>
      <c r="C270" s="1"/>
      <c r="D270" s="1"/>
      <c r="E270" s="13"/>
      <c r="F270" s="48" t="s">
        <v>338</v>
      </c>
      <c r="G270" s="79" t="b">
        <v>0</v>
      </c>
      <c r="H270" s="79"/>
      <c r="I270" s="79"/>
      <c r="J270" s="79"/>
      <c r="K270" s="79"/>
      <c r="L270" s="79"/>
      <c r="M270" s="79"/>
      <c r="N270" s="79"/>
      <c r="O270" s="79"/>
      <c r="P270" s="1"/>
      <c r="Q270" s="1"/>
      <c r="R270" s="1"/>
      <c r="S270" s="1"/>
      <c r="T270" s="1"/>
      <c r="U270" s="1"/>
      <c r="V270" s="1"/>
      <c r="W270" s="1"/>
    </row>
    <row r="271" spans="1:23" ht="57.6" customHeight="1" x14ac:dyDescent="0.3">
      <c r="A271" s="1"/>
      <c r="B271" s="1"/>
      <c r="C271" s="1"/>
      <c r="D271" s="1"/>
      <c r="E271" s="3"/>
      <c r="F271" s="47" t="s">
        <v>339</v>
      </c>
      <c r="G271" s="79" t="b">
        <v>0</v>
      </c>
      <c r="H271" s="79"/>
      <c r="I271" s="79"/>
      <c r="J271" s="79"/>
      <c r="K271" s="79"/>
      <c r="L271" s="79"/>
      <c r="M271" s="79"/>
      <c r="N271" s="79"/>
      <c r="O271" s="79"/>
      <c r="P271" s="1"/>
      <c r="Q271" s="1"/>
      <c r="R271" s="1"/>
      <c r="S271" s="1"/>
      <c r="T271" s="1"/>
      <c r="U271" s="1"/>
      <c r="V271" s="1"/>
      <c r="W271" s="1"/>
    </row>
    <row r="272" spans="1:23" ht="57.6" customHeight="1" x14ac:dyDescent="0.3">
      <c r="A272" s="1"/>
      <c r="B272" s="1"/>
      <c r="C272" s="1"/>
      <c r="D272" s="1"/>
      <c r="E272" s="13"/>
      <c r="F272" s="48" t="s">
        <v>340</v>
      </c>
      <c r="G272" s="79" t="b">
        <v>0</v>
      </c>
      <c r="H272" s="79"/>
      <c r="I272" s="79"/>
      <c r="J272" s="79"/>
      <c r="K272" s="79"/>
      <c r="L272" s="79"/>
      <c r="M272" s="79"/>
      <c r="N272" s="79"/>
      <c r="O272" s="79"/>
      <c r="P272" s="1"/>
      <c r="Q272" s="1"/>
      <c r="R272" s="1"/>
      <c r="S272" s="1"/>
      <c r="T272" s="1"/>
      <c r="U272" s="1"/>
      <c r="V272" s="1"/>
      <c r="W272" s="1"/>
    </row>
    <row r="273" spans="1:23" ht="57.6" customHeight="1" x14ac:dyDescent="0.3">
      <c r="A273" s="1"/>
      <c r="B273" s="1"/>
      <c r="C273" s="1"/>
      <c r="D273" s="1"/>
      <c r="E273" s="3"/>
      <c r="F273" s="47" t="s">
        <v>341</v>
      </c>
      <c r="G273" s="79" t="b">
        <v>0</v>
      </c>
      <c r="H273" s="79"/>
      <c r="I273" s="79"/>
      <c r="J273" s="79"/>
      <c r="K273" s="79"/>
      <c r="L273" s="79"/>
      <c r="M273" s="79"/>
      <c r="N273" s="79"/>
      <c r="O273" s="79"/>
      <c r="P273" s="1"/>
      <c r="Q273" s="1"/>
      <c r="R273" s="1"/>
      <c r="S273" s="1"/>
      <c r="T273" s="1"/>
      <c r="U273" s="1"/>
      <c r="V273" s="1"/>
      <c r="W273" s="1"/>
    </row>
    <row r="274" spans="1:23" ht="57.6" customHeight="1" x14ac:dyDescent="0.3">
      <c r="A274" s="1"/>
      <c r="B274" s="1"/>
      <c r="C274" s="1"/>
      <c r="D274" s="1"/>
      <c r="E274" s="13"/>
      <c r="F274" s="48" t="s">
        <v>342</v>
      </c>
      <c r="G274" s="79" t="b">
        <v>0</v>
      </c>
      <c r="H274" s="79"/>
      <c r="I274" s="79"/>
      <c r="J274" s="79"/>
      <c r="K274" s="79"/>
      <c r="L274" s="79"/>
      <c r="M274" s="79"/>
      <c r="N274" s="79"/>
      <c r="O274" s="79"/>
      <c r="P274" s="1"/>
      <c r="Q274" s="1"/>
      <c r="R274" s="1"/>
      <c r="S274" s="1"/>
      <c r="T274" s="1"/>
      <c r="U274" s="1"/>
      <c r="V274" s="1"/>
      <c r="W274" s="1"/>
    </row>
    <row r="275" spans="1:23" ht="14.4" customHeight="1" x14ac:dyDescent="0.3">
      <c r="A275" s="1"/>
      <c r="B275" s="51">
        <v>8</v>
      </c>
      <c r="C275" s="50" t="s">
        <v>67</v>
      </c>
      <c r="D275" s="50"/>
      <c r="E275" s="50"/>
      <c r="F275" s="52"/>
      <c r="G275" s="79"/>
      <c r="H275" s="79" t="b">
        <f>AND(G276:G288)</f>
        <v>0</v>
      </c>
      <c r="I275" s="79"/>
      <c r="J275" s="79"/>
      <c r="K275" s="79"/>
      <c r="L275" s="79"/>
      <c r="M275" s="79"/>
      <c r="N275" s="79"/>
      <c r="O275" s="79"/>
      <c r="P275" s="1"/>
      <c r="Q275" s="1"/>
      <c r="R275" s="1"/>
      <c r="S275" s="1"/>
      <c r="T275" s="1"/>
      <c r="U275" s="1"/>
      <c r="V275" s="1"/>
      <c r="W275" s="1"/>
    </row>
    <row r="276" spans="1:23" ht="57.6" customHeight="1" x14ac:dyDescent="0.3">
      <c r="A276" s="1"/>
      <c r="B276" s="61" t="s">
        <v>126</v>
      </c>
      <c r="C276" s="1"/>
      <c r="D276" s="1"/>
      <c r="E276" s="13"/>
      <c r="F276" s="48" t="s">
        <v>343</v>
      </c>
      <c r="G276" s="79" t="b">
        <v>0</v>
      </c>
      <c r="H276" s="79"/>
      <c r="I276" s="79"/>
      <c r="J276" s="79"/>
      <c r="K276" s="79"/>
      <c r="L276" s="79"/>
      <c r="M276" s="79"/>
      <c r="N276" s="79"/>
      <c r="O276" s="79"/>
      <c r="P276" s="1"/>
      <c r="Q276" s="1"/>
      <c r="R276" s="1"/>
      <c r="S276" s="1"/>
      <c r="T276" s="1"/>
      <c r="U276" s="1"/>
      <c r="V276" s="1"/>
      <c r="W276" s="1"/>
    </row>
    <row r="277" spans="1:23" ht="57.6" customHeight="1" x14ac:dyDescent="0.3">
      <c r="A277" s="1"/>
      <c r="B277" s="1"/>
      <c r="C277" s="1"/>
      <c r="D277" s="1"/>
      <c r="E277" s="3"/>
      <c r="F277" s="47" t="s">
        <v>344</v>
      </c>
      <c r="G277" s="79" t="b">
        <v>0</v>
      </c>
      <c r="H277" s="79"/>
      <c r="I277" s="79"/>
      <c r="J277" s="79"/>
      <c r="K277" s="79"/>
      <c r="L277" s="79"/>
      <c r="M277" s="79"/>
      <c r="N277" s="79"/>
      <c r="O277" s="79"/>
      <c r="P277" s="1"/>
      <c r="Q277" s="1"/>
      <c r="R277" s="1"/>
      <c r="S277" s="1"/>
      <c r="T277" s="1"/>
      <c r="U277" s="1"/>
      <c r="V277" s="1"/>
      <c r="W277" s="1"/>
    </row>
    <row r="278" spans="1:23" ht="57.6" customHeight="1" x14ac:dyDescent="0.3">
      <c r="A278" s="1"/>
      <c r="B278" s="1"/>
      <c r="C278" s="1"/>
      <c r="D278" s="1"/>
      <c r="E278" s="13"/>
      <c r="F278" s="48" t="s">
        <v>345</v>
      </c>
      <c r="G278" s="79" t="b">
        <v>0</v>
      </c>
      <c r="H278" s="79"/>
      <c r="I278" s="79"/>
      <c r="J278" s="79"/>
      <c r="K278" s="79"/>
      <c r="L278" s="79"/>
      <c r="M278" s="79"/>
      <c r="N278" s="79"/>
      <c r="O278" s="79"/>
      <c r="P278" s="1"/>
      <c r="Q278" s="1"/>
      <c r="R278" s="1"/>
      <c r="S278" s="1"/>
      <c r="T278" s="1"/>
      <c r="U278" s="1"/>
      <c r="V278" s="1"/>
      <c r="W278" s="1"/>
    </row>
    <row r="279" spans="1:23" ht="57.6" customHeight="1" x14ac:dyDescent="0.3">
      <c r="A279" s="1"/>
      <c r="B279" s="1"/>
      <c r="C279" s="1"/>
      <c r="D279" s="1"/>
      <c r="E279" s="3"/>
      <c r="F279" s="47" t="s">
        <v>346</v>
      </c>
      <c r="G279" s="79" t="b">
        <v>0</v>
      </c>
      <c r="H279" s="79"/>
      <c r="I279" s="79"/>
      <c r="J279" s="79"/>
      <c r="K279" s="79"/>
      <c r="L279" s="79"/>
      <c r="M279" s="79"/>
      <c r="N279" s="79"/>
      <c r="O279" s="79"/>
      <c r="P279" s="1"/>
      <c r="Q279" s="1"/>
      <c r="R279" s="1"/>
      <c r="S279" s="1"/>
      <c r="T279" s="1"/>
      <c r="U279" s="1"/>
      <c r="V279" s="1"/>
      <c r="W279" s="1"/>
    </row>
    <row r="280" spans="1:23" ht="57.6" customHeight="1" x14ac:dyDescent="0.3">
      <c r="A280" s="1"/>
      <c r="B280" s="1"/>
      <c r="C280" s="1"/>
      <c r="D280" s="1"/>
      <c r="E280" s="13"/>
      <c r="F280" s="48" t="s">
        <v>347</v>
      </c>
      <c r="G280" s="79" t="b">
        <v>0</v>
      </c>
      <c r="H280" s="79"/>
      <c r="I280" s="79"/>
      <c r="J280" s="79"/>
      <c r="K280" s="79"/>
      <c r="L280" s="79"/>
      <c r="M280" s="79"/>
      <c r="N280" s="79"/>
      <c r="O280" s="79"/>
      <c r="P280" s="1"/>
      <c r="Q280" s="1"/>
      <c r="R280" s="1"/>
      <c r="S280" s="1"/>
      <c r="T280" s="1"/>
      <c r="U280" s="1"/>
      <c r="V280" s="1"/>
      <c r="W280" s="1"/>
    </row>
    <row r="281" spans="1:23" ht="57.6" customHeight="1" x14ac:dyDescent="0.3">
      <c r="A281" s="1"/>
      <c r="B281" s="1"/>
      <c r="C281" s="1"/>
      <c r="D281" s="1"/>
      <c r="E281" s="13"/>
      <c r="F281" s="48" t="s">
        <v>348</v>
      </c>
      <c r="G281" s="79" t="b">
        <v>0</v>
      </c>
      <c r="H281" s="79"/>
      <c r="I281" s="79"/>
      <c r="J281" s="79"/>
      <c r="K281" s="79"/>
      <c r="L281" s="79"/>
      <c r="M281" s="79"/>
      <c r="N281" s="79"/>
      <c r="O281" s="79"/>
      <c r="P281" s="1"/>
      <c r="Q281" s="1"/>
      <c r="R281" s="1"/>
      <c r="S281" s="1"/>
      <c r="T281" s="1"/>
      <c r="U281" s="1"/>
      <c r="V281" s="1"/>
      <c r="W281" s="1"/>
    </row>
    <row r="282" spans="1:23" ht="57.6" customHeight="1" x14ac:dyDescent="0.3">
      <c r="A282" s="1"/>
      <c r="B282" s="1"/>
      <c r="C282" s="1"/>
      <c r="D282" s="1"/>
      <c r="E282" s="3"/>
      <c r="F282" s="47" t="s">
        <v>349</v>
      </c>
      <c r="G282" s="79" t="b">
        <v>0</v>
      </c>
      <c r="H282" s="79"/>
      <c r="I282" s="79"/>
      <c r="J282" s="79"/>
      <c r="K282" s="79"/>
      <c r="L282" s="79"/>
      <c r="M282" s="79"/>
      <c r="N282" s="79"/>
      <c r="O282" s="79"/>
      <c r="P282" s="1"/>
      <c r="Q282" s="1"/>
      <c r="R282" s="1"/>
      <c r="S282" s="1"/>
      <c r="T282" s="1"/>
      <c r="U282" s="1"/>
      <c r="V282" s="1"/>
      <c r="W282" s="1"/>
    </row>
    <row r="283" spans="1:23" ht="57.6" customHeight="1" x14ac:dyDescent="0.3">
      <c r="A283" s="1"/>
      <c r="B283" s="1"/>
      <c r="C283" s="1"/>
      <c r="D283" s="1"/>
      <c r="E283" s="13"/>
      <c r="F283" s="48" t="s">
        <v>350</v>
      </c>
      <c r="G283" s="79" t="b">
        <v>0</v>
      </c>
      <c r="H283" s="79"/>
      <c r="I283" s="79"/>
      <c r="J283" s="79"/>
      <c r="K283" s="79"/>
      <c r="L283" s="79"/>
      <c r="M283" s="79"/>
      <c r="N283" s="79"/>
      <c r="O283" s="79"/>
      <c r="P283" s="1"/>
      <c r="Q283" s="1"/>
      <c r="R283" s="1"/>
      <c r="S283" s="1"/>
      <c r="T283" s="1"/>
      <c r="U283" s="1"/>
      <c r="V283" s="1"/>
      <c r="W283" s="1"/>
    </row>
    <row r="284" spans="1:23" ht="57.6" customHeight="1" x14ac:dyDescent="0.3">
      <c r="A284" s="1"/>
      <c r="B284" s="1"/>
      <c r="C284" s="1"/>
      <c r="D284" s="1"/>
      <c r="E284" s="3"/>
      <c r="F284" s="47" t="s">
        <v>351</v>
      </c>
      <c r="G284" s="79" t="b">
        <v>0</v>
      </c>
      <c r="H284" s="79"/>
      <c r="I284" s="79"/>
      <c r="J284" s="79"/>
      <c r="K284" s="79"/>
      <c r="L284" s="79"/>
      <c r="M284" s="79"/>
      <c r="N284" s="79"/>
      <c r="O284" s="79"/>
      <c r="P284" s="1"/>
      <c r="Q284" s="1"/>
      <c r="R284" s="1"/>
      <c r="S284" s="1"/>
      <c r="T284" s="1"/>
      <c r="U284" s="1"/>
      <c r="V284" s="1"/>
      <c r="W284" s="1"/>
    </row>
    <row r="285" spans="1:23" ht="57.6" customHeight="1" x14ac:dyDescent="0.3">
      <c r="A285" s="1"/>
      <c r="B285" s="1"/>
      <c r="C285" s="1"/>
      <c r="D285" s="1"/>
      <c r="E285" s="13"/>
      <c r="F285" s="48" t="s">
        <v>352</v>
      </c>
      <c r="G285" s="79" t="b">
        <v>0</v>
      </c>
      <c r="H285" s="79"/>
      <c r="I285" s="79"/>
      <c r="J285" s="79"/>
      <c r="K285" s="79"/>
      <c r="L285" s="79"/>
      <c r="M285" s="79"/>
      <c r="N285" s="79"/>
      <c r="O285" s="79"/>
      <c r="P285" s="1"/>
      <c r="Q285" s="1"/>
      <c r="R285" s="1"/>
      <c r="S285" s="1"/>
      <c r="T285" s="1"/>
      <c r="U285" s="1"/>
      <c r="V285" s="1"/>
      <c r="W285" s="1"/>
    </row>
    <row r="286" spans="1:23" ht="57.6" customHeight="1" x14ac:dyDescent="0.3">
      <c r="A286" s="1"/>
      <c r="B286" s="1"/>
      <c r="C286" s="1"/>
      <c r="D286" s="1"/>
      <c r="E286" s="13"/>
      <c r="F286" s="48" t="s">
        <v>353</v>
      </c>
      <c r="G286" s="79" t="b">
        <v>0</v>
      </c>
      <c r="H286" s="79"/>
      <c r="I286" s="79"/>
      <c r="J286" s="79"/>
      <c r="K286" s="79"/>
      <c r="L286" s="79"/>
      <c r="M286" s="79"/>
      <c r="N286" s="79"/>
      <c r="O286" s="79"/>
      <c r="P286" s="1"/>
      <c r="Q286" s="1"/>
      <c r="R286" s="1"/>
      <c r="S286" s="1"/>
      <c r="T286" s="1"/>
      <c r="U286" s="1"/>
      <c r="V286" s="1"/>
      <c r="W286" s="1"/>
    </row>
    <row r="287" spans="1:23" ht="57.6" customHeight="1" x14ac:dyDescent="0.3">
      <c r="A287" s="1"/>
      <c r="B287" s="1"/>
      <c r="C287" s="1"/>
      <c r="D287" s="1"/>
      <c r="E287" s="13"/>
      <c r="F287" s="48" t="s">
        <v>354</v>
      </c>
      <c r="G287" s="79" t="b">
        <v>0</v>
      </c>
      <c r="H287" s="79"/>
      <c r="I287" s="79"/>
      <c r="J287" s="79"/>
      <c r="K287" s="79"/>
      <c r="L287" s="79"/>
      <c r="M287" s="79"/>
      <c r="N287" s="79"/>
      <c r="O287" s="79"/>
      <c r="P287" s="1"/>
      <c r="Q287" s="1"/>
      <c r="R287" s="1"/>
      <c r="S287" s="1"/>
      <c r="T287" s="1"/>
      <c r="U287" s="1"/>
      <c r="V287" s="1"/>
      <c r="W287" s="1"/>
    </row>
    <row r="288" spans="1:23" ht="57.6" customHeight="1" x14ac:dyDescent="0.3">
      <c r="A288" s="1"/>
      <c r="B288" s="1"/>
      <c r="C288" s="1"/>
      <c r="D288" s="1"/>
      <c r="E288" s="13"/>
      <c r="F288" s="48" t="s">
        <v>355</v>
      </c>
      <c r="G288" s="79" t="b">
        <v>0</v>
      </c>
      <c r="H288" s="79"/>
      <c r="I288" s="79"/>
      <c r="J288" s="79"/>
      <c r="K288" s="79"/>
      <c r="L288" s="79"/>
      <c r="M288" s="79"/>
      <c r="N288" s="79"/>
      <c r="O288" s="79"/>
      <c r="P288" s="1"/>
      <c r="Q288" s="1"/>
      <c r="R288" s="1"/>
      <c r="S288" s="1"/>
      <c r="T288" s="1"/>
      <c r="U288" s="1"/>
      <c r="V288" s="1"/>
      <c r="W288" s="1"/>
    </row>
    <row r="289" spans="1:23" ht="25.05" customHeight="1" x14ac:dyDescent="0.3">
      <c r="A289" s="1"/>
      <c r="B289" s="1"/>
      <c r="C289" s="1"/>
      <c r="D289" s="1"/>
      <c r="E289" s="1"/>
      <c r="F289" s="1"/>
      <c r="G289" s="79"/>
      <c r="H289" s="79"/>
      <c r="I289" s="79"/>
      <c r="J289" s="79"/>
      <c r="K289" s="79"/>
      <c r="L289" s="79"/>
      <c r="M289" s="79"/>
      <c r="N289" s="79"/>
      <c r="O289" s="79"/>
      <c r="P289" s="1"/>
      <c r="Q289" s="1"/>
      <c r="R289" s="1"/>
      <c r="S289" s="1"/>
      <c r="T289" s="1"/>
      <c r="U289" s="1"/>
      <c r="V289" s="1"/>
      <c r="W289" s="1"/>
    </row>
    <row r="290" spans="1:23" ht="14.4" customHeight="1" x14ac:dyDescent="0.3">
      <c r="A290" s="63" t="s">
        <v>502</v>
      </c>
      <c r="B290" s="58" t="s">
        <v>68</v>
      </c>
      <c r="C290" s="54"/>
      <c r="D290" s="54"/>
      <c r="E290" s="54"/>
      <c r="F290" s="55"/>
      <c r="G290" s="79"/>
      <c r="H290" s="79" t="b">
        <f>AND(H291)</f>
        <v>0</v>
      </c>
      <c r="I290" s="79"/>
      <c r="J290" s="79"/>
      <c r="K290" s="79"/>
      <c r="L290" s="79"/>
      <c r="M290" s="79"/>
      <c r="N290" s="79"/>
      <c r="O290" s="79"/>
      <c r="P290" s="1"/>
      <c r="Q290" s="1"/>
      <c r="R290" s="1"/>
      <c r="S290" s="1"/>
      <c r="T290" s="1"/>
      <c r="U290" s="1"/>
      <c r="V290" s="1"/>
      <c r="W290" s="1"/>
    </row>
    <row r="291" spans="1:23" ht="14.4" customHeight="1" x14ac:dyDescent="0.3">
      <c r="A291" s="1"/>
      <c r="B291" s="59" t="s">
        <v>68</v>
      </c>
      <c r="C291" s="56"/>
      <c r="D291" s="56"/>
      <c r="E291" s="56"/>
      <c r="F291" s="57"/>
      <c r="G291" s="79"/>
      <c r="H291" s="79" t="b">
        <f>AND(H292,H295,H298,H302,H306,H309,H313,H316,H319,H323,H327,H330,H334,H339,H343,H345,H349,H352,H357)</f>
        <v>0</v>
      </c>
      <c r="I291" s="79"/>
      <c r="J291" s="79"/>
      <c r="K291" s="79"/>
      <c r="L291" s="79"/>
      <c r="M291" s="79"/>
      <c r="N291" s="79"/>
      <c r="O291" s="79"/>
      <c r="P291" s="1"/>
      <c r="Q291" s="1"/>
      <c r="R291" s="1"/>
      <c r="S291" s="1"/>
      <c r="T291" s="1"/>
      <c r="U291" s="1"/>
      <c r="V291" s="1"/>
      <c r="W291" s="1"/>
    </row>
    <row r="292" spans="1:23" ht="14.4" customHeight="1" x14ac:dyDescent="0.3">
      <c r="A292" s="1"/>
      <c r="B292" s="51">
        <v>1</v>
      </c>
      <c r="C292" s="50" t="s">
        <v>70</v>
      </c>
      <c r="D292" s="50"/>
      <c r="E292" s="50"/>
      <c r="F292" s="52" t="s">
        <v>126</v>
      </c>
      <c r="G292" s="79"/>
      <c r="H292" s="79" t="b">
        <f>AND(G293:G294)</f>
        <v>0</v>
      </c>
      <c r="I292" s="79"/>
      <c r="J292" s="79"/>
      <c r="K292" s="79"/>
      <c r="L292" s="79"/>
      <c r="M292" s="79"/>
      <c r="N292" s="79"/>
      <c r="O292" s="79"/>
      <c r="P292" s="1"/>
      <c r="Q292" s="1"/>
      <c r="R292" s="1"/>
      <c r="S292" s="1"/>
      <c r="T292" s="1"/>
      <c r="U292" s="1"/>
      <c r="V292" s="1"/>
      <c r="W292" s="1"/>
    </row>
    <row r="293" spans="1:23" ht="57.6" customHeight="1" x14ac:dyDescent="0.3">
      <c r="A293" s="1"/>
      <c r="B293" s="61" t="s">
        <v>126</v>
      </c>
      <c r="C293" s="1"/>
      <c r="D293" s="1"/>
      <c r="E293" s="13"/>
      <c r="F293" s="48" t="s">
        <v>356</v>
      </c>
      <c r="G293" s="79" t="b">
        <v>0</v>
      </c>
      <c r="H293" s="79"/>
      <c r="I293" s="79"/>
      <c r="J293" s="79"/>
      <c r="K293" s="79"/>
      <c r="L293" s="79"/>
      <c r="M293" s="79"/>
      <c r="N293" s="79"/>
      <c r="O293" s="79"/>
      <c r="P293" s="1"/>
      <c r="Q293" s="1"/>
      <c r="R293" s="1"/>
      <c r="S293" s="1"/>
      <c r="T293" s="1"/>
      <c r="U293" s="1"/>
      <c r="V293" s="1"/>
      <c r="W293" s="1"/>
    </row>
    <row r="294" spans="1:23" ht="57.6" customHeight="1" x14ac:dyDescent="0.3">
      <c r="A294" s="1"/>
      <c r="B294" s="1"/>
      <c r="C294" s="1"/>
      <c r="D294" s="1"/>
      <c r="E294" s="13"/>
      <c r="F294" s="48" t="s">
        <v>357</v>
      </c>
      <c r="G294" s="79" t="b">
        <v>0</v>
      </c>
      <c r="H294" s="79"/>
      <c r="I294" s="79"/>
      <c r="J294" s="79"/>
      <c r="K294" s="79"/>
      <c r="L294" s="79"/>
      <c r="M294" s="79"/>
      <c r="N294" s="79"/>
      <c r="O294" s="79"/>
      <c r="P294" s="1"/>
      <c r="Q294" s="1"/>
      <c r="R294" s="1"/>
      <c r="S294" s="1"/>
      <c r="T294" s="1"/>
      <c r="U294" s="1"/>
      <c r="V294" s="1"/>
      <c r="W294" s="1"/>
    </row>
    <row r="295" spans="1:23" ht="14.4" customHeight="1" x14ac:dyDescent="0.3">
      <c r="A295" s="1"/>
      <c r="B295" s="51">
        <v>2</v>
      </c>
      <c r="C295" s="50" t="s">
        <v>71</v>
      </c>
      <c r="D295" s="50"/>
      <c r="E295" s="50"/>
      <c r="F295" s="52" t="s">
        <v>126</v>
      </c>
      <c r="G295" s="79"/>
      <c r="H295" s="79" t="b">
        <f>AND(G296:G297)</f>
        <v>0</v>
      </c>
      <c r="I295" s="79"/>
      <c r="J295" s="79"/>
      <c r="K295" s="79"/>
      <c r="L295" s="79"/>
      <c r="M295" s="79"/>
      <c r="N295" s="79"/>
      <c r="O295" s="79"/>
      <c r="P295" s="1"/>
      <c r="Q295" s="1"/>
      <c r="R295" s="1"/>
      <c r="S295" s="1"/>
      <c r="T295" s="1"/>
      <c r="U295" s="1"/>
      <c r="V295" s="1"/>
      <c r="W295" s="1"/>
    </row>
    <row r="296" spans="1:23" ht="57.6" customHeight="1" x14ac:dyDescent="0.3">
      <c r="A296" s="1"/>
      <c r="B296" s="61" t="s">
        <v>126</v>
      </c>
      <c r="C296" s="1"/>
      <c r="D296" s="1"/>
      <c r="E296" s="13"/>
      <c r="F296" s="48" t="s">
        <v>358</v>
      </c>
      <c r="G296" s="79" t="b">
        <v>0</v>
      </c>
      <c r="H296" s="79"/>
      <c r="I296" s="79"/>
      <c r="J296" s="79"/>
      <c r="K296" s="79"/>
      <c r="L296" s="79"/>
      <c r="M296" s="79"/>
      <c r="N296" s="79"/>
      <c r="O296" s="79"/>
      <c r="P296" s="1"/>
      <c r="Q296" s="1"/>
      <c r="R296" s="1"/>
      <c r="S296" s="1"/>
      <c r="T296" s="1"/>
      <c r="U296" s="1"/>
      <c r="V296" s="1"/>
      <c r="W296" s="1"/>
    </row>
    <row r="297" spans="1:23" ht="57.6" customHeight="1" x14ac:dyDescent="0.3">
      <c r="A297" s="1"/>
      <c r="B297" s="1"/>
      <c r="C297" s="1"/>
      <c r="D297" s="1"/>
      <c r="E297" s="13"/>
      <c r="F297" s="48" t="s">
        <v>359</v>
      </c>
      <c r="G297" s="79" t="b">
        <v>0</v>
      </c>
      <c r="H297" s="79"/>
      <c r="I297" s="79"/>
      <c r="J297" s="79"/>
      <c r="K297" s="79"/>
      <c r="L297" s="79"/>
      <c r="M297" s="79"/>
      <c r="N297" s="79"/>
      <c r="O297" s="79"/>
      <c r="P297" s="1"/>
      <c r="Q297" s="1"/>
      <c r="R297" s="1"/>
      <c r="S297" s="1"/>
      <c r="T297" s="1"/>
      <c r="U297" s="1"/>
      <c r="V297" s="1"/>
      <c r="W297" s="1"/>
    </row>
    <row r="298" spans="1:23" ht="14.4" customHeight="1" x14ac:dyDescent="0.3">
      <c r="A298" s="1"/>
      <c r="B298" s="51">
        <v>3</v>
      </c>
      <c r="C298" s="50" t="s">
        <v>72</v>
      </c>
      <c r="D298" s="50"/>
      <c r="E298" s="50"/>
      <c r="F298" s="52" t="s">
        <v>126</v>
      </c>
      <c r="G298" s="79"/>
      <c r="H298" s="79" t="b">
        <f>AND(G299:G301)</f>
        <v>0</v>
      </c>
      <c r="I298" s="79"/>
      <c r="J298" s="79"/>
      <c r="K298" s="79"/>
      <c r="L298" s="79"/>
      <c r="M298" s="79"/>
      <c r="N298" s="79"/>
      <c r="O298" s="79"/>
      <c r="P298" s="1"/>
      <c r="Q298" s="1"/>
      <c r="R298" s="1"/>
      <c r="S298" s="1"/>
      <c r="T298" s="1"/>
      <c r="U298" s="1"/>
      <c r="V298" s="1"/>
      <c r="W298" s="1"/>
    </row>
    <row r="299" spans="1:23" ht="57.6" customHeight="1" x14ac:dyDescent="0.3">
      <c r="A299" s="1"/>
      <c r="B299" s="61" t="s">
        <v>126</v>
      </c>
      <c r="C299" s="1"/>
      <c r="D299" s="1"/>
      <c r="E299" s="13"/>
      <c r="F299" s="48" t="s">
        <v>360</v>
      </c>
      <c r="G299" s="79" t="b">
        <v>0</v>
      </c>
      <c r="H299" s="79"/>
      <c r="I299" s="79"/>
      <c r="J299" s="79"/>
      <c r="K299" s="79"/>
      <c r="L299" s="79"/>
      <c r="M299" s="79"/>
      <c r="N299" s="79"/>
      <c r="O299" s="79"/>
      <c r="P299" s="1"/>
      <c r="Q299" s="1"/>
      <c r="R299" s="1"/>
      <c r="S299" s="1"/>
      <c r="T299" s="1"/>
      <c r="U299" s="1"/>
      <c r="V299" s="1"/>
      <c r="W299" s="1"/>
    </row>
    <row r="300" spans="1:23" ht="57.6" customHeight="1" x14ac:dyDescent="0.3">
      <c r="A300" s="1"/>
      <c r="B300" s="1"/>
      <c r="C300" s="1"/>
      <c r="D300" s="1"/>
      <c r="E300" s="13"/>
      <c r="F300" s="48" t="s">
        <v>311</v>
      </c>
      <c r="G300" s="79" t="b">
        <v>0</v>
      </c>
      <c r="H300" s="79"/>
      <c r="I300" s="79"/>
      <c r="J300" s="79"/>
      <c r="K300" s="79"/>
      <c r="L300" s="79"/>
      <c r="M300" s="79"/>
      <c r="N300" s="79"/>
      <c r="O300" s="79"/>
      <c r="P300" s="1"/>
      <c r="Q300" s="1"/>
      <c r="R300" s="1"/>
      <c r="S300" s="1"/>
      <c r="T300" s="1"/>
      <c r="U300" s="1"/>
      <c r="V300" s="1"/>
      <c r="W300" s="1"/>
    </row>
    <row r="301" spans="1:23" ht="57.6" customHeight="1" x14ac:dyDescent="0.3">
      <c r="A301" s="1"/>
      <c r="B301" s="1"/>
      <c r="C301" s="1"/>
      <c r="D301" s="1"/>
      <c r="E301" s="13"/>
      <c r="F301" s="48" t="s">
        <v>361</v>
      </c>
      <c r="G301" s="79" t="b">
        <v>0</v>
      </c>
      <c r="H301" s="79"/>
      <c r="I301" s="79"/>
      <c r="J301" s="79"/>
      <c r="K301" s="79"/>
      <c r="L301" s="79"/>
      <c r="M301" s="79"/>
      <c r="N301" s="79"/>
      <c r="O301" s="79"/>
      <c r="P301" s="1"/>
      <c r="Q301" s="1"/>
      <c r="R301" s="1"/>
      <c r="S301" s="1"/>
      <c r="T301" s="1"/>
      <c r="U301" s="1"/>
      <c r="V301" s="1"/>
      <c r="W301" s="1"/>
    </row>
    <row r="302" spans="1:23" ht="14.4" customHeight="1" x14ac:dyDescent="0.3">
      <c r="A302" s="1"/>
      <c r="B302" s="51">
        <v>4</v>
      </c>
      <c r="C302" s="50" t="s">
        <v>73</v>
      </c>
      <c r="D302" s="50"/>
      <c r="E302" s="50"/>
      <c r="F302" s="52"/>
      <c r="G302" s="79"/>
      <c r="H302" s="79" t="b">
        <f>AND(G303:G305)</f>
        <v>0</v>
      </c>
      <c r="I302" s="79"/>
      <c r="J302" s="79"/>
      <c r="K302" s="79"/>
      <c r="L302" s="79"/>
      <c r="M302" s="79"/>
      <c r="N302" s="79"/>
      <c r="O302" s="79"/>
      <c r="P302" s="1"/>
      <c r="Q302" s="1"/>
      <c r="R302" s="1"/>
      <c r="S302" s="1"/>
      <c r="T302" s="1"/>
      <c r="U302" s="1"/>
      <c r="V302" s="1"/>
      <c r="W302" s="1"/>
    </row>
    <row r="303" spans="1:23" ht="57.6" customHeight="1" x14ac:dyDescent="0.3">
      <c r="A303" s="1"/>
      <c r="B303" s="61" t="s">
        <v>126</v>
      </c>
      <c r="C303" s="1"/>
      <c r="D303" s="1"/>
      <c r="E303" s="13"/>
      <c r="F303" s="48" t="s">
        <v>362</v>
      </c>
      <c r="G303" s="79" t="b">
        <v>0</v>
      </c>
      <c r="H303" s="79"/>
      <c r="I303" s="79"/>
      <c r="J303" s="79"/>
      <c r="K303" s="79"/>
      <c r="L303" s="79"/>
      <c r="M303" s="79"/>
      <c r="N303" s="79"/>
      <c r="O303" s="79"/>
      <c r="P303" s="1"/>
      <c r="Q303" s="1"/>
      <c r="R303" s="1"/>
      <c r="S303" s="1"/>
      <c r="T303" s="1"/>
      <c r="U303" s="1"/>
      <c r="V303" s="1"/>
      <c r="W303" s="1"/>
    </row>
    <row r="304" spans="1:23" ht="57.6" customHeight="1" x14ac:dyDescent="0.3">
      <c r="A304" s="1"/>
      <c r="B304" s="1"/>
      <c r="C304" s="1"/>
      <c r="D304" s="1"/>
      <c r="E304" s="13"/>
      <c r="F304" s="48" t="s">
        <v>363</v>
      </c>
      <c r="G304" s="79" t="b">
        <v>0</v>
      </c>
      <c r="H304" s="79"/>
      <c r="I304" s="79"/>
      <c r="J304" s="79"/>
      <c r="K304" s="79"/>
      <c r="L304" s="79"/>
      <c r="M304" s="79"/>
      <c r="N304" s="79"/>
      <c r="O304" s="79"/>
      <c r="P304" s="1"/>
      <c r="Q304" s="1"/>
      <c r="R304" s="1"/>
      <c r="S304" s="1"/>
      <c r="T304" s="1"/>
      <c r="U304" s="1"/>
      <c r="V304" s="1"/>
      <c r="W304" s="1"/>
    </row>
    <row r="305" spans="1:23" ht="57.6" customHeight="1" x14ac:dyDescent="0.3">
      <c r="A305" s="1"/>
      <c r="B305" s="1"/>
      <c r="C305" s="1"/>
      <c r="D305" s="1"/>
      <c r="E305" s="13"/>
      <c r="F305" s="48" t="s">
        <v>364</v>
      </c>
      <c r="G305" s="79" t="b">
        <v>0</v>
      </c>
      <c r="H305" s="79"/>
      <c r="I305" s="79"/>
      <c r="J305" s="79"/>
      <c r="K305" s="79"/>
      <c r="L305" s="79"/>
      <c r="M305" s="79"/>
      <c r="N305" s="79"/>
      <c r="O305" s="79"/>
      <c r="P305" s="1"/>
      <c r="Q305" s="1"/>
      <c r="R305" s="1"/>
      <c r="S305" s="1"/>
      <c r="T305" s="1"/>
      <c r="U305" s="1"/>
      <c r="V305" s="1"/>
      <c r="W305" s="1"/>
    </row>
    <row r="306" spans="1:23" ht="14.4" customHeight="1" x14ac:dyDescent="0.3">
      <c r="A306" s="1"/>
      <c r="B306" s="51">
        <v>5</v>
      </c>
      <c r="C306" s="50" t="s">
        <v>74</v>
      </c>
      <c r="D306" s="50"/>
      <c r="E306" s="50"/>
      <c r="F306" s="52"/>
      <c r="G306" s="79"/>
      <c r="H306" s="79" t="b">
        <f>AND(G307:G308)</f>
        <v>0</v>
      </c>
      <c r="I306" s="79"/>
      <c r="J306" s="79"/>
      <c r="K306" s="79"/>
      <c r="L306" s="79"/>
      <c r="M306" s="79"/>
      <c r="N306" s="79"/>
      <c r="O306" s="79"/>
      <c r="P306" s="1"/>
      <c r="Q306" s="1"/>
      <c r="R306" s="1"/>
      <c r="S306" s="1"/>
      <c r="T306" s="1"/>
      <c r="U306" s="1"/>
      <c r="V306" s="1"/>
      <c r="W306" s="1"/>
    </row>
    <row r="307" spans="1:23" ht="57.6" customHeight="1" x14ac:dyDescent="0.3">
      <c r="A307" s="1"/>
      <c r="B307" s="61" t="s">
        <v>126</v>
      </c>
      <c r="C307" s="1"/>
      <c r="D307" s="1"/>
      <c r="E307" s="13"/>
      <c r="F307" s="48" t="s">
        <v>366</v>
      </c>
      <c r="G307" s="79" t="b">
        <v>0</v>
      </c>
      <c r="H307" s="79"/>
      <c r="I307" s="79"/>
      <c r="J307" s="79"/>
      <c r="K307" s="79"/>
      <c r="L307" s="79"/>
      <c r="M307" s="79"/>
      <c r="N307" s="79"/>
      <c r="O307" s="79"/>
      <c r="P307" s="1"/>
      <c r="Q307" s="1"/>
      <c r="R307" s="1"/>
      <c r="S307" s="1"/>
      <c r="T307" s="1"/>
      <c r="U307" s="1"/>
      <c r="V307" s="1"/>
      <c r="W307" s="1"/>
    </row>
    <row r="308" spans="1:23" ht="57.6" customHeight="1" x14ac:dyDescent="0.3">
      <c r="A308" s="1"/>
      <c r="B308" s="1"/>
      <c r="C308" s="1"/>
      <c r="D308" s="1"/>
      <c r="E308" s="13"/>
      <c r="F308" s="48" t="s">
        <v>365</v>
      </c>
      <c r="G308" s="79" t="b">
        <v>0</v>
      </c>
      <c r="H308" s="79"/>
      <c r="I308" s="79"/>
      <c r="J308" s="79"/>
      <c r="K308" s="79"/>
      <c r="L308" s="79"/>
      <c r="M308" s="79"/>
      <c r="N308" s="79"/>
      <c r="O308" s="79"/>
      <c r="P308" s="1"/>
      <c r="Q308" s="1"/>
      <c r="R308" s="1"/>
      <c r="S308" s="1"/>
      <c r="T308" s="1"/>
      <c r="U308" s="1"/>
      <c r="V308" s="1"/>
      <c r="W308" s="1"/>
    </row>
    <row r="309" spans="1:23" ht="14.4" customHeight="1" x14ac:dyDescent="0.3">
      <c r="A309" s="1"/>
      <c r="B309" s="51">
        <v>6</v>
      </c>
      <c r="C309" s="50" t="s">
        <v>75</v>
      </c>
      <c r="D309" s="50"/>
      <c r="E309" s="50"/>
      <c r="F309" s="52"/>
      <c r="G309" s="79"/>
      <c r="H309" s="79" t="b">
        <f>AND(G310:G312)</f>
        <v>0</v>
      </c>
      <c r="I309" s="79"/>
      <c r="J309" s="79"/>
      <c r="K309" s="79"/>
      <c r="L309" s="79"/>
      <c r="M309" s="79"/>
      <c r="N309" s="79"/>
      <c r="O309" s="79"/>
      <c r="P309" s="1"/>
      <c r="Q309" s="1"/>
      <c r="R309" s="1"/>
      <c r="S309" s="1"/>
      <c r="T309" s="1"/>
      <c r="U309" s="1"/>
      <c r="V309" s="1"/>
      <c r="W309" s="1"/>
    </row>
    <row r="310" spans="1:23" ht="57.6" customHeight="1" x14ac:dyDescent="0.3">
      <c r="A310" s="1"/>
      <c r="B310" s="61" t="s">
        <v>126</v>
      </c>
      <c r="C310" s="1"/>
      <c r="D310" s="1"/>
      <c r="E310" s="13"/>
      <c r="F310" s="48" t="s">
        <v>367</v>
      </c>
      <c r="G310" s="79" t="b">
        <v>0</v>
      </c>
      <c r="H310" s="79"/>
      <c r="I310" s="79"/>
      <c r="J310" s="79"/>
      <c r="K310" s="79"/>
      <c r="L310" s="79"/>
      <c r="M310" s="79"/>
      <c r="N310" s="79"/>
      <c r="O310" s="79"/>
      <c r="P310" s="1"/>
      <c r="Q310" s="1"/>
      <c r="R310" s="1"/>
      <c r="S310" s="1"/>
      <c r="T310" s="1"/>
      <c r="U310" s="1"/>
      <c r="V310" s="1"/>
      <c r="W310" s="1"/>
    </row>
    <row r="311" spans="1:23" ht="57.6" customHeight="1" x14ac:dyDescent="0.3">
      <c r="A311" s="1"/>
      <c r="B311" s="1"/>
      <c r="C311" s="1"/>
      <c r="D311" s="1"/>
      <c r="E311" s="13"/>
      <c r="F311" s="48" t="s">
        <v>368</v>
      </c>
      <c r="G311" s="79" t="b">
        <v>0</v>
      </c>
      <c r="H311" s="79"/>
      <c r="I311" s="79"/>
      <c r="J311" s="79"/>
      <c r="K311" s="79"/>
      <c r="L311" s="79"/>
      <c r="M311" s="79"/>
      <c r="N311" s="79"/>
      <c r="O311" s="79"/>
      <c r="P311" s="1"/>
      <c r="Q311" s="1"/>
      <c r="R311" s="1"/>
      <c r="S311" s="1"/>
      <c r="T311" s="1"/>
      <c r="U311" s="1"/>
      <c r="V311" s="1"/>
      <c r="W311" s="1"/>
    </row>
    <row r="312" spans="1:23" ht="57.6" customHeight="1" x14ac:dyDescent="0.3">
      <c r="A312" s="1"/>
      <c r="B312" s="1"/>
      <c r="C312" s="1"/>
      <c r="D312" s="1"/>
      <c r="E312" s="13"/>
      <c r="F312" s="48" t="s">
        <v>369</v>
      </c>
      <c r="G312" s="79" t="b">
        <v>0</v>
      </c>
      <c r="H312" s="79"/>
      <c r="I312" s="79"/>
      <c r="J312" s="79"/>
      <c r="K312" s="79"/>
      <c r="L312" s="79"/>
      <c r="M312" s="79"/>
      <c r="N312" s="79"/>
      <c r="O312" s="79"/>
      <c r="P312" s="1"/>
      <c r="Q312" s="1"/>
      <c r="R312" s="1"/>
      <c r="S312" s="1"/>
      <c r="T312" s="1"/>
      <c r="U312" s="1"/>
      <c r="V312" s="1"/>
      <c r="W312" s="1"/>
    </row>
    <row r="313" spans="1:23" ht="14.4" customHeight="1" x14ac:dyDescent="0.3">
      <c r="A313" s="1"/>
      <c r="B313" s="51">
        <v>7</v>
      </c>
      <c r="C313" s="50" t="s">
        <v>76</v>
      </c>
      <c r="D313" s="50"/>
      <c r="E313" s="50"/>
      <c r="F313" s="52"/>
      <c r="G313" s="79"/>
      <c r="H313" s="79" t="b">
        <f>AND(G314:G315)</f>
        <v>0</v>
      </c>
      <c r="I313" s="79"/>
      <c r="J313" s="79"/>
      <c r="K313" s="79"/>
      <c r="L313" s="79"/>
      <c r="M313" s="79"/>
      <c r="N313" s="79"/>
      <c r="O313" s="79"/>
      <c r="P313" s="1"/>
      <c r="Q313" s="1"/>
      <c r="R313" s="1"/>
      <c r="S313" s="1"/>
      <c r="T313" s="1"/>
      <c r="U313" s="1"/>
      <c r="V313" s="1"/>
      <c r="W313" s="1"/>
    </row>
    <row r="314" spans="1:23" ht="57.6" customHeight="1" x14ac:dyDescent="0.3">
      <c r="A314" s="1"/>
      <c r="B314" s="61" t="s">
        <v>126</v>
      </c>
      <c r="C314" s="1"/>
      <c r="D314" s="1"/>
      <c r="E314" s="13"/>
      <c r="F314" s="48" t="s">
        <v>370</v>
      </c>
      <c r="G314" s="79" t="b">
        <v>0</v>
      </c>
      <c r="H314" s="79"/>
      <c r="I314" s="79"/>
      <c r="J314" s="79"/>
      <c r="K314" s="79"/>
      <c r="L314" s="79"/>
      <c r="M314" s="79"/>
      <c r="N314" s="79"/>
      <c r="O314" s="79"/>
      <c r="P314" s="1"/>
      <c r="Q314" s="1"/>
      <c r="R314" s="1"/>
      <c r="S314" s="1"/>
      <c r="T314" s="1"/>
      <c r="U314" s="1"/>
      <c r="V314" s="1"/>
      <c r="W314" s="1"/>
    </row>
    <row r="315" spans="1:23" ht="57.6" customHeight="1" x14ac:dyDescent="0.3">
      <c r="A315" s="1"/>
      <c r="B315" s="1"/>
      <c r="C315" s="1"/>
      <c r="D315" s="1"/>
      <c r="E315" s="13"/>
      <c r="F315" s="48" t="s">
        <v>371</v>
      </c>
      <c r="G315" s="79" t="b">
        <v>0</v>
      </c>
      <c r="H315" s="79"/>
      <c r="I315" s="79"/>
      <c r="J315" s="79"/>
      <c r="K315" s="79"/>
      <c r="L315" s="79"/>
      <c r="M315" s="79"/>
      <c r="N315" s="79"/>
      <c r="O315" s="79"/>
      <c r="P315" s="1"/>
      <c r="Q315" s="1"/>
      <c r="R315" s="1"/>
      <c r="S315" s="1"/>
      <c r="T315" s="1"/>
      <c r="U315" s="1"/>
      <c r="V315" s="1"/>
      <c r="W315" s="1"/>
    </row>
    <row r="316" spans="1:23" ht="14.4" customHeight="1" x14ac:dyDescent="0.3">
      <c r="A316" s="1"/>
      <c r="B316" s="51">
        <v>8</v>
      </c>
      <c r="C316" s="50" t="s">
        <v>77</v>
      </c>
      <c r="D316" s="50"/>
      <c r="E316" s="50"/>
      <c r="F316" s="52"/>
      <c r="G316" s="79"/>
      <c r="H316" s="79" t="b">
        <f>AND(G317:G318)</f>
        <v>0</v>
      </c>
      <c r="I316" s="79"/>
      <c r="J316" s="79"/>
      <c r="K316" s="79"/>
      <c r="L316" s="79"/>
      <c r="M316" s="79"/>
      <c r="N316" s="79"/>
      <c r="O316" s="79"/>
      <c r="P316" s="1"/>
      <c r="Q316" s="1"/>
      <c r="R316" s="1"/>
      <c r="S316" s="1"/>
      <c r="T316" s="1"/>
      <c r="U316" s="1"/>
      <c r="V316" s="1"/>
      <c r="W316" s="1"/>
    </row>
    <row r="317" spans="1:23" ht="57.6" customHeight="1" x14ac:dyDescent="0.3">
      <c r="A317" s="1"/>
      <c r="B317" s="61" t="s">
        <v>126</v>
      </c>
      <c r="C317" s="1"/>
      <c r="D317" s="1"/>
      <c r="E317" s="13"/>
      <c r="F317" s="48" t="s">
        <v>372</v>
      </c>
      <c r="G317" s="79" t="b">
        <v>0</v>
      </c>
      <c r="H317" s="79"/>
      <c r="I317" s="79"/>
      <c r="J317" s="79"/>
      <c r="K317" s="79"/>
      <c r="L317" s="79"/>
      <c r="M317" s="79"/>
      <c r="N317" s="79"/>
      <c r="O317" s="79"/>
      <c r="P317" s="1"/>
      <c r="Q317" s="1"/>
      <c r="R317" s="1"/>
      <c r="S317" s="1"/>
      <c r="T317" s="1"/>
      <c r="U317" s="1"/>
      <c r="V317" s="1"/>
      <c r="W317" s="1"/>
    </row>
    <row r="318" spans="1:23" ht="57.6" customHeight="1" x14ac:dyDescent="0.3">
      <c r="A318" s="1"/>
      <c r="B318" s="1"/>
      <c r="C318" s="1"/>
      <c r="D318" s="1"/>
      <c r="E318" s="13"/>
      <c r="F318" s="48" t="s">
        <v>373</v>
      </c>
      <c r="G318" s="79" t="b">
        <v>0</v>
      </c>
      <c r="H318" s="79"/>
      <c r="I318" s="79"/>
      <c r="J318" s="79"/>
      <c r="K318" s="79"/>
      <c r="L318" s="79"/>
      <c r="M318" s="79"/>
      <c r="N318" s="79"/>
      <c r="O318" s="79"/>
      <c r="P318" s="1"/>
      <c r="Q318" s="1"/>
      <c r="R318" s="1"/>
      <c r="S318" s="1"/>
      <c r="T318" s="1"/>
      <c r="U318" s="1"/>
      <c r="V318" s="1"/>
      <c r="W318" s="1"/>
    </row>
    <row r="319" spans="1:23" ht="14.4" customHeight="1" x14ac:dyDescent="0.3">
      <c r="A319" s="1"/>
      <c r="B319" s="51">
        <v>9</v>
      </c>
      <c r="C319" s="50" t="s">
        <v>78</v>
      </c>
      <c r="D319" s="50"/>
      <c r="E319" s="50"/>
      <c r="F319" s="52"/>
      <c r="G319" s="79"/>
      <c r="H319" s="79" t="b">
        <f>AND(G320:G322)</f>
        <v>0</v>
      </c>
      <c r="I319" s="79"/>
      <c r="J319" s="79"/>
      <c r="K319" s="79"/>
      <c r="L319" s="79"/>
      <c r="M319" s="79"/>
      <c r="N319" s="79"/>
      <c r="O319" s="79"/>
      <c r="P319" s="1"/>
      <c r="Q319" s="1"/>
      <c r="R319" s="1"/>
      <c r="S319" s="1"/>
      <c r="T319" s="1"/>
      <c r="U319" s="1"/>
      <c r="V319" s="1"/>
      <c r="W319" s="1"/>
    </row>
    <row r="320" spans="1:23" ht="57.6" customHeight="1" x14ac:dyDescent="0.3">
      <c r="A320" s="1"/>
      <c r="B320" s="61" t="s">
        <v>126</v>
      </c>
      <c r="C320" s="1"/>
      <c r="D320" s="1"/>
      <c r="E320" s="13"/>
      <c r="F320" s="48" t="s">
        <v>374</v>
      </c>
      <c r="G320" s="79" t="b">
        <v>0</v>
      </c>
      <c r="H320" s="79"/>
      <c r="I320" s="79"/>
      <c r="J320" s="79"/>
      <c r="K320" s="79"/>
      <c r="L320" s="79"/>
      <c r="M320" s="79"/>
      <c r="N320" s="79"/>
      <c r="O320" s="79"/>
      <c r="P320" s="1"/>
      <c r="Q320" s="1"/>
      <c r="R320" s="1"/>
      <c r="S320" s="1"/>
      <c r="T320" s="1"/>
      <c r="U320" s="1"/>
      <c r="V320" s="1"/>
      <c r="W320" s="1"/>
    </row>
    <row r="321" spans="1:23" ht="57.6" customHeight="1" x14ac:dyDescent="0.3">
      <c r="A321" s="1"/>
      <c r="B321" s="1"/>
      <c r="C321" s="1"/>
      <c r="D321" s="1"/>
      <c r="E321" s="13"/>
      <c r="F321" s="48" t="s">
        <v>375</v>
      </c>
      <c r="G321" s="79" t="b">
        <v>0</v>
      </c>
      <c r="H321" s="79"/>
      <c r="I321" s="79"/>
      <c r="J321" s="79"/>
      <c r="K321" s="79"/>
      <c r="L321" s="79"/>
      <c r="M321" s="79"/>
      <c r="N321" s="79"/>
      <c r="O321" s="79"/>
      <c r="P321" s="1"/>
      <c r="Q321" s="1"/>
      <c r="R321" s="1"/>
      <c r="S321" s="1"/>
      <c r="T321" s="1"/>
      <c r="U321" s="1"/>
      <c r="V321" s="1"/>
      <c r="W321" s="1"/>
    </row>
    <row r="322" spans="1:23" ht="57.6" customHeight="1" x14ac:dyDescent="0.3">
      <c r="A322" s="1"/>
      <c r="B322" s="1"/>
      <c r="C322" s="1"/>
      <c r="D322" s="1"/>
      <c r="E322" s="13"/>
      <c r="F322" s="48" t="s">
        <v>376</v>
      </c>
      <c r="G322" s="79" t="b">
        <v>0</v>
      </c>
      <c r="H322" s="79"/>
      <c r="I322" s="79"/>
      <c r="J322" s="79"/>
      <c r="K322" s="79"/>
      <c r="L322" s="79"/>
      <c r="M322" s="79"/>
      <c r="N322" s="79"/>
      <c r="O322" s="79"/>
      <c r="P322" s="1"/>
      <c r="Q322" s="1"/>
      <c r="R322" s="1"/>
      <c r="S322" s="1"/>
      <c r="T322" s="1"/>
      <c r="U322" s="1"/>
      <c r="V322" s="1"/>
      <c r="W322" s="1"/>
    </row>
    <row r="323" spans="1:23" ht="14.4" customHeight="1" x14ac:dyDescent="0.3">
      <c r="A323" s="1"/>
      <c r="B323" s="51">
        <v>10</v>
      </c>
      <c r="C323" s="50" t="s">
        <v>79</v>
      </c>
      <c r="D323" s="50"/>
      <c r="E323" s="50"/>
      <c r="F323" s="52"/>
      <c r="G323" s="79"/>
      <c r="H323" s="79" t="b">
        <f>AND(G324:G326)</f>
        <v>0</v>
      </c>
      <c r="I323" s="79"/>
      <c r="J323" s="79"/>
      <c r="K323" s="79"/>
      <c r="L323" s="79"/>
      <c r="M323" s="79"/>
      <c r="N323" s="79"/>
      <c r="O323" s="79"/>
      <c r="P323" s="1"/>
      <c r="Q323" s="1"/>
      <c r="R323" s="1"/>
      <c r="S323" s="1"/>
      <c r="T323" s="1"/>
      <c r="U323" s="1"/>
      <c r="V323" s="1"/>
      <c r="W323" s="1"/>
    </row>
    <row r="324" spans="1:23" ht="57.6" customHeight="1" x14ac:dyDescent="0.3">
      <c r="A324" s="1"/>
      <c r="B324" s="61" t="s">
        <v>126</v>
      </c>
      <c r="C324" s="1"/>
      <c r="D324" s="1"/>
      <c r="E324" s="13"/>
      <c r="F324" s="48" t="s">
        <v>377</v>
      </c>
      <c r="G324" s="79" t="b">
        <v>0</v>
      </c>
      <c r="H324" s="79"/>
      <c r="I324" s="79"/>
      <c r="J324" s="79"/>
      <c r="K324" s="79"/>
      <c r="L324" s="79"/>
      <c r="M324" s="79"/>
      <c r="N324" s="79"/>
      <c r="O324" s="79"/>
      <c r="P324" s="1"/>
      <c r="Q324" s="1"/>
      <c r="R324" s="1"/>
      <c r="S324" s="1"/>
      <c r="T324" s="1"/>
      <c r="U324" s="1"/>
      <c r="V324" s="1"/>
      <c r="W324" s="1"/>
    </row>
    <row r="325" spans="1:23" ht="57.6" customHeight="1" x14ac:dyDescent="0.3">
      <c r="A325" s="1"/>
      <c r="B325" s="1"/>
      <c r="C325" s="1"/>
      <c r="D325" s="1"/>
      <c r="E325" s="13"/>
      <c r="F325" s="48" t="s">
        <v>378</v>
      </c>
      <c r="G325" s="79" t="b">
        <v>0</v>
      </c>
      <c r="H325" s="79"/>
      <c r="I325" s="79"/>
      <c r="J325" s="79"/>
      <c r="K325" s="79"/>
      <c r="L325" s="79"/>
      <c r="M325" s="79"/>
      <c r="N325" s="79"/>
      <c r="O325" s="79"/>
      <c r="P325" s="1"/>
      <c r="Q325" s="1"/>
      <c r="R325" s="1"/>
      <c r="S325" s="1"/>
      <c r="T325" s="1"/>
      <c r="U325" s="1"/>
      <c r="V325" s="1"/>
      <c r="W325" s="1"/>
    </row>
    <row r="326" spans="1:23" ht="57.6" customHeight="1" x14ac:dyDescent="0.3">
      <c r="A326" s="1"/>
      <c r="B326" s="1"/>
      <c r="C326" s="1"/>
      <c r="D326" s="1"/>
      <c r="E326" s="13"/>
      <c r="F326" s="48" t="s">
        <v>379</v>
      </c>
      <c r="G326" s="79" t="b">
        <v>0</v>
      </c>
      <c r="H326" s="79"/>
      <c r="I326" s="79"/>
      <c r="J326" s="79"/>
      <c r="K326" s="79"/>
      <c r="L326" s="79"/>
      <c r="M326" s="79"/>
      <c r="N326" s="79"/>
      <c r="O326" s="79"/>
      <c r="P326" s="1"/>
      <c r="Q326" s="1"/>
      <c r="R326" s="1"/>
      <c r="S326" s="1"/>
      <c r="T326" s="1"/>
      <c r="U326" s="1"/>
      <c r="V326" s="1"/>
      <c r="W326" s="1"/>
    </row>
    <row r="327" spans="1:23" ht="14.4" customHeight="1" x14ac:dyDescent="0.3">
      <c r="A327" s="1"/>
      <c r="B327" s="51">
        <v>11</v>
      </c>
      <c r="C327" s="50" t="s">
        <v>80</v>
      </c>
      <c r="D327" s="50"/>
      <c r="E327" s="50"/>
      <c r="F327" s="52"/>
      <c r="G327" s="79"/>
      <c r="H327" s="79" t="b">
        <f>AND(G328:G329)</f>
        <v>0</v>
      </c>
      <c r="I327" s="79"/>
      <c r="J327" s="79"/>
      <c r="K327" s="79"/>
      <c r="L327" s="79"/>
      <c r="M327" s="79"/>
      <c r="N327" s="79"/>
      <c r="O327" s="79"/>
      <c r="P327" s="1"/>
      <c r="Q327" s="1"/>
      <c r="R327" s="1"/>
      <c r="S327" s="1"/>
      <c r="T327" s="1"/>
      <c r="U327" s="1"/>
      <c r="V327" s="1"/>
      <c r="W327" s="1"/>
    </row>
    <row r="328" spans="1:23" ht="57.6" customHeight="1" x14ac:dyDescent="0.3">
      <c r="A328" s="1"/>
      <c r="B328" s="61" t="s">
        <v>126</v>
      </c>
      <c r="C328" s="1"/>
      <c r="D328" s="1"/>
      <c r="E328" s="13"/>
      <c r="F328" s="48" t="s">
        <v>380</v>
      </c>
      <c r="G328" s="79" t="b">
        <v>0</v>
      </c>
      <c r="H328" s="79"/>
      <c r="I328" s="79"/>
      <c r="J328" s="79"/>
      <c r="K328" s="79"/>
      <c r="L328" s="79"/>
      <c r="M328" s="79"/>
      <c r="N328" s="79"/>
      <c r="O328" s="79"/>
      <c r="P328" s="1"/>
      <c r="Q328" s="1"/>
      <c r="R328" s="1"/>
      <c r="S328" s="1"/>
      <c r="T328" s="1"/>
      <c r="U328" s="1"/>
      <c r="V328" s="1"/>
      <c r="W328" s="1"/>
    </row>
    <row r="329" spans="1:23" ht="57.6" customHeight="1" x14ac:dyDescent="0.3">
      <c r="A329" s="1"/>
      <c r="B329" s="1"/>
      <c r="C329" s="1"/>
      <c r="D329" s="1"/>
      <c r="E329" s="13"/>
      <c r="F329" s="48" t="s">
        <v>381</v>
      </c>
      <c r="G329" s="79" t="b">
        <v>0</v>
      </c>
      <c r="H329" s="79"/>
      <c r="I329" s="79"/>
      <c r="J329" s="79"/>
      <c r="K329" s="79"/>
      <c r="L329" s="79"/>
      <c r="M329" s="79"/>
      <c r="N329" s="79"/>
      <c r="O329" s="79"/>
      <c r="P329" s="1"/>
      <c r="Q329" s="1"/>
      <c r="R329" s="1"/>
      <c r="S329" s="1"/>
      <c r="T329" s="1"/>
      <c r="U329" s="1"/>
      <c r="V329" s="1"/>
      <c r="W329" s="1"/>
    </row>
    <row r="330" spans="1:23" ht="14.4" customHeight="1" x14ac:dyDescent="0.3">
      <c r="A330" s="1"/>
      <c r="B330" s="51">
        <v>12</v>
      </c>
      <c r="C330" s="50" t="s">
        <v>81</v>
      </c>
      <c r="D330" s="50"/>
      <c r="E330" s="50"/>
      <c r="F330" s="52"/>
      <c r="G330" s="79"/>
      <c r="H330" s="79" t="b">
        <f>AND(G331:G333)</f>
        <v>0</v>
      </c>
      <c r="I330" s="79"/>
      <c r="J330" s="79"/>
      <c r="K330" s="79"/>
      <c r="L330" s="79"/>
      <c r="M330" s="79"/>
      <c r="N330" s="79"/>
      <c r="O330" s="79"/>
      <c r="P330" s="1"/>
      <c r="Q330" s="1"/>
      <c r="R330" s="1"/>
      <c r="S330" s="1"/>
      <c r="T330" s="1"/>
      <c r="U330" s="1"/>
      <c r="V330" s="1"/>
      <c r="W330" s="1"/>
    </row>
    <row r="331" spans="1:23" ht="57.6" customHeight="1" x14ac:dyDescent="0.3">
      <c r="A331" s="1"/>
      <c r="B331" s="61" t="s">
        <v>126</v>
      </c>
      <c r="C331" s="1"/>
      <c r="D331" s="1"/>
      <c r="E331" s="13"/>
      <c r="F331" s="48" t="s">
        <v>382</v>
      </c>
      <c r="G331" s="79" t="b">
        <v>0</v>
      </c>
      <c r="H331" s="79"/>
      <c r="I331" s="79"/>
      <c r="J331" s="79"/>
      <c r="K331" s="79"/>
      <c r="L331" s="79"/>
      <c r="M331" s="79"/>
      <c r="N331" s="79"/>
      <c r="O331" s="79"/>
      <c r="P331" s="1"/>
      <c r="Q331" s="1"/>
      <c r="R331" s="1"/>
      <c r="S331" s="1"/>
      <c r="T331" s="1"/>
      <c r="U331" s="1"/>
      <c r="V331" s="1"/>
      <c r="W331" s="1"/>
    </row>
    <row r="332" spans="1:23" ht="57.6" customHeight="1" x14ac:dyDescent="0.3">
      <c r="A332" s="1"/>
      <c r="B332" s="1"/>
      <c r="C332" s="1"/>
      <c r="D332" s="1"/>
      <c r="E332" s="13"/>
      <c r="F332" s="48" t="s">
        <v>383</v>
      </c>
      <c r="G332" s="79" t="b">
        <v>0</v>
      </c>
      <c r="H332" s="79"/>
      <c r="I332" s="79"/>
      <c r="J332" s="79"/>
      <c r="K332" s="79"/>
      <c r="L332" s="79"/>
      <c r="M332" s="79"/>
      <c r="N332" s="79"/>
      <c r="O332" s="79"/>
      <c r="P332" s="1"/>
      <c r="Q332" s="1"/>
      <c r="R332" s="1"/>
      <c r="S332" s="1"/>
      <c r="T332" s="1"/>
      <c r="U332" s="1"/>
      <c r="V332" s="1"/>
      <c r="W332" s="1"/>
    </row>
    <row r="333" spans="1:23" ht="57.6" customHeight="1" x14ac:dyDescent="0.3">
      <c r="A333" s="1"/>
      <c r="B333" s="1"/>
      <c r="C333" s="1"/>
      <c r="D333" s="1"/>
      <c r="E333" s="13"/>
      <c r="F333" s="48" t="s">
        <v>384</v>
      </c>
      <c r="G333" s="79" t="b">
        <v>0</v>
      </c>
      <c r="H333" s="79"/>
      <c r="I333" s="79"/>
      <c r="J333" s="79"/>
      <c r="K333" s="79"/>
      <c r="L333" s="79"/>
      <c r="M333" s="79"/>
      <c r="N333" s="79"/>
      <c r="O333" s="79"/>
      <c r="P333" s="1"/>
      <c r="Q333" s="1"/>
      <c r="R333" s="1"/>
      <c r="S333" s="1"/>
      <c r="T333" s="1"/>
      <c r="U333" s="1"/>
      <c r="V333" s="1"/>
      <c r="W333" s="1"/>
    </row>
    <row r="334" spans="1:23" ht="14.4" customHeight="1" x14ac:dyDescent="0.3">
      <c r="A334" s="1"/>
      <c r="B334" s="51">
        <v>13</v>
      </c>
      <c r="C334" s="50" t="s">
        <v>82</v>
      </c>
      <c r="D334" s="50"/>
      <c r="E334" s="50"/>
      <c r="F334" s="52"/>
      <c r="G334" s="79"/>
      <c r="H334" s="79" t="b">
        <f>AND(G335:G338)</f>
        <v>0</v>
      </c>
      <c r="I334" s="79"/>
      <c r="J334" s="79"/>
      <c r="K334" s="79"/>
      <c r="L334" s="79"/>
      <c r="M334" s="79"/>
      <c r="N334" s="79"/>
      <c r="O334" s="79"/>
      <c r="P334" s="1"/>
      <c r="Q334" s="1"/>
      <c r="R334" s="1"/>
      <c r="S334" s="1"/>
      <c r="T334" s="1"/>
      <c r="U334" s="1"/>
      <c r="V334" s="1"/>
      <c r="W334" s="1"/>
    </row>
    <row r="335" spans="1:23" ht="57.6" customHeight="1" x14ac:dyDescent="0.3">
      <c r="A335" s="1"/>
      <c r="B335" s="61" t="s">
        <v>126</v>
      </c>
      <c r="C335" s="1"/>
      <c r="D335" s="1"/>
      <c r="E335" s="13"/>
      <c r="F335" s="48" t="s">
        <v>385</v>
      </c>
      <c r="G335" s="79" t="b">
        <v>0</v>
      </c>
      <c r="H335" s="79"/>
      <c r="I335" s="79"/>
      <c r="J335" s="79"/>
      <c r="K335" s="79"/>
      <c r="L335" s="79"/>
      <c r="M335" s="79"/>
      <c r="N335" s="79"/>
      <c r="O335" s="79"/>
      <c r="P335" s="1"/>
      <c r="Q335" s="1"/>
      <c r="R335" s="1"/>
      <c r="S335" s="1"/>
      <c r="T335" s="1"/>
      <c r="U335" s="1"/>
      <c r="V335" s="1"/>
      <c r="W335" s="1"/>
    </row>
    <row r="336" spans="1:23" ht="57.6" customHeight="1" x14ac:dyDescent="0.3">
      <c r="A336" s="1"/>
      <c r="B336" s="1"/>
      <c r="C336" s="1"/>
      <c r="D336" s="1"/>
      <c r="E336" s="13"/>
      <c r="F336" s="48" t="s">
        <v>386</v>
      </c>
      <c r="G336" s="79" t="b">
        <v>0</v>
      </c>
      <c r="H336" s="79"/>
      <c r="I336" s="79"/>
      <c r="J336" s="79"/>
      <c r="K336" s="79"/>
      <c r="L336" s="79"/>
      <c r="M336" s="79"/>
      <c r="N336" s="79"/>
      <c r="O336" s="79"/>
      <c r="P336" s="1"/>
      <c r="Q336" s="1"/>
      <c r="R336" s="1"/>
      <c r="S336" s="1"/>
      <c r="T336" s="1"/>
      <c r="U336" s="1"/>
      <c r="V336" s="1"/>
      <c r="W336" s="1"/>
    </row>
    <row r="337" spans="1:23" ht="57.6" customHeight="1" x14ac:dyDescent="0.3">
      <c r="A337" s="1"/>
      <c r="B337" s="1"/>
      <c r="C337" s="1"/>
      <c r="D337" s="1"/>
      <c r="E337" s="13"/>
      <c r="F337" s="48" t="s">
        <v>387</v>
      </c>
      <c r="G337" s="79" t="b">
        <v>0</v>
      </c>
      <c r="H337" s="79"/>
      <c r="I337" s="79"/>
      <c r="J337" s="79"/>
      <c r="K337" s="79"/>
      <c r="L337" s="79"/>
      <c r="M337" s="79"/>
      <c r="N337" s="79"/>
      <c r="O337" s="79"/>
      <c r="P337" s="1"/>
      <c r="Q337" s="1"/>
      <c r="R337" s="1"/>
      <c r="S337" s="1"/>
      <c r="T337" s="1"/>
      <c r="U337" s="1"/>
      <c r="V337" s="1"/>
      <c r="W337" s="1"/>
    </row>
    <row r="338" spans="1:23" ht="57.6" customHeight="1" x14ac:dyDescent="0.3">
      <c r="A338" s="1"/>
      <c r="B338" s="1"/>
      <c r="C338" s="1"/>
      <c r="D338" s="1"/>
      <c r="E338" s="13"/>
      <c r="F338" s="48" t="s">
        <v>388</v>
      </c>
      <c r="G338" s="79" t="b">
        <v>0</v>
      </c>
      <c r="H338" s="79"/>
      <c r="I338" s="79"/>
      <c r="J338" s="79"/>
      <c r="K338" s="79"/>
      <c r="L338" s="79"/>
      <c r="M338" s="79"/>
      <c r="N338" s="79"/>
      <c r="O338" s="79"/>
      <c r="P338" s="1"/>
      <c r="Q338" s="1"/>
      <c r="R338" s="1"/>
      <c r="S338" s="1"/>
      <c r="T338" s="1"/>
      <c r="U338" s="1"/>
      <c r="V338" s="1"/>
      <c r="W338" s="1"/>
    </row>
    <row r="339" spans="1:23" ht="14.4" customHeight="1" x14ac:dyDescent="0.3">
      <c r="A339" s="1"/>
      <c r="B339" s="51">
        <v>14</v>
      </c>
      <c r="C339" s="50" t="s">
        <v>83</v>
      </c>
      <c r="D339" s="50"/>
      <c r="E339" s="50"/>
      <c r="F339" s="52"/>
      <c r="G339" s="79"/>
      <c r="H339" s="79" t="b">
        <f>AND(G340:G342)</f>
        <v>0</v>
      </c>
      <c r="I339" s="79"/>
      <c r="J339" s="79"/>
      <c r="K339" s="79"/>
      <c r="L339" s="79"/>
      <c r="M339" s="79"/>
      <c r="N339" s="79"/>
      <c r="O339" s="79"/>
      <c r="P339" s="1"/>
      <c r="Q339" s="1"/>
      <c r="R339" s="1"/>
      <c r="S339" s="1"/>
      <c r="T339" s="1"/>
      <c r="U339" s="1"/>
      <c r="V339" s="1"/>
      <c r="W339" s="1"/>
    </row>
    <row r="340" spans="1:23" ht="57.6" customHeight="1" x14ac:dyDescent="0.3">
      <c r="A340" s="1"/>
      <c r="B340" s="61" t="s">
        <v>126</v>
      </c>
      <c r="C340" s="1"/>
      <c r="D340" s="1"/>
      <c r="E340" s="13"/>
      <c r="F340" s="48" t="s">
        <v>389</v>
      </c>
      <c r="G340" s="79" t="b">
        <v>0</v>
      </c>
      <c r="H340" s="79"/>
      <c r="I340" s="79"/>
      <c r="J340" s="79"/>
      <c r="K340" s="79"/>
      <c r="L340" s="79"/>
      <c r="M340" s="79"/>
      <c r="N340" s="79"/>
      <c r="O340" s="79"/>
      <c r="P340" s="1"/>
      <c r="Q340" s="1"/>
      <c r="R340" s="1"/>
      <c r="S340" s="1"/>
      <c r="T340" s="1"/>
      <c r="U340" s="1"/>
      <c r="V340" s="1"/>
      <c r="W340" s="1"/>
    </row>
    <row r="341" spans="1:23" ht="57.6" customHeight="1" x14ac:dyDescent="0.3">
      <c r="A341" s="1"/>
      <c r="B341" s="1"/>
      <c r="C341" s="1"/>
      <c r="D341" s="1"/>
      <c r="E341" s="13"/>
      <c r="F341" s="48" t="s">
        <v>390</v>
      </c>
      <c r="G341" s="79" t="b">
        <v>0</v>
      </c>
      <c r="H341" s="79"/>
      <c r="I341" s="79"/>
      <c r="J341" s="79"/>
      <c r="K341" s="79"/>
      <c r="L341" s="79"/>
      <c r="M341" s="79"/>
      <c r="N341" s="79"/>
      <c r="O341" s="79"/>
      <c r="P341" s="1"/>
      <c r="Q341" s="1"/>
      <c r="R341" s="1"/>
      <c r="S341" s="1"/>
      <c r="T341" s="1"/>
      <c r="U341" s="1"/>
      <c r="V341" s="1"/>
      <c r="W341" s="1"/>
    </row>
    <row r="342" spans="1:23" ht="57.6" customHeight="1" x14ac:dyDescent="0.3">
      <c r="A342" s="1"/>
      <c r="B342" s="1"/>
      <c r="C342" s="1"/>
      <c r="D342" s="1"/>
      <c r="E342" s="13"/>
      <c r="F342" s="48" t="s">
        <v>391</v>
      </c>
      <c r="G342" s="79" t="b">
        <v>0</v>
      </c>
      <c r="H342" s="79"/>
      <c r="I342" s="79"/>
      <c r="J342" s="79"/>
      <c r="K342" s="79"/>
      <c r="L342" s="79"/>
      <c r="M342" s="79"/>
      <c r="N342" s="79"/>
      <c r="O342" s="79"/>
      <c r="P342" s="1"/>
      <c r="Q342" s="1"/>
      <c r="R342" s="1"/>
      <c r="S342" s="1"/>
      <c r="T342" s="1"/>
      <c r="U342" s="1"/>
      <c r="V342" s="1"/>
      <c r="W342" s="1"/>
    </row>
    <row r="343" spans="1:23" ht="14.4" customHeight="1" x14ac:dyDescent="0.3">
      <c r="A343" s="1"/>
      <c r="B343" s="51">
        <v>15</v>
      </c>
      <c r="C343" s="50" t="s">
        <v>84</v>
      </c>
      <c r="D343" s="50"/>
      <c r="E343" s="50"/>
      <c r="F343" s="52"/>
      <c r="G343" s="79"/>
      <c r="H343" s="79" t="b">
        <f>AND(G344)</f>
        <v>0</v>
      </c>
      <c r="I343" s="79"/>
      <c r="J343" s="79"/>
      <c r="K343" s="79"/>
      <c r="L343" s="79"/>
      <c r="M343" s="79"/>
      <c r="N343" s="79"/>
      <c r="O343" s="79"/>
      <c r="P343" s="1"/>
      <c r="Q343" s="1"/>
      <c r="R343" s="1"/>
      <c r="S343" s="1"/>
      <c r="T343" s="1"/>
      <c r="U343" s="1"/>
      <c r="V343" s="1"/>
      <c r="W343" s="1"/>
    </row>
    <row r="344" spans="1:23" ht="57.6" customHeight="1" x14ac:dyDescent="0.3">
      <c r="A344" s="1"/>
      <c r="B344" s="61" t="s">
        <v>126</v>
      </c>
      <c r="C344" s="1"/>
      <c r="D344" s="1"/>
      <c r="E344" s="13"/>
      <c r="F344" s="48" t="s">
        <v>392</v>
      </c>
      <c r="G344" s="79" t="b">
        <v>0</v>
      </c>
      <c r="H344" s="79"/>
      <c r="I344" s="79"/>
      <c r="J344" s="79"/>
      <c r="K344" s="79"/>
      <c r="L344" s="79"/>
      <c r="M344" s="79"/>
      <c r="N344" s="79"/>
      <c r="O344" s="79"/>
      <c r="P344" s="1"/>
      <c r="Q344" s="1"/>
      <c r="R344" s="1"/>
      <c r="S344" s="1"/>
      <c r="T344" s="1"/>
      <c r="U344" s="1"/>
      <c r="V344" s="1"/>
      <c r="W344" s="1"/>
    </row>
    <row r="345" spans="1:23" ht="14.4" customHeight="1" x14ac:dyDescent="0.3">
      <c r="A345" s="1"/>
      <c r="B345" s="51">
        <v>16</v>
      </c>
      <c r="C345" s="50" t="s">
        <v>85</v>
      </c>
      <c r="D345" s="50"/>
      <c r="E345" s="50"/>
      <c r="F345" s="52"/>
      <c r="G345" s="79"/>
      <c r="H345" s="79" t="b">
        <f>AND(G346:G348)</f>
        <v>0</v>
      </c>
      <c r="I345" s="79"/>
      <c r="J345" s="79"/>
      <c r="K345" s="79"/>
      <c r="L345" s="79"/>
      <c r="M345" s="79"/>
      <c r="N345" s="79"/>
      <c r="O345" s="79"/>
      <c r="P345" s="1"/>
      <c r="Q345" s="1"/>
      <c r="R345" s="1"/>
      <c r="S345" s="1"/>
      <c r="T345" s="1"/>
      <c r="U345" s="1"/>
      <c r="V345" s="1"/>
      <c r="W345" s="1"/>
    </row>
    <row r="346" spans="1:23" ht="57.6" customHeight="1" x14ac:dyDescent="0.3">
      <c r="A346" s="1"/>
      <c r="B346" s="61" t="s">
        <v>126</v>
      </c>
      <c r="C346" s="1"/>
      <c r="D346" s="1"/>
      <c r="E346" s="13"/>
      <c r="F346" s="48" t="s">
        <v>393</v>
      </c>
      <c r="G346" s="79" t="b">
        <v>0</v>
      </c>
      <c r="H346" s="79"/>
      <c r="I346" s="79"/>
      <c r="J346" s="79"/>
      <c r="K346" s="79"/>
      <c r="L346" s="79"/>
      <c r="M346" s="79"/>
      <c r="N346" s="79"/>
      <c r="O346" s="79"/>
      <c r="P346" s="1"/>
      <c r="Q346" s="1"/>
      <c r="R346" s="1"/>
      <c r="S346" s="1"/>
      <c r="T346" s="1"/>
      <c r="U346" s="1"/>
      <c r="V346" s="1"/>
      <c r="W346" s="1"/>
    </row>
    <row r="347" spans="1:23" ht="57.6" customHeight="1" x14ac:dyDescent="0.3">
      <c r="A347" s="1"/>
      <c r="B347" s="1"/>
      <c r="C347" s="1"/>
      <c r="D347" s="1"/>
      <c r="E347" s="13"/>
      <c r="F347" s="48" t="s">
        <v>394</v>
      </c>
      <c r="G347" s="79" t="b">
        <v>0</v>
      </c>
      <c r="H347" s="79"/>
      <c r="I347" s="79"/>
      <c r="J347" s="79"/>
      <c r="K347" s="79"/>
      <c r="L347" s="79"/>
      <c r="M347" s="79"/>
      <c r="N347" s="79"/>
      <c r="O347" s="79"/>
      <c r="P347" s="1"/>
      <c r="Q347" s="1"/>
      <c r="R347" s="1"/>
      <c r="S347" s="1"/>
      <c r="T347" s="1"/>
      <c r="U347" s="1"/>
      <c r="V347" s="1"/>
      <c r="W347" s="1"/>
    </row>
    <row r="348" spans="1:23" ht="57.6" customHeight="1" x14ac:dyDescent="0.3">
      <c r="A348" s="1"/>
      <c r="B348" s="1"/>
      <c r="C348" s="1"/>
      <c r="D348" s="1"/>
      <c r="E348" s="13"/>
      <c r="F348" s="48" t="s">
        <v>395</v>
      </c>
      <c r="G348" s="79" t="b">
        <v>0</v>
      </c>
      <c r="H348" s="79"/>
      <c r="I348" s="79"/>
      <c r="J348" s="79"/>
      <c r="K348" s="79"/>
      <c r="L348" s="79"/>
      <c r="M348" s="79"/>
      <c r="N348" s="79"/>
      <c r="O348" s="79"/>
      <c r="P348" s="1"/>
      <c r="Q348" s="1"/>
      <c r="R348" s="1"/>
      <c r="S348" s="1"/>
      <c r="T348" s="1"/>
      <c r="U348" s="1"/>
      <c r="V348" s="1"/>
      <c r="W348" s="1"/>
    </row>
    <row r="349" spans="1:23" ht="14.4" customHeight="1" x14ac:dyDescent="0.3">
      <c r="A349" s="1"/>
      <c r="B349" s="51">
        <v>17</v>
      </c>
      <c r="C349" s="50" t="s">
        <v>86</v>
      </c>
      <c r="D349" s="50"/>
      <c r="E349" s="50"/>
      <c r="F349" s="52"/>
      <c r="G349" s="79"/>
      <c r="H349" s="79" t="b">
        <f>AND(G350:G351)</f>
        <v>0</v>
      </c>
      <c r="I349" s="79"/>
      <c r="J349" s="79"/>
      <c r="K349" s="79"/>
      <c r="L349" s="79"/>
      <c r="M349" s="79"/>
      <c r="N349" s="79"/>
      <c r="O349" s="79"/>
      <c r="P349" s="1"/>
      <c r="Q349" s="1"/>
      <c r="R349" s="1"/>
      <c r="S349" s="1"/>
      <c r="T349" s="1"/>
      <c r="U349" s="1"/>
      <c r="V349" s="1"/>
      <c r="W349" s="1"/>
    </row>
    <row r="350" spans="1:23" ht="57.6" customHeight="1" x14ac:dyDescent="0.3">
      <c r="A350" s="1"/>
      <c r="B350" s="61" t="s">
        <v>126</v>
      </c>
      <c r="C350" s="1"/>
      <c r="D350" s="1"/>
      <c r="E350" s="13"/>
      <c r="F350" s="48" t="s">
        <v>396</v>
      </c>
      <c r="G350" s="79" t="b">
        <v>0</v>
      </c>
      <c r="H350" s="79"/>
      <c r="I350" s="79"/>
      <c r="J350" s="79"/>
      <c r="K350" s="79"/>
      <c r="L350" s="79"/>
      <c r="M350" s="79"/>
      <c r="N350" s="79"/>
      <c r="O350" s="79"/>
      <c r="P350" s="1"/>
      <c r="Q350" s="1"/>
      <c r="R350" s="1"/>
      <c r="S350" s="1"/>
      <c r="T350" s="1"/>
      <c r="U350" s="1"/>
      <c r="V350" s="1"/>
      <c r="W350" s="1"/>
    </row>
    <row r="351" spans="1:23" ht="57.6" customHeight="1" x14ac:dyDescent="0.3">
      <c r="A351" s="1"/>
      <c r="B351" s="1"/>
      <c r="C351" s="1"/>
      <c r="D351" s="1"/>
      <c r="E351" s="13"/>
      <c r="F351" s="48" t="s">
        <v>397</v>
      </c>
      <c r="G351" s="79" t="b">
        <v>0</v>
      </c>
      <c r="H351" s="79"/>
      <c r="I351" s="79"/>
      <c r="J351" s="79"/>
      <c r="K351" s="79"/>
      <c r="L351" s="79"/>
      <c r="M351" s="79"/>
      <c r="N351" s="79"/>
      <c r="O351" s="79"/>
      <c r="P351" s="1"/>
      <c r="Q351" s="1"/>
      <c r="R351" s="1"/>
      <c r="S351" s="1"/>
      <c r="T351" s="1"/>
      <c r="U351" s="1"/>
      <c r="V351" s="1"/>
      <c r="W351" s="1"/>
    </row>
    <row r="352" spans="1:23" ht="14.4" customHeight="1" x14ac:dyDescent="0.3">
      <c r="A352" s="1"/>
      <c r="B352" s="51">
        <v>18</v>
      </c>
      <c r="C352" s="50" t="s">
        <v>87</v>
      </c>
      <c r="D352" s="50"/>
      <c r="E352" s="50"/>
      <c r="F352" s="52"/>
      <c r="G352" s="79"/>
      <c r="H352" s="79" t="b">
        <f>AND(G353:G356)</f>
        <v>0</v>
      </c>
      <c r="I352" s="79"/>
      <c r="J352" s="79"/>
      <c r="K352" s="79"/>
      <c r="L352" s="79"/>
      <c r="M352" s="79"/>
      <c r="N352" s="79"/>
      <c r="O352" s="79"/>
      <c r="P352" s="1"/>
      <c r="Q352" s="1"/>
      <c r="R352" s="1"/>
      <c r="S352" s="1"/>
      <c r="T352" s="1"/>
      <c r="U352" s="1"/>
      <c r="V352" s="1"/>
      <c r="W352" s="1"/>
    </row>
    <row r="353" spans="1:23" ht="57.6" customHeight="1" x14ac:dyDescent="0.3">
      <c r="A353" s="1"/>
      <c r="B353" s="61" t="s">
        <v>126</v>
      </c>
      <c r="C353" s="1"/>
      <c r="D353" s="1"/>
      <c r="E353" s="13"/>
      <c r="F353" s="48" t="s">
        <v>398</v>
      </c>
      <c r="G353" s="79" t="b">
        <v>0</v>
      </c>
      <c r="H353" s="79"/>
      <c r="I353" s="79"/>
      <c r="J353" s="79"/>
      <c r="K353" s="79"/>
      <c r="L353" s="79"/>
      <c r="M353" s="79"/>
      <c r="N353" s="79"/>
      <c r="O353" s="79"/>
      <c r="P353" s="1"/>
      <c r="Q353" s="1"/>
      <c r="R353" s="1"/>
      <c r="S353" s="1"/>
      <c r="T353" s="1"/>
      <c r="U353" s="1"/>
      <c r="V353" s="1"/>
      <c r="W353" s="1"/>
    </row>
    <row r="354" spans="1:23" ht="57.6" customHeight="1" x14ac:dyDescent="0.3">
      <c r="A354" s="1"/>
      <c r="B354" s="1"/>
      <c r="C354" s="1"/>
      <c r="D354" s="1"/>
      <c r="E354" s="13"/>
      <c r="F354" s="48" t="s">
        <v>399</v>
      </c>
      <c r="G354" s="79" t="b">
        <v>0</v>
      </c>
      <c r="H354" s="79"/>
      <c r="I354" s="79"/>
      <c r="J354" s="79"/>
      <c r="K354" s="79"/>
      <c r="L354" s="79"/>
      <c r="M354" s="79"/>
      <c r="N354" s="79"/>
      <c r="O354" s="79"/>
      <c r="P354" s="1"/>
      <c r="Q354" s="1"/>
      <c r="R354" s="1"/>
      <c r="S354" s="1"/>
      <c r="T354" s="1"/>
      <c r="U354" s="1"/>
      <c r="V354" s="1"/>
      <c r="W354" s="1"/>
    </row>
    <row r="355" spans="1:23" ht="57.6" customHeight="1" x14ac:dyDescent="0.3">
      <c r="A355" s="1"/>
      <c r="B355" s="1"/>
      <c r="C355" s="1"/>
      <c r="D355" s="1"/>
      <c r="E355" s="13"/>
      <c r="F355" s="48" t="s">
        <v>400</v>
      </c>
      <c r="G355" s="79" t="b">
        <v>0</v>
      </c>
      <c r="H355" s="79"/>
      <c r="I355" s="79"/>
      <c r="J355" s="79"/>
      <c r="K355" s="79"/>
      <c r="L355" s="79"/>
      <c r="M355" s="79"/>
      <c r="N355" s="79"/>
      <c r="O355" s="79"/>
      <c r="P355" s="1"/>
      <c r="Q355" s="1"/>
      <c r="R355" s="1"/>
      <c r="S355" s="1"/>
      <c r="T355" s="1"/>
      <c r="U355" s="1"/>
      <c r="V355" s="1"/>
      <c r="W355" s="1"/>
    </row>
    <row r="356" spans="1:23" ht="57.6" customHeight="1" x14ac:dyDescent="0.3">
      <c r="A356" s="1"/>
      <c r="B356" s="1"/>
      <c r="C356" s="1"/>
      <c r="D356" s="1"/>
      <c r="E356" s="13"/>
      <c r="F356" s="48" t="s">
        <v>401</v>
      </c>
      <c r="G356" s="79" t="b">
        <v>0</v>
      </c>
      <c r="H356" s="79"/>
      <c r="I356" s="79"/>
      <c r="J356" s="79"/>
      <c r="K356" s="79"/>
      <c r="L356" s="79"/>
      <c r="M356" s="79"/>
      <c r="N356" s="79"/>
      <c r="O356" s="79"/>
      <c r="P356" s="1"/>
      <c r="Q356" s="1"/>
      <c r="R356" s="1"/>
      <c r="S356" s="1"/>
      <c r="T356" s="1"/>
      <c r="U356" s="1"/>
      <c r="V356" s="1"/>
      <c r="W356" s="1"/>
    </row>
    <row r="357" spans="1:23" ht="14.4" customHeight="1" x14ac:dyDescent="0.3">
      <c r="A357" s="1"/>
      <c r="B357" s="51">
        <v>19</v>
      </c>
      <c r="C357" s="50" t="s">
        <v>69</v>
      </c>
      <c r="D357" s="50"/>
      <c r="E357" s="50"/>
      <c r="F357" s="52"/>
      <c r="G357" s="79"/>
      <c r="H357" s="79" t="b">
        <f>AND(G358:G361)</f>
        <v>0</v>
      </c>
      <c r="I357" s="79"/>
      <c r="J357" s="79"/>
      <c r="K357" s="79"/>
      <c r="L357" s="79"/>
      <c r="M357" s="79"/>
      <c r="N357" s="79"/>
      <c r="O357" s="79"/>
      <c r="P357" s="1"/>
      <c r="Q357" s="1"/>
      <c r="R357" s="1"/>
      <c r="S357" s="1"/>
      <c r="T357" s="1"/>
      <c r="U357" s="1"/>
      <c r="V357" s="1"/>
      <c r="W357" s="1"/>
    </row>
    <row r="358" spans="1:23" ht="57.6" customHeight="1" x14ac:dyDescent="0.3">
      <c r="A358" s="1"/>
      <c r="B358" s="61" t="s">
        <v>126</v>
      </c>
      <c r="C358" s="1"/>
      <c r="D358" s="1"/>
      <c r="E358" s="13"/>
      <c r="F358" s="48" t="s">
        <v>402</v>
      </c>
      <c r="G358" s="79" t="b">
        <v>0</v>
      </c>
      <c r="H358" s="79"/>
      <c r="I358" s="79"/>
      <c r="J358" s="79"/>
      <c r="K358" s="79"/>
      <c r="L358" s="79"/>
      <c r="M358" s="79"/>
      <c r="N358" s="79"/>
      <c r="O358" s="79"/>
      <c r="P358" s="1"/>
      <c r="Q358" s="1"/>
      <c r="R358" s="1"/>
      <c r="S358" s="1"/>
      <c r="T358" s="1"/>
      <c r="U358" s="1"/>
      <c r="V358" s="1"/>
      <c r="W358" s="1"/>
    </row>
    <row r="359" spans="1:23" ht="57.6" customHeight="1" x14ac:dyDescent="0.3">
      <c r="A359" s="1"/>
      <c r="B359" s="1"/>
      <c r="C359" s="1"/>
      <c r="D359" s="1"/>
      <c r="E359" s="13"/>
      <c r="F359" s="48" t="s">
        <v>403</v>
      </c>
      <c r="G359" s="79" t="b">
        <v>0</v>
      </c>
      <c r="H359" s="79"/>
      <c r="I359" s="79"/>
      <c r="J359" s="79"/>
      <c r="K359" s="79"/>
      <c r="L359" s="79"/>
      <c r="M359" s="79"/>
      <c r="N359" s="79"/>
      <c r="O359" s="79"/>
      <c r="P359" s="1"/>
      <c r="Q359" s="1"/>
      <c r="R359" s="1"/>
      <c r="S359" s="1"/>
      <c r="T359" s="1"/>
      <c r="U359" s="1"/>
      <c r="V359" s="1"/>
      <c r="W359" s="1"/>
    </row>
    <row r="360" spans="1:23" ht="57.6" customHeight="1" x14ac:dyDescent="0.3">
      <c r="A360" s="1"/>
      <c r="B360" s="1"/>
      <c r="C360" s="1"/>
      <c r="D360" s="1"/>
      <c r="E360" s="13"/>
      <c r="F360" s="48" t="s">
        <v>404</v>
      </c>
      <c r="G360" s="79" t="b">
        <v>0</v>
      </c>
      <c r="H360" s="79"/>
      <c r="I360" s="79"/>
      <c r="J360" s="79"/>
      <c r="K360" s="79"/>
      <c r="L360" s="79"/>
      <c r="M360" s="79"/>
      <c r="N360" s="79"/>
      <c r="O360" s="79"/>
      <c r="P360" s="1"/>
      <c r="Q360" s="1"/>
      <c r="R360" s="1"/>
      <c r="S360" s="1"/>
      <c r="T360" s="1"/>
      <c r="U360" s="1"/>
      <c r="V360" s="1"/>
      <c r="W360" s="1"/>
    </row>
    <row r="361" spans="1:23" ht="57.6" customHeight="1" x14ac:dyDescent="0.3">
      <c r="A361" s="1"/>
      <c r="B361" s="1"/>
      <c r="C361" s="1"/>
      <c r="D361" s="1"/>
      <c r="E361" s="13"/>
      <c r="F361" s="48" t="s">
        <v>405</v>
      </c>
      <c r="G361" s="79" t="b">
        <v>0</v>
      </c>
      <c r="H361" s="79"/>
      <c r="I361" s="79"/>
      <c r="J361" s="79"/>
      <c r="K361" s="79"/>
      <c r="L361" s="79"/>
      <c r="M361" s="79"/>
      <c r="N361" s="79"/>
      <c r="O361" s="79"/>
      <c r="P361" s="1"/>
      <c r="Q361" s="1"/>
      <c r="R361" s="1"/>
      <c r="S361" s="1"/>
      <c r="T361" s="1"/>
      <c r="U361" s="1"/>
      <c r="V361" s="1"/>
      <c r="W361" s="1"/>
    </row>
    <row r="362" spans="1:23" ht="25.05" customHeight="1" x14ac:dyDescent="0.3">
      <c r="A362" s="1"/>
      <c r="B362" s="1"/>
      <c r="C362" s="1"/>
      <c r="D362" s="1"/>
      <c r="E362" s="1"/>
      <c r="F362" s="1"/>
      <c r="G362" s="79"/>
      <c r="H362" s="79"/>
      <c r="I362" s="79"/>
      <c r="J362" s="79"/>
      <c r="K362" s="79"/>
      <c r="L362" s="79"/>
      <c r="M362" s="79"/>
      <c r="N362" s="79"/>
      <c r="O362" s="79"/>
      <c r="P362" s="1"/>
      <c r="Q362" s="1"/>
      <c r="R362" s="1"/>
      <c r="S362" s="1"/>
      <c r="T362" s="1"/>
      <c r="U362" s="1"/>
      <c r="V362" s="1"/>
      <c r="W362" s="1"/>
    </row>
    <row r="363" spans="1:23" ht="14.4" customHeight="1" x14ac:dyDescent="0.3">
      <c r="A363" s="63" t="s">
        <v>501</v>
      </c>
      <c r="B363" s="58" t="s">
        <v>406</v>
      </c>
      <c r="C363" s="54"/>
      <c r="D363" s="54"/>
      <c r="E363" s="54"/>
      <c r="F363" s="55"/>
      <c r="G363" s="79"/>
      <c r="H363" s="79" t="b">
        <f>AND(H364,H397)</f>
        <v>0</v>
      </c>
      <c r="I363" s="79"/>
      <c r="J363" s="79"/>
      <c r="K363" s="79"/>
      <c r="L363" s="79"/>
      <c r="M363" s="79"/>
      <c r="N363" s="79"/>
      <c r="O363" s="79"/>
      <c r="P363" s="1"/>
      <c r="Q363" s="1"/>
      <c r="R363" s="1"/>
      <c r="S363" s="1"/>
      <c r="T363" s="1"/>
      <c r="U363" s="1"/>
      <c r="V363" s="1"/>
      <c r="W363" s="1"/>
    </row>
    <row r="364" spans="1:23" ht="14.4" customHeight="1" x14ac:dyDescent="0.3">
      <c r="A364" s="63" t="s">
        <v>506</v>
      </c>
      <c r="B364" s="59" t="s">
        <v>88</v>
      </c>
      <c r="C364" s="56"/>
      <c r="D364" s="56"/>
      <c r="E364" s="56"/>
      <c r="F364" s="57"/>
      <c r="G364" s="79"/>
      <c r="H364" s="79" t="b">
        <f>AND(H365,H368,H372,H375,H378,H381,H384,H387,H391,H394)</f>
        <v>0</v>
      </c>
      <c r="I364" s="79"/>
      <c r="J364" s="79"/>
      <c r="K364" s="79"/>
      <c r="L364" s="79"/>
      <c r="M364" s="79"/>
      <c r="N364" s="79"/>
      <c r="O364" s="79"/>
      <c r="P364" s="1"/>
      <c r="Q364" s="1"/>
      <c r="R364" s="1"/>
      <c r="S364" s="1"/>
      <c r="T364" s="1"/>
      <c r="U364" s="1"/>
      <c r="V364" s="1"/>
      <c r="W364" s="1"/>
    </row>
    <row r="365" spans="1:23" ht="14.4" customHeight="1" x14ac:dyDescent="0.3">
      <c r="B365" s="51">
        <v>1</v>
      </c>
      <c r="C365" s="50" t="s">
        <v>98</v>
      </c>
      <c r="D365" s="50"/>
      <c r="E365" s="50"/>
      <c r="F365" s="52"/>
      <c r="G365" s="79"/>
      <c r="H365" s="79" t="b">
        <f>AND(G366:G367)</f>
        <v>0</v>
      </c>
      <c r="I365" s="79"/>
      <c r="J365" s="79"/>
      <c r="K365" s="79"/>
      <c r="L365" s="79"/>
      <c r="M365" s="79"/>
      <c r="N365" s="79"/>
      <c r="O365" s="79"/>
      <c r="P365" s="1"/>
      <c r="Q365" s="1"/>
      <c r="R365" s="1"/>
      <c r="S365" s="1"/>
      <c r="T365" s="1"/>
      <c r="U365" s="1"/>
      <c r="V365" s="1"/>
      <c r="W365" s="1"/>
    </row>
    <row r="366" spans="1:23" ht="57.6" customHeight="1" x14ac:dyDescent="0.3">
      <c r="A366" s="1"/>
      <c r="B366" s="61" t="s">
        <v>126</v>
      </c>
      <c r="C366" s="1"/>
      <c r="D366" s="1"/>
      <c r="E366" s="13"/>
      <c r="F366" s="48" t="s">
        <v>407</v>
      </c>
      <c r="G366" s="79" t="b">
        <v>0</v>
      </c>
      <c r="H366" s="79"/>
      <c r="I366" s="79"/>
      <c r="J366" s="79"/>
      <c r="K366" s="79"/>
      <c r="L366" s="79"/>
      <c r="M366" s="79"/>
      <c r="N366" s="79"/>
      <c r="O366" s="79"/>
      <c r="P366" s="1"/>
      <c r="Q366" s="1"/>
      <c r="R366" s="1"/>
      <c r="S366" s="1"/>
      <c r="T366" s="1"/>
      <c r="U366" s="1"/>
      <c r="V366" s="1"/>
      <c r="W366" s="1"/>
    </row>
    <row r="367" spans="1:23" ht="57.6" customHeight="1" x14ac:dyDescent="0.3">
      <c r="A367" s="1"/>
      <c r="B367" s="1"/>
      <c r="C367" s="1"/>
      <c r="D367" s="1"/>
      <c r="E367" s="13"/>
      <c r="F367" s="48" t="s">
        <v>408</v>
      </c>
      <c r="G367" s="79" t="b">
        <v>0</v>
      </c>
      <c r="H367" s="79"/>
      <c r="I367" s="79"/>
      <c r="J367" s="79"/>
      <c r="K367" s="79"/>
      <c r="L367" s="79"/>
      <c r="M367" s="79"/>
      <c r="N367" s="79"/>
      <c r="O367" s="79"/>
      <c r="P367" s="1"/>
      <c r="Q367" s="1"/>
      <c r="R367" s="1"/>
      <c r="S367" s="1"/>
      <c r="T367" s="1"/>
      <c r="U367" s="1"/>
      <c r="V367" s="1"/>
      <c r="W367" s="1"/>
    </row>
    <row r="368" spans="1:23" ht="14.4" customHeight="1" x14ac:dyDescent="0.3">
      <c r="A368" s="1"/>
      <c r="B368" s="51">
        <v>2</v>
      </c>
      <c r="C368" s="50" t="s">
        <v>97</v>
      </c>
      <c r="D368" s="50"/>
      <c r="E368" s="50"/>
      <c r="F368" s="52"/>
      <c r="G368" s="79"/>
      <c r="H368" s="79" t="b">
        <f>AND(G369:G371)</f>
        <v>0</v>
      </c>
      <c r="I368" s="79"/>
      <c r="J368" s="79"/>
      <c r="K368" s="79"/>
      <c r="L368" s="79"/>
      <c r="M368" s="79"/>
      <c r="N368" s="79"/>
      <c r="O368" s="79"/>
      <c r="P368" s="1"/>
      <c r="Q368" s="1"/>
      <c r="R368" s="1"/>
      <c r="S368" s="1"/>
      <c r="T368" s="1"/>
      <c r="U368" s="1"/>
      <c r="V368" s="1"/>
      <c r="W368" s="1"/>
    </row>
    <row r="369" spans="1:23" ht="57.6" customHeight="1" x14ac:dyDescent="0.3">
      <c r="A369" s="1"/>
      <c r="B369" s="61" t="s">
        <v>126</v>
      </c>
      <c r="C369" s="1"/>
      <c r="D369" s="1"/>
      <c r="E369" s="13"/>
      <c r="F369" s="48" t="s">
        <v>409</v>
      </c>
      <c r="G369" s="79" t="b">
        <v>0</v>
      </c>
      <c r="H369" s="79"/>
      <c r="I369" s="79"/>
      <c r="J369" s="79"/>
      <c r="K369" s="79"/>
      <c r="L369" s="79"/>
      <c r="M369" s="79"/>
      <c r="N369" s="79"/>
      <c r="O369" s="79"/>
      <c r="P369" s="1"/>
      <c r="Q369" s="1"/>
      <c r="R369" s="1"/>
      <c r="S369" s="1"/>
      <c r="T369" s="1"/>
      <c r="U369" s="1"/>
      <c r="V369" s="1"/>
      <c r="W369" s="1"/>
    </row>
    <row r="370" spans="1:23" ht="57.6" customHeight="1" x14ac:dyDescent="0.3">
      <c r="A370" s="1"/>
      <c r="B370" s="1"/>
      <c r="C370" s="1"/>
      <c r="D370" s="1"/>
      <c r="E370" s="13"/>
      <c r="F370" s="48" t="s">
        <v>410</v>
      </c>
      <c r="G370" s="79" t="b">
        <v>0</v>
      </c>
      <c r="H370" s="79"/>
      <c r="I370" s="79"/>
      <c r="J370" s="79"/>
      <c r="K370" s="79"/>
      <c r="L370" s="79"/>
      <c r="M370" s="79"/>
      <c r="N370" s="79"/>
      <c r="O370" s="79"/>
      <c r="P370" s="1"/>
      <c r="Q370" s="1"/>
      <c r="R370" s="1"/>
      <c r="S370" s="1"/>
      <c r="T370" s="1"/>
      <c r="U370" s="1"/>
      <c r="V370" s="1"/>
      <c r="W370" s="1"/>
    </row>
    <row r="371" spans="1:23" ht="57.6" customHeight="1" x14ac:dyDescent="0.3">
      <c r="A371" s="1"/>
      <c r="B371" s="1"/>
      <c r="C371" s="1"/>
      <c r="D371" s="1"/>
      <c r="E371" s="13"/>
      <c r="F371" s="48" t="s">
        <v>411</v>
      </c>
      <c r="G371" s="79" t="b">
        <v>0</v>
      </c>
      <c r="H371" s="79"/>
      <c r="I371" s="79"/>
      <c r="J371" s="79"/>
      <c r="K371" s="79"/>
      <c r="L371" s="79"/>
      <c r="M371" s="79"/>
      <c r="N371" s="79"/>
      <c r="O371" s="79"/>
      <c r="P371" s="1"/>
      <c r="Q371" s="1"/>
      <c r="R371" s="1"/>
      <c r="S371" s="1"/>
      <c r="T371" s="1"/>
      <c r="U371" s="1"/>
      <c r="V371" s="1"/>
      <c r="W371" s="1"/>
    </row>
    <row r="372" spans="1:23" ht="14.4" customHeight="1" x14ac:dyDescent="0.3">
      <c r="A372" s="1"/>
      <c r="B372" s="51">
        <v>3</v>
      </c>
      <c r="C372" s="50" t="s">
        <v>96</v>
      </c>
      <c r="D372" s="50"/>
      <c r="E372" s="50"/>
      <c r="F372" s="52"/>
      <c r="G372" s="79"/>
      <c r="H372" s="79" t="b">
        <f>AND(G373:G374)</f>
        <v>0</v>
      </c>
      <c r="I372" s="79"/>
      <c r="J372" s="79"/>
      <c r="K372" s="79"/>
      <c r="L372" s="79"/>
      <c r="M372" s="79"/>
      <c r="N372" s="79"/>
      <c r="O372" s="79"/>
      <c r="P372" s="1"/>
      <c r="Q372" s="1"/>
      <c r="R372" s="1"/>
      <c r="S372" s="1"/>
      <c r="T372" s="1"/>
      <c r="U372" s="1"/>
      <c r="V372" s="1"/>
      <c r="W372" s="1"/>
    </row>
    <row r="373" spans="1:23" ht="57.6" customHeight="1" x14ac:dyDescent="0.3">
      <c r="A373" s="1"/>
      <c r="B373" s="61" t="s">
        <v>126</v>
      </c>
      <c r="C373" s="1"/>
      <c r="D373" s="1"/>
      <c r="E373" s="13"/>
      <c r="F373" s="48" t="s">
        <v>412</v>
      </c>
      <c r="G373" s="79" t="b">
        <v>0</v>
      </c>
      <c r="H373" s="79"/>
      <c r="I373" s="79"/>
      <c r="J373" s="79"/>
      <c r="K373" s="79"/>
      <c r="L373" s="79"/>
      <c r="M373" s="79"/>
      <c r="N373" s="79"/>
      <c r="O373" s="79"/>
      <c r="P373" s="1"/>
      <c r="Q373" s="1"/>
      <c r="R373" s="1"/>
      <c r="S373" s="1"/>
      <c r="T373" s="1"/>
      <c r="U373" s="1"/>
      <c r="V373" s="1"/>
      <c r="W373" s="1"/>
    </row>
    <row r="374" spans="1:23" ht="57.6" customHeight="1" x14ac:dyDescent="0.3">
      <c r="A374" s="1"/>
      <c r="B374" s="1"/>
      <c r="C374" s="1"/>
      <c r="D374" s="1"/>
      <c r="E374" s="13"/>
      <c r="F374" s="48" t="s">
        <v>413</v>
      </c>
      <c r="G374" s="79" t="b">
        <v>0</v>
      </c>
      <c r="H374" s="79"/>
      <c r="I374" s="79"/>
      <c r="J374" s="79"/>
      <c r="K374" s="79"/>
      <c r="L374" s="79"/>
      <c r="M374" s="79"/>
      <c r="N374" s="79"/>
      <c r="O374" s="79"/>
      <c r="P374" s="1"/>
      <c r="Q374" s="1"/>
      <c r="R374" s="1"/>
      <c r="S374" s="1"/>
      <c r="T374" s="1"/>
      <c r="U374" s="1"/>
      <c r="V374" s="1"/>
      <c r="W374" s="1"/>
    </row>
    <row r="375" spans="1:23" ht="14.4" customHeight="1" x14ac:dyDescent="0.3">
      <c r="A375" s="1"/>
      <c r="B375" s="51">
        <v>4</v>
      </c>
      <c r="C375" s="50" t="s">
        <v>95</v>
      </c>
      <c r="D375" s="50"/>
      <c r="E375" s="50"/>
      <c r="F375" s="52"/>
      <c r="G375" s="79"/>
      <c r="H375" s="79" t="b">
        <f>AND(G376:G377)</f>
        <v>0</v>
      </c>
      <c r="I375" s="79"/>
      <c r="J375" s="79"/>
      <c r="K375" s="79"/>
      <c r="L375" s="79"/>
      <c r="M375" s="79"/>
      <c r="N375" s="79"/>
      <c r="O375" s="79"/>
      <c r="P375" s="1"/>
      <c r="Q375" s="1"/>
      <c r="R375" s="1"/>
      <c r="S375" s="1"/>
      <c r="T375" s="1"/>
      <c r="U375" s="1"/>
      <c r="V375" s="1"/>
      <c r="W375" s="1"/>
    </row>
    <row r="376" spans="1:23" ht="57.6" customHeight="1" x14ac:dyDescent="0.3">
      <c r="A376" s="1"/>
      <c r="B376" s="61" t="s">
        <v>126</v>
      </c>
      <c r="C376" s="1"/>
      <c r="D376" s="1"/>
      <c r="E376" s="13"/>
      <c r="F376" s="48" t="s">
        <v>414</v>
      </c>
      <c r="G376" s="79" t="b">
        <v>0</v>
      </c>
      <c r="H376" s="79"/>
      <c r="I376" s="79"/>
      <c r="J376" s="79"/>
      <c r="K376" s="79"/>
      <c r="L376" s="79"/>
      <c r="M376" s="79"/>
      <c r="N376" s="79"/>
      <c r="O376" s="79"/>
      <c r="P376" s="1"/>
      <c r="Q376" s="1"/>
      <c r="R376" s="1"/>
      <c r="S376" s="1"/>
      <c r="T376" s="1"/>
      <c r="U376" s="1"/>
      <c r="V376" s="1"/>
      <c r="W376" s="1"/>
    </row>
    <row r="377" spans="1:23" ht="57.6" customHeight="1" x14ac:dyDescent="0.3">
      <c r="A377" s="1"/>
      <c r="B377" s="1"/>
      <c r="C377" s="1"/>
      <c r="D377" s="1"/>
      <c r="E377" s="13"/>
      <c r="F377" s="48" t="s">
        <v>415</v>
      </c>
      <c r="G377" s="79" t="b">
        <v>0</v>
      </c>
      <c r="H377" s="79"/>
      <c r="I377" s="79"/>
      <c r="J377" s="79"/>
      <c r="K377" s="79"/>
      <c r="L377" s="79"/>
      <c r="M377" s="79"/>
      <c r="N377" s="79"/>
      <c r="O377" s="79"/>
      <c r="P377" s="1"/>
      <c r="Q377" s="1"/>
      <c r="R377" s="1"/>
      <c r="S377" s="1"/>
      <c r="T377" s="1"/>
      <c r="U377" s="1"/>
      <c r="V377" s="1"/>
      <c r="W377" s="1"/>
    </row>
    <row r="378" spans="1:23" ht="14.4" customHeight="1" x14ac:dyDescent="0.3">
      <c r="A378" s="1"/>
      <c r="B378" s="51">
        <v>5</v>
      </c>
      <c r="C378" s="50" t="s">
        <v>94</v>
      </c>
      <c r="D378" s="50"/>
      <c r="E378" s="50"/>
      <c r="F378" s="52"/>
      <c r="G378" s="79"/>
      <c r="H378" s="79" t="b">
        <f>AND(G379:G380)</f>
        <v>0</v>
      </c>
      <c r="I378" s="79"/>
      <c r="J378" s="79"/>
      <c r="K378" s="79"/>
      <c r="L378" s="79"/>
      <c r="M378" s="79"/>
      <c r="N378" s="79"/>
      <c r="O378" s="79"/>
      <c r="P378" s="1"/>
      <c r="Q378" s="1"/>
      <c r="R378" s="1"/>
      <c r="S378" s="1"/>
      <c r="T378" s="1"/>
      <c r="U378" s="1"/>
      <c r="V378" s="1"/>
      <c r="W378" s="1"/>
    </row>
    <row r="379" spans="1:23" ht="57.6" customHeight="1" x14ac:dyDescent="0.3">
      <c r="A379" s="1" t="s">
        <v>416</v>
      </c>
      <c r="B379" s="61" t="s">
        <v>126</v>
      </c>
      <c r="C379" s="1"/>
      <c r="D379" s="1"/>
      <c r="E379" s="13"/>
      <c r="F379" s="48" t="s">
        <v>417</v>
      </c>
      <c r="G379" s="79" t="b">
        <v>0</v>
      </c>
      <c r="H379" s="79"/>
      <c r="I379" s="79"/>
      <c r="J379" s="79"/>
      <c r="K379" s="79"/>
      <c r="L379" s="79"/>
      <c r="M379" s="79"/>
      <c r="N379" s="79"/>
      <c r="O379" s="79"/>
      <c r="P379" s="1"/>
      <c r="Q379" s="1"/>
      <c r="R379" s="1"/>
      <c r="S379" s="1"/>
      <c r="T379" s="1"/>
      <c r="U379" s="1"/>
      <c r="V379" s="1"/>
      <c r="W379" s="1"/>
    </row>
    <row r="380" spans="1:23" ht="57.6" customHeight="1" x14ac:dyDescent="0.3">
      <c r="A380" s="1"/>
      <c r="B380" s="1"/>
      <c r="C380" s="1"/>
      <c r="D380" s="1"/>
      <c r="E380" s="13"/>
      <c r="F380" s="48" t="s">
        <v>418</v>
      </c>
      <c r="G380" s="79" t="b">
        <v>0</v>
      </c>
      <c r="H380" s="79"/>
      <c r="I380" s="79"/>
      <c r="J380" s="79"/>
      <c r="K380" s="79"/>
      <c r="L380" s="79"/>
      <c r="M380" s="79"/>
      <c r="N380" s="79"/>
      <c r="O380" s="79"/>
      <c r="P380" s="1"/>
      <c r="Q380" s="1"/>
      <c r="R380" s="1"/>
      <c r="S380" s="1"/>
      <c r="T380" s="1"/>
      <c r="U380" s="1"/>
      <c r="V380" s="1"/>
      <c r="W380" s="1"/>
    </row>
    <row r="381" spans="1:23" ht="14.4" customHeight="1" x14ac:dyDescent="0.3">
      <c r="A381" s="1"/>
      <c r="B381" s="51">
        <v>6</v>
      </c>
      <c r="C381" s="50" t="s">
        <v>93</v>
      </c>
      <c r="D381" s="50"/>
      <c r="E381" s="50"/>
      <c r="F381" s="52"/>
      <c r="G381" s="79"/>
      <c r="H381" s="79" t="b">
        <f>AND(G382:G383)</f>
        <v>0</v>
      </c>
      <c r="I381" s="79"/>
      <c r="J381" s="79"/>
      <c r="K381" s="79"/>
      <c r="L381" s="79"/>
      <c r="M381" s="79"/>
      <c r="N381" s="79"/>
      <c r="O381" s="79"/>
      <c r="P381" s="1"/>
      <c r="Q381" s="1"/>
      <c r="R381" s="1"/>
      <c r="S381" s="1"/>
      <c r="T381" s="1"/>
      <c r="U381" s="1"/>
      <c r="V381" s="1"/>
      <c r="W381" s="1"/>
    </row>
    <row r="382" spans="1:23" ht="57.6" customHeight="1" x14ac:dyDescent="0.3">
      <c r="A382" s="1"/>
      <c r="B382" s="61" t="s">
        <v>126</v>
      </c>
      <c r="C382" s="1"/>
      <c r="D382" s="1"/>
      <c r="E382" s="13"/>
      <c r="F382" s="48" t="s">
        <v>419</v>
      </c>
      <c r="G382" s="79" t="b">
        <v>0</v>
      </c>
      <c r="H382" s="79"/>
      <c r="I382" s="79"/>
      <c r="J382" s="79"/>
      <c r="K382" s="79"/>
      <c r="L382" s="79"/>
      <c r="M382" s="79"/>
      <c r="N382" s="79"/>
      <c r="O382" s="79"/>
      <c r="P382" s="1"/>
      <c r="Q382" s="1"/>
      <c r="R382" s="1"/>
      <c r="S382" s="1"/>
      <c r="T382" s="1"/>
      <c r="U382" s="1"/>
      <c r="V382" s="1"/>
      <c r="W382" s="1"/>
    </row>
    <row r="383" spans="1:23" ht="57.6" customHeight="1" x14ac:dyDescent="0.3">
      <c r="A383" s="1"/>
      <c r="B383" s="1"/>
      <c r="C383" s="1"/>
      <c r="D383" s="1"/>
      <c r="E383" s="13"/>
      <c r="F383" s="48" t="s">
        <v>420</v>
      </c>
      <c r="G383" s="79" t="b">
        <v>0</v>
      </c>
      <c r="H383" s="79"/>
      <c r="I383" s="79"/>
      <c r="J383" s="79"/>
      <c r="K383" s="79"/>
      <c r="L383" s="79"/>
      <c r="M383" s="79"/>
      <c r="N383" s="79"/>
      <c r="O383" s="79"/>
      <c r="P383" s="1"/>
      <c r="Q383" s="1"/>
      <c r="R383" s="1"/>
      <c r="S383" s="1"/>
      <c r="T383" s="1"/>
      <c r="U383" s="1"/>
      <c r="V383" s="1"/>
      <c r="W383" s="1"/>
    </row>
    <row r="384" spans="1:23" ht="14.4" customHeight="1" x14ac:dyDescent="0.3">
      <c r="A384" s="1"/>
      <c r="B384" s="51">
        <v>7</v>
      </c>
      <c r="C384" s="50" t="s">
        <v>92</v>
      </c>
      <c r="D384" s="50"/>
      <c r="E384" s="50"/>
      <c r="F384" s="52"/>
      <c r="G384" s="79"/>
      <c r="H384" s="79" t="b">
        <f>AND(G385:G386)</f>
        <v>0</v>
      </c>
      <c r="I384" s="79"/>
      <c r="J384" s="79"/>
      <c r="K384" s="79"/>
      <c r="L384" s="79"/>
      <c r="M384" s="79"/>
      <c r="N384" s="79"/>
      <c r="O384" s="79"/>
      <c r="P384" s="1"/>
      <c r="Q384" s="1"/>
      <c r="R384" s="1"/>
      <c r="S384" s="1"/>
      <c r="T384" s="1"/>
      <c r="U384" s="1"/>
      <c r="V384" s="1"/>
      <c r="W384" s="1"/>
    </row>
    <row r="385" spans="1:23" ht="57.6" customHeight="1" x14ac:dyDescent="0.3">
      <c r="A385" s="1"/>
      <c r="B385" s="61" t="s">
        <v>126</v>
      </c>
      <c r="C385" s="1"/>
      <c r="D385" s="1"/>
      <c r="E385" s="13"/>
      <c r="F385" s="48" t="s">
        <v>421</v>
      </c>
      <c r="G385" s="79" t="b">
        <v>0</v>
      </c>
      <c r="H385" s="79"/>
      <c r="I385" s="79"/>
      <c r="J385" s="79"/>
      <c r="K385" s="79"/>
      <c r="L385" s="79"/>
      <c r="M385" s="79"/>
      <c r="N385" s="79"/>
      <c r="O385" s="79"/>
      <c r="P385" s="1"/>
      <c r="Q385" s="1"/>
      <c r="R385" s="1"/>
      <c r="S385" s="1"/>
      <c r="T385" s="1"/>
      <c r="U385" s="1"/>
      <c r="V385" s="1"/>
      <c r="W385" s="1"/>
    </row>
    <row r="386" spans="1:23" ht="57.6" customHeight="1" x14ac:dyDescent="0.3">
      <c r="A386" s="1"/>
      <c r="B386" s="1"/>
      <c r="C386" s="1"/>
      <c r="D386" s="1"/>
      <c r="E386" s="13"/>
      <c r="F386" s="48" t="s">
        <v>422</v>
      </c>
      <c r="G386" s="79" t="b">
        <v>0</v>
      </c>
      <c r="H386" s="79"/>
      <c r="I386" s="79"/>
      <c r="J386" s="79"/>
      <c r="K386" s="79"/>
      <c r="L386" s="79"/>
      <c r="M386" s="79"/>
      <c r="N386" s="79"/>
      <c r="O386" s="79"/>
      <c r="P386" s="1"/>
      <c r="Q386" s="1"/>
      <c r="R386" s="1"/>
      <c r="S386" s="1"/>
      <c r="T386" s="1"/>
      <c r="U386" s="1"/>
      <c r="V386" s="1"/>
      <c r="W386" s="1"/>
    </row>
    <row r="387" spans="1:23" ht="14.4" customHeight="1" x14ac:dyDescent="0.3">
      <c r="A387" s="1"/>
      <c r="B387" s="51">
        <v>8</v>
      </c>
      <c r="C387" s="50" t="s">
        <v>91</v>
      </c>
      <c r="D387" s="50"/>
      <c r="E387" s="50"/>
      <c r="F387" s="52"/>
      <c r="G387" s="79"/>
      <c r="H387" s="79" t="b">
        <f>AND(G388:G390)</f>
        <v>0</v>
      </c>
      <c r="I387" s="79"/>
      <c r="J387" s="79"/>
      <c r="K387" s="79"/>
      <c r="L387" s="79"/>
      <c r="M387" s="79"/>
      <c r="N387" s="79"/>
      <c r="O387" s="79"/>
      <c r="P387" s="1"/>
      <c r="Q387" s="1"/>
      <c r="R387" s="1"/>
      <c r="S387" s="1"/>
      <c r="T387" s="1"/>
      <c r="U387" s="1"/>
      <c r="V387" s="1"/>
      <c r="W387" s="1"/>
    </row>
    <row r="388" spans="1:23" ht="57.6" customHeight="1" x14ac:dyDescent="0.3">
      <c r="A388" s="1"/>
      <c r="B388" s="61" t="s">
        <v>126</v>
      </c>
      <c r="C388" s="1"/>
      <c r="D388" s="1"/>
      <c r="E388" s="13"/>
      <c r="F388" s="48" t="s">
        <v>423</v>
      </c>
      <c r="G388" s="79" t="b">
        <v>0</v>
      </c>
      <c r="H388" s="79"/>
      <c r="I388" s="79"/>
      <c r="J388" s="79"/>
      <c r="K388" s="79"/>
      <c r="L388" s="79"/>
      <c r="M388" s="79"/>
      <c r="N388" s="79"/>
      <c r="O388" s="79"/>
      <c r="P388" s="1"/>
      <c r="Q388" s="1"/>
      <c r="R388" s="1"/>
      <c r="S388" s="1"/>
      <c r="T388" s="1"/>
      <c r="U388" s="1"/>
      <c r="V388" s="1"/>
      <c r="W388" s="1"/>
    </row>
    <row r="389" spans="1:23" ht="57.6" customHeight="1" x14ac:dyDescent="0.3">
      <c r="A389" s="1"/>
      <c r="B389" s="1"/>
      <c r="C389" s="1"/>
      <c r="D389" s="1"/>
      <c r="E389" s="13"/>
      <c r="F389" s="48" t="s">
        <v>424</v>
      </c>
      <c r="G389" s="79" t="b">
        <v>0</v>
      </c>
      <c r="H389" s="79"/>
      <c r="I389" s="79"/>
      <c r="J389" s="79"/>
      <c r="K389" s="79"/>
      <c r="L389" s="79"/>
      <c r="M389" s="79"/>
      <c r="N389" s="79"/>
      <c r="O389" s="79"/>
      <c r="P389" s="1"/>
      <c r="Q389" s="1"/>
      <c r="R389" s="1"/>
      <c r="S389" s="1"/>
      <c r="T389" s="1"/>
      <c r="U389" s="1"/>
      <c r="V389" s="1"/>
      <c r="W389" s="1"/>
    </row>
    <row r="390" spans="1:23" ht="57.6" customHeight="1" x14ac:dyDescent="0.3">
      <c r="A390" s="1"/>
      <c r="B390" s="1"/>
      <c r="C390" s="1"/>
      <c r="D390" s="1"/>
      <c r="E390" s="13"/>
      <c r="F390" s="48" t="s">
        <v>425</v>
      </c>
      <c r="G390" s="79" t="b">
        <v>0</v>
      </c>
      <c r="H390" s="79"/>
      <c r="I390" s="79"/>
      <c r="J390" s="79"/>
      <c r="K390" s="79"/>
      <c r="L390" s="79"/>
      <c r="M390" s="79"/>
      <c r="N390" s="79"/>
      <c r="O390" s="79"/>
      <c r="P390" s="1"/>
      <c r="Q390" s="1"/>
      <c r="R390" s="1"/>
      <c r="S390" s="1"/>
      <c r="T390" s="1"/>
      <c r="U390" s="1"/>
      <c r="V390" s="1"/>
      <c r="W390" s="1"/>
    </row>
    <row r="391" spans="1:23" ht="14.4" customHeight="1" x14ac:dyDescent="0.3">
      <c r="A391" s="1"/>
      <c r="B391" s="51">
        <v>9</v>
      </c>
      <c r="C391" s="50" t="s">
        <v>90</v>
      </c>
      <c r="D391" s="50"/>
      <c r="E391" s="50"/>
      <c r="F391" s="52"/>
      <c r="G391" s="79"/>
      <c r="H391" s="79" t="b">
        <f>AND(G392:G393)</f>
        <v>0</v>
      </c>
      <c r="I391" s="79"/>
      <c r="J391" s="79"/>
      <c r="K391" s="79"/>
      <c r="L391" s="79"/>
      <c r="M391" s="79"/>
      <c r="N391" s="79"/>
      <c r="O391" s="79"/>
      <c r="P391" s="1"/>
      <c r="Q391" s="1"/>
      <c r="R391" s="1"/>
      <c r="S391" s="1"/>
      <c r="T391" s="1"/>
      <c r="U391" s="1"/>
      <c r="V391" s="1"/>
      <c r="W391" s="1"/>
    </row>
    <row r="392" spans="1:23" ht="57.6" customHeight="1" x14ac:dyDescent="0.3">
      <c r="A392" s="1"/>
      <c r="B392" s="61" t="s">
        <v>126</v>
      </c>
      <c r="C392" s="1"/>
      <c r="D392" s="1"/>
      <c r="E392" s="13"/>
      <c r="F392" s="48" t="s">
        <v>426</v>
      </c>
      <c r="G392" s="79" t="b">
        <v>0</v>
      </c>
      <c r="H392" s="79"/>
      <c r="I392" s="79"/>
      <c r="J392" s="79"/>
      <c r="K392" s="79"/>
      <c r="L392" s="79"/>
      <c r="M392" s="79"/>
      <c r="N392" s="79"/>
      <c r="O392" s="79"/>
      <c r="P392" s="1"/>
      <c r="Q392" s="1"/>
      <c r="R392" s="1"/>
      <c r="S392" s="1"/>
      <c r="T392" s="1"/>
      <c r="U392" s="1"/>
      <c r="V392" s="1"/>
      <c r="W392" s="1"/>
    </row>
    <row r="393" spans="1:23" ht="57.6" customHeight="1" x14ac:dyDescent="0.3">
      <c r="A393" s="1"/>
      <c r="B393" s="1"/>
      <c r="C393" s="1"/>
      <c r="D393" s="1"/>
      <c r="E393" s="13"/>
      <c r="F393" s="48" t="s">
        <v>427</v>
      </c>
      <c r="G393" s="79" t="b">
        <v>0</v>
      </c>
      <c r="H393" s="79"/>
      <c r="I393" s="79"/>
      <c r="J393" s="79"/>
      <c r="K393" s="79"/>
      <c r="L393" s="79"/>
      <c r="M393" s="79"/>
      <c r="N393" s="79"/>
      <c r="O393" s="79"/>
      <c r="P393" s="1"/>
      <c r="Q393" s="1"/>
      <c r="R393" s="1"/>
      <c r="S393" s="1"/>
      <c r="T393" s="1"/>
      <c r="U393" s="1"/>
      <c r="V393" s="1"/>
      <c r="W393" s="1"/>
    </row>
    <row r="394" spans="1:23" ht="14.4" customHeight="1" x14ac:dyDescent="0.3">
      <c r="A394" s="1"/>
      <c r="B394" s="51">
        <v>10</v>
      </c>
      <c r="C394" s="50" t="s">
        <v>89</v>
      </c>
      <c r="D394" s="50"/>
      <c r="E394" s="50"/>
      <c r="F394" s="52"/>
      <c r="G394" s="79"/>
      <c r="H394" s="79" t="b">
        <f>AND(G395:G396)</f>
        <v>0</v>
      </c>
      <c r="I394" s="79"/>
      <c r="J394" s="79"/>
      <c r="K394" s="79"/>
      <c r="L394" s="79"/>
      <c r="M394" s="79"/>
      <c r="N394" s="79"/>
      <c r="O394" s="79"/>
      <c r="P394" s="1"/>
      <c r="Q394" s="1"/>
      <c r="R394" s="1"/>
      <c r="S394" s="1"/>
      <c r="T394" s="1"/>
      <c r="U394" s="1"/>
      <c r="V394" s="1"/>
      <c r="W394" s="1"/>
    </row>
    <row r="395" spans="1:23" ht="57.6" customHeight="1" x14ac:dyDescent="0.3">
      <c r="A395" s="1"/>
      <c r="B395" s="61" t="s">
        <v>126</v>
      </c>
      <c r="C395" s="1"/>
      <c r="D395" s="1"/>
      <c r="E395" s="13"/>
      <c r="F395" s="48" t="s">
        <v>428</v>
      </c>
      <c r="G395" s="79" t="b">
        <v>0</v>
      </c>
      <c r="H395" s="79"/>
      <c r="I395" s="79"/>
      <c r="J395" s="79"/>
      <c r="K395" s="79"/>
      <c r="L395" s="79"/>
      <c r="M395" s="79"/>
      <c r="N395" s="79"/>
      <c r="O395" s="79"/>
      <c r="P395" s="1"/>
      <c r="Q395" s="1"/>
      <c r="R395" s="1"/>
      <c r="S395" s="1"/>
      <c r="T395" s="1"/>
      <c r="U395" s="1"/>
      <c r="V395" s="1"/>
      <c r="W395" s="1"/>
    </row>
    <row r="396" spans="1:23" ht="57.6" customHeight="1" x14ac:dyDescent="0.3">
      <c r="A396" s="1"/>
      <c r="B396" s="1"/>
      <c r="C396" s="1"/>
      <c r="D396" s="1"/>
      <c r="E396" s="13"/>
      <c r="F396" s="48" t="s">
        <v>429</v>
      </c>
      <c r="G396" s="79" t="b">
        <v>0</v>
      </c>
      <c r="H396" s="79"/>
      <c r="I396" s="79"/>
      <c r="J396" s="79"/>
      <c r="K396" s="79"/>
      <c r="L396" s="79"/>
      <c r="M396" s="79"/>
      <c r="N396" s="79"/>
      <c r="O396" s="79"/>
      <c r="P396" s="1"/>
      <c r="Q396" s="1"/>
      <c r="R396" s="1"/>
      <c r="S396" s="1"/>
      <c r="T396" s="1"/>
      <c r="U396" s="1"/>
      <c r="V396" s="1"/>
      <c r="W396" s="1"/>
    </row>
    <row r="397" spans="1:23" ht="14.4" customHeight="1" x14ac:dyDescent="0.3">
      <c r="A397" s="63" t="s">
        <v>505</v>
      </c>
      <c r="B397" s="59" t="s">
        <v>430</v>
      </c>
      <c r="C397" s="56"/>
      <c r="D397" s="56"/>
      <c r="E397" s="56"/>
      <c r="F397" s="57"/>
      <c r="G397" s="79"/>
      <c r="H397" s="79" t="b">
        <f>AND(H398,H402,H405,H409,H414,H418,H422)</f>
        <v>0</v>
      </c>
      <c r="I397" s="79"/>
      <c r="J397" s="79"/>
      <c r="K397" s="79"/>
      <c r="L397" s="79"/>
      <c r="M397" s="79"/>
      <c r="N397" s="79"/>
      <c r="O397" s="79"/>
      <c r="P397" s="1"/>
      <c r="Q397" s="1"/>
      <c r="R397" s="1"/>
      <c r="S397" s="1"/>
      <c r="T397" s="1"/>
      <c r="U397" s="1"/>
      <c r="V397" s="1"/>
      <c r="W397" s="1"/>
    </row>
    <row r="398" spans="1:23" ht="14.4" customHeight="1" x14ac:dyDescent="0.3">
      <c r="A398" s="1"/>
      <c r="B398" s="51">
        <v>1</v>
      </c>
      <c r="C398" s="50" t="s">
        <v>106</v>
      </c>
      <c r="D398" s="50"/>
      <c r="E398" s="50"/>
      <c r="F398" s="52"/>
      <c r="G398" s="79"/>
      <c r="H398" s="79" t="b">
        <f>AND(G399:G401)</f>
        <v>0</v>
      </c>
      <c r="I398" s="79"/>
      <c r="J398" s="79"/>
      <c r="K398" s="79"/>
      <c r="L398" s="79"/>
      <c r="M398" s="79"/>
      <c r="N398" s="79"/>
      <c r="O398" s="79"/>
      <c r="P398" s="1"/>
      <c r="Q398" s="1"/>
      <c r="R398" s="1"/>
      <c r="S398" s="1"/>
      <c r="T398" s="1"/>
      <c r="U398" s="1"/>
      <c r="V398" s="1"/>
      <c r="W398" s="1"/>
    </row>
    <row r="399" spans="1:23" ht="57.6" customHeight="1" x14ac:dyDescent="0.3">
      <c r="A399" s="1"/>
      <c r="B399" s="61" t="s">
        <v>126</v>
      </c>
      <c r="C399" s="1"/>
      <c r="D399" s="1"/>
      <c r="E399" s="13"/>
      <c r="F399" s="48" t="s">
        <v>431</v>
      </c>
      <c r="G399" s="79" t="b">
        <v>0</v>
      </c>
      <c r="H399" s="79"/>
      <c r="I399" s="79"/>
      <c r="J399" s="79"/>
      <c r="K399" s="79"/>
      <c r="L399" s="79"/>
      <c r="M399" s="79"/>
      <c r="N399" s="79"/>
      <c r="O399" s="79"/>
      <c r="P399" s="1"/>
      <c r="Q399" s="1"/>
      <c r="R399" s="1"/>
      <c r="S399" s="1"/>
      <c r="T399" s="1"/>
      <c r="U399" s="1"/>
      <c r="V399" s="1"/>
      <c r="W399" s="1"/>
    </row>
    <row r="400" spans="1:23" ht="57.6" customHeight="1" x14ac:dyDescent="0.3">
      <c r="A400" s="1"/>
      <c r="B400" s="1"/>
      <c r="C400" s="1"/>
      <c r="D400" s="1"/>
      <c r="E400" s="13"/>
      <c r="F400" s="48" t="s">
        <v>432</v>
      </c>
      <c r="G400" s="79" t="b">
        <v>0</v>
      </c>
      <c r="H400" s="79"/>
      <c r="I400" s="79"/>
      <c r="J400" s="79"/>
      <c r="K400" s="79"/>
      <c r="L400" s="79"/>
      <c r="M400" s="79"/>
      <c r="N400" s="79"/>
      <c r="O400" s="79"/>
      <c r="P400" s="1"/>
      <c r="Q400" s="1"/>
      <c r="R400" s="1"/>
      <c r="S400" s="1"/>
      <c r="T400" s="1"/>
      <c r="U400" s="1"/>
      <c r="V400" s="1"/>
      <c r="W400" s="1"/>
    </row>
    <row r="401" spans="1:23" ht="57.6" customHeight="1" x14ac:dyDescent="0.3">
      <c r="A401" s="1"/>
      <c r="B401" s="1"/>
      <c r="C401" s="1"/>
      <c r="D401" s="1"/>
      <c r="E401" s="13"/>
      <c r="F401" s="48" t="s">
        <v>433</v>
      </c>
      <c r="G401" s="79" t="b">
        <v>0</v>
      </c>
      <c r="H401" s="79"/>
      <c r="I401" s="79"/>
      <c r="J401" s="79"/>
      <c r="K401" s="79"/>
      <c r="L401" s="79"/>
      <c r="M401" s="79"/>
      <c r="N401" s="79"/>
      <c r="O401" s="79"/>
      <c r="P401" s="1"/>
      <c r="Q401" s="1"/>
      <c r="R401" s="1"/>
      <c r="S401" s="1"/>
      <c r="T401" s="1"/>
      <c r="U401" s="1"/>
      <c r="V401" s="1"/>
      <c r="W401" s="1"/>
    </row>
    <row r="402" spans="1:23" ht="14.4" customHeight="1" x14ac:dyDescent="0.3">
      <c r="A402" s="1"/>
      <c r="B402" s="51">
        <v>2</v>
      </c>
      <c r="C402" s="50" t="s">
        <v>105</v>
      </c>
      <c r="D402" s="50"/>
      <c r="E402" s="50"/>
      <c r="F402" s="52"/>
      <c r="G402" s="79"/>
      <c r="H402" s="79" t="b">
        <f>AND(G403:G404)</f>
        <v>0</v>
      </c>
      <c r="I402" s="79"/>
      <c r="J402" s="79"/>
      <c r="K402" s="79"/>
      <c r="L402" s="79"/>
      <c r="M402" s="79"/>
      <c r="N402" s="79"/>
      <c r="O402" s="79"/>
      <c r="P402" s="1"/>
      <c r="Q402" s="1"/>
      <c r="R402" s="1"/>
      <c r="S402" s="1"/>
      <c r="T402" s="1"/>
      <c r="U402" s="1"/>
      <c r="V402" s="1"/>
      <c r="W402" s="1"/>
    </row>
    <row r="403" spans="1:23" ht="57.6" customHeight="1" x14ac:dyDescent="0.3">
      <c r="A403" s="1"/>
      <c r="B403" s="61" t="s">
        <v>126</v>
      </c>
      <c r="C403" s="1"/>
      <c r="D403" s="1"/>
      <c r="E403" s="13"/>
      <c r="F403" s="48" t="s">
        <v>434</v>
      </c>
      <c r="G403" s="79" t="b">
        <v>0</v>
      </c>
      <c r="H403" s="79"/>
      <c r="I403" s="79"/>
      <c r="J403" s="79"/>
      <c r="K403" s="79"/>
      <c r="L403" s="79"/>
      <c r="M403" s="79"/>
      <c r="N403" s="79"/>
      <c r="O403" s="79"/>
      <c r="P403" s="1"/>
      <c r="Q403" s="1"/>
      <c r="R403" s="1"/>
      <c r="S403" s="1"/>
      <c r="T403" s="1"/>
      <c r="U403" s="1"/>
      <c r="V403" s="1"/>
      <c r="W403" s="1"/>
    </row>
    <row r="404" spans="1:23" ht="57.6" customHeight="1" x14ac:dyDescent="0.3">
      <c r="A404" s="1"/>
      <c r="B404" s="1"/>
      <c r="C404" s="1"/>
      <c r="D404" s="1"/>
      <c r="E404" s="13"/>
      <c r="F404" s="48" t="s">
        <v>435</v>
      </c>
      <c r="G404" s="79" t="b">
        <v>0</v>
      </c>
      <c r="H404" s="79"/>
      <c r="I404" s="79"/>
      <c r="J404" s="79"/>
      <c r="K404" s="79"/>
      <c r="L404" s="79"/>
      <c r="M404" s="79"/>
      <c r="N404" s="79"/>
      <c r="O404" s="79"/>
      <c r="P404" s="1"/>
      <c r="Q404" s="1"/>
      <c r="R404" s="1"/>
      <c r="S404" s="1"/>
      <c r="T404" s="1"/>
      <c r="U404" s="1"/>
      <c r="V404" s="1"/>
      <c r="W404" s="1"/>
    </row>
    <row r="405" spans="1:23" ht="14.4" customHeight="1" x14ac:dyDescent="0.3">
      <c r="A405" s="1"/>
      <c r="B405" s="51">
        <v>3</v>
      </c>
      <c r="C405" s="50" t="s">
        <v>104</v>
      </c>
      <c r="D405" s="50"/>
      <c r="E405" s="50"/>
      <c r="F405" s="52"/>
      <c r="G405" s="79"/>
      <c r="H405" s="79" t="b">
        <f>AND(G406:G408)</f>
        <v>0</v>
      </c>
      <c r="I405" s="79"/>
      <c r="J405" s="79"/>
      <c r="K405" s="79"/>
      <c r="L405" s="79"/>
      <c r="M405" s="79"/>
      <c r="N405" s="79"/>
      <c r="O405" s="79"/>
      <c r="P405" s="1"/>
      <c r="Q405" s="1"/>
      <c r="R405" s="1"/>
      <c r="S405" s="1"/>
      <c r="T405" s="1"/>
      <c r="U405" s="1"/>
      <c r="V405" s="1"/>
      <c r="W405" s="1"/>
    </row>
    <row r="406" spans="1:23" ht="57.6" customHeight="1" x14ac:dyDescent="0.3">
      <c r="A406" s="1"/>
      <c r="B406" s="61" t="s">
        <v>126</v>
      </c>
      <c r="C406" s="1"/>
      <c r="D406" s="1"/>
      <c r="E406" s="13"/>
      <c r="F406" s="48" t="s">
        <v>436</v>
      </c>
      <c r="G406" s="79" t="b">
        <v>0</v>
      </c>
      <c r="H406" s="79"/>
      <c r="I406" s="79"/>
      <c r="J406" s="79"/>
      <c r="K406" s="79"/>
      <c r="L406" s="79"/>
      <c r="M406" s="79"/>
      <c r="N406" s="79"/>
      <c r="O406" s="79"/>
      <c r="P406" s="1"/>
      <c r="Q406" s="1"/>
      <c r="R406" s="1"/>
      <c r="S406" s="1"/>
      <c r="T406" s="1"/>
      <c r="U406" s="1"/>
      <c r="V406" s="1"/>
      <c r="W406" s="1"/>
    </row>
    <row r="407" spans="1:23" ht="57.6" customHeight="1" x14ac:dyDescent="0.3">
      <c r="A407" s="1"/>
      <c r="B407" s="1"/>
      <c r="C407" s="1"/>
      <c r="D407" s="1"/>
      <c r="E407" s="13"/>
      <c r="F407" s="48" t="s">
        <v>437</v>
      </c>
      <c r="G407" s="79" t="b">
        <v>0</v>
      </c>
      <c r="H407" s="79"/>
      <c r="I407" s="79"/>
      <c r="J407" s="79"/>
      <c r="K407" s="79"/>
      <c r="L407" s="79"/>
      <c r="M407" s="79"/>
      <c r="N407" s="79"/>
      <c r="O407" s="79"/>
      <c r="P407" s="1"/>
      <c r="Q407" s="1"/>
      <c r="R407" s="1"/>
      <c r="S407" s="1"/>
      <c r="T407" s="1"/>
      <c r="U407" s="1"/>
      <c r="V407" s="1"/>
      <c r="W407" s="1"/>
    </row>
    <row r="408" spans="1:23" ht="57.6" customHeight="1" x14ac:dyDescent="0.3">
      <c r="A408" s="1"/>
      <c r="B408" s="1"/>
      <c r="C408" s="1"/>
      <c r="D408" s="1"/>
      <c r="E408" s="13"/>
      <c r="F408" s="48" t="s">
        <v>438</v>
      </c>
      <c r="G408" s="79" t="b">
        <v>0</v>
      </c>
      <c r="H408" s="79"/>
      <c r="I408" s="79"/>
      <c r="J408" s="79"/>
      <c r="K408" s="79"/>
      <c r="L408" s="79"/>
      <c r="M408" s="79"/>
      <c r="N408" s="79"/>
      <c r="O408" s="79"/>
      <c r="P408" s="1"/>
      <c r="Q408" s="1"/>
      <c r="R408" s="1"/>
      <c r="S408" s="1"/>
      <c r="T408" s="1"/>
      <c r="U408" s="1"/>
      <c r="V408" s="1"/>
      <c r="W408" s="1"/>
    </row>
    <row r="409" spans="1:23" ht="14.4" customHeight="1" x14ac:dyDescent="0.3">
      <c r="A409" s="1"/>
      <c r="B409" s="51">
        <v>4</v>
      </c>
      <c r="C409" s="50" t="s">
        <v>103</v>
      </c>
      <c r="D409" s="50"/>
      <c r="E409" s="50"/>
      <c r="F409" s="52"/>
      <c r="G409" s="79"/>
      <c r="H409" s="79" t="b">
        <f>AND(G410:G413)</f>
        <v>0</v>
      </c>
      <c r="I409" s="79"/>
      <c r="J409" s="79"/>
      <c r="K409" s="79"/>
      <c r="L409" s="79"/>
      <c r="M409" s="79"/>
      <c r="N409" s="79"/>
      <c r="O409" s="79"/>
      <c r="P409" s="1"/>
      <c r="Q409" s="1"/>
      <c r="R409" s="1"/>
      <c r="S409" s="1"/>
      <c r="T409" s="1"/>
      <c r="U409" s="1"/>
      <c r="V409" s="1"/>
      <c r="W409" s="1"/>
    </row>
    <row r="410" spans="1:23" ht="57.6" customHeight="1" x14ac:dyDescent="0.3">
      <c r="A410" s="1"/>
      <c r="B410" s="61" t="s">
        <v>126</v>
      </c>
      <c r="C410" s="1"/>
      <c r="D410" s="1"/>
      <c r="E410" s="13"/>
      <c r="F410" s="48" t="s">
        <v>439</v>
      </c>
      <c r="G410" s="79" t="b">
        <v>0</v>
      </c>
      <c r="H410" s="79"/>
      <c r="I410" s="79"/>
      <c r="J410" s="79"/>
      <c r="K410" s="79"/>
      <c r="L410" s="79"/>
      <c r="M410" s="79"/>
      <c r="N410" s="79"/>
      <c r="O410" s="79"/>
      <c r="P410" s="1"/>
      <c r="Q410" s="1"/>
      <c r="R410" s="1"/>
      <c r="S410" s="1"/>
      <c r="T410" s="1"/>
      <c r="U410" s="1"/>
      <c r="V410" s="1"/>
      <c r="W410" s="1"/>
    </row>
    <row r="411" spans="1:23" ht="57.6" customHeight="1" x14ac:dyDescent="0.3">
      <c r="A411" s="1"/>
      <c r="B411" s="1"/>
      <c r="C411" s="1"/>
      <c r="D411" s="1"/>
      <c r="E411" s="13"/>
      <c r="F411" s="48" t="s">
        <v>440</v>
      </c>
      <c r="G411" s="79" t="b">
        <v>0</v>
      </c>
      <c r="H411" s="79"/>
      <c r="I411" s="79"/>
      <c r="J411" s="79"/>
      <c r="K411" s="79"/>
      <c r="L411" s="79"/>
      <c r="M411" s="79"/>
      <c r="N411" s="79"/>
      <c r="O411" s="79"/>
      <c r="P411" s="1"/>
      <c r="Q411" s="1"/>
      <c r="R411" s="1"/>
      <c r="S411" s="1"/>
      <c r="T411" s="1"/>
      <c r="U411" s="1"/>
      <c r="V411" s="1"/>
      <c r="W411" s="1"/>
    </row>
    <row r="412" spans="1:23" ht="57.6" customHeight="1" x14ac:dyDescent="0.3">
      <c r="A412" s="1"/>
      <c r="B412" s="1"/>
      <c r="C412" s="1"/>
      <c r="D412" s="1"/>
      <c r="E412" s="13"/>
      <c r="F412" s="48" t="s">
        <v>441</v>
      </c>
      <c r="G412" s="79" t="b">
        <v>0</v>
      </c>
      <c r="H412" s="79"/>
      <c r="I412" s="79"/>
      <c r="J412" s="79"/>
      <c r="K412" s="79"/>
      <c r="L412" s="79"/>
      <c r="M412" s="79"/>
      <c r="N412" s="79"/>
      <c r="O412" s="79"/>
      <c r="P412" s="1"/>
      <c r="Q412" s="1"/>
      <c r="R412" s="1"/>
      <c r="S412" s="1"/>
      <c r="T412" s="1"/>
      <c r="U412" s="1"/>
      <c r="V412" s="1"/>
      <c r="W412" s="1"/>
    </row>
    <row r="413" spans="1:23" ht="57.6" customHeight="1" x14ac:dyDescent="0.3">
      <c r="A413" s="1"/>
      <c r="B413" s="1"/>
      <c r="C413" s="1"/>
      <c r="D413" s="1"/>
      <c r="E413" s="13"/>
      <c r="F413" s="48" t="s">
        <v>442</v>
      </c>
      <c r="G413" s="79" t="b">
        <v>0</v>
      </c>
      <c r="H413" s="79"/>
      <c r="I413" s="79"/>
      <c r="J413" s="79"/>
      <c r="K413" s="79"/>
      <c r="L413" s="79"/>
      <c r="M413" s="79"/>
      <c r="N413" s="79"/>
      <c r="O413" s="79"/>
      <c r="P413" s="1"/>
      <c r="Q413" s="1"/>
      <c r="R413" s="1"/>
      <c r="S413" s="1"/>
      <c r="T413" s="1"/>
      <c r="U413" s="1"/>
      <c r="V413" s="1"/>
      <c r="W413" s="1"/>
    </row>
    <row r="414" spans="1:23" ht="14.4" customHeight="1" x14ac:dyDescent="0.3">
      <c r="A414" s="1"/>
      <c r="B414" s="51">
        <v>5</v>
      </c>
      <c r="C414" s="50" t="s">
        <v>102</v>
      </c>
      <c r="D414" s="50"/>
      <c r="E414" s="50"/>
      <c r="F414" s="52"/>
      <c r="G414" s="79"/>
      <c r="H414" s="79" t="b">
        <f>AND(G415:G417)</f>
        <v>0</v>
      </c>
      <c r="I414" s="79"/>
      <c r="J414" s="79"/>
      <c r="K414" s="79"/>
      <c r="L414" s="79"/>
      <c r="M414" s="79"/>
      <c r="N414" s="79"/>
      <c r="O414" s="79"/>
      <c r="P414" s="1"/>
      <c r="Q414" s="1"/>
      <c r="R414" s="1"/>
      <c r="S414" s="1"/>
      <c r="T414" s="1"/>
      <c r="U414" s="1"/>
      <c r="V414" s="1"/>
      <c r="W414" s="1"/>
    </row>
    <row r="415" spans="1:23" ht="57.6" customHeight="1" x14ac:dyDescent="0.3">
      <c r="A415" s="1"/>
      <c r="B415" s="61" t="s">
        <v>126</v>
      </c>
      <c r="C415" s="1"/>
      <c r="D415" s="1"/>
      <c r="E415" s="13"/>
      <c r="F415" s="48" t="s">
        <v>443</v>
      </c>
      <c r="G415" s="79" t="b">
        <v>0</v>
      </c>
      <c r="H415" s="79"/>
      <c r="I415" s="79"/>
      <c r="J415" s="79"/>
      <c r="K415" s="79"/>
      <c r="L415" s="79"/>
      <c r="M415" s="79"/>
      <c r="N415" s="79"/>
      <c r="O415" s="79"/>
      <c r="P415" s="1"/>
      <c r="Q415" s="1"/>
      <c r="R415" s="1"/>
      <c r="S415" s="1"/>
      <c r="T415" s="1"/>
      <c r="U415" s="1"/>
      <c r="V415" s="1"/>
      <c r="W415" s="1"/>
    </row>
    <row r="416" spans="1:23" ht="57.6" customHeight="1" x14ac:dyDescent="0.3">
      <c r="A416" s="1"/>
      <c r="B416" s="1"/>
      <c r="C416" s="1"/>
      <c r="D416" s="1"/>
      <c r="E416" s="13"/>
      <c r="F416" s="48" t="s">
        <v>444</v>
      </c>
      <c r="G416" s="79" t="b">
        <v>0</v>
      </c>
      <c r="H416" s="79"/>
      <c r="I416" s="79"/>
      <c r="J416" s="79"/>
      <c r="K416" s="79"/>
      <c r="L416" s="79"/>
      <c r="M416" s="79"/>
      <c r="N416" s="79"/>
      <c r="O416" s="79"/>
      <c r="P416" s="1"/>
      <c r="Q416" s="1"/>
      <c r="R416" s="1"/>
      <c r="S416" s="1"/>
      <c r="T416" s="1"/>
      <c r="U416" s="1"/>
      <c r="V416" s="1"/>
      <c r="W416" s="1"/>
    </row>
    <row r="417" spans="1:23" ht="57.6" customHeight="1" x14ac:dyDescent="0.3">
      <c r="A417" s="1"/>
      <c r="B417" s="1"/>
      <c r="C417" s="1"/>
      <c r="E417" s="13"/>
      <c r="F417" s="48" t="s">
        <v>445</v>
      </c>
      <c r="G417" s="79" t="b">
        <v>0</v>
      </c>
      <c r="H417" s="79"/>
      <c r="I417" s="79"/>
      <c r="J417" s="79"/>
      <c r="K417" s="79"/>
      <c r="L417" s="79"/>
      <c r="M417" s="79"/>
      <c r="N417" s="79"/>
      <c r="O417" s="79"/>
      <c r="P417" s="1"/>
      <c r="Q417" s="1"/>
      <c r="R417" s="1"/>
      <c r="S417" s="1"/>
      <c r="T417" s="1"/>
      <c r="U417" s="1"/>
      <c r="V417" s="1"/>
      <c r="W417" s="1"/>
    </row>
    <row r="418" spans="1:23" ht="14.4" customHeight="1" x14ac:dyDescent="0.3">
      <c r="A418" s="1"/>
      <c r="B418" s="51">
        <v>6</v>
      </c>
      <c r="C418" s="50" t="s">
        <v>101</v>
      </c>
      <c r="D418" s="50"/>
      <c r="E418" s="50"/>
      <c r="F418" s="52"/>
      <c r="G418" s="79"/>
      <c r="H418" s="79" t="b">
        <f>AND(G419:G421)</f>
        <v>0</v>
      </c>
      <c r="I418" s="79"/>
      <c r="J418" s="79"/>
      <c r="K418" s="79"/>
      <c r="L418" s="79"/>
      <c r="M418" s="79"/>
      <c r="N418" s="79"/>
      <c r="O418" s="79"/>
      <c r="P418" s="1"/>
      <c r="Q418" s="1"/>
      <c r="R418" s="1"/>
      <c r="S418" s="1"/>
      <c r="T418" s="1"/>
      <c r="U418" s="1"/>
      <c r="V418" s="1"/>
      <c r="W418" s="1"/>
    </row>
    <row r="419" spans="1:23" ht="57.6" customHeight="1" x14ac:dyDescent="0.3">
      <c r="A419" s="1"/>
      <c r="B419" s="61" t="s">
        <v>126</v>
      </c>
      <c r="C419" s="1"/>
      <c r="D419" s="1"/>
      <c r="E419" s="13"/>
      <c r="F419" s="48" t="s">
        <v>446</v>
      </c>
      <c r="G419" s="79" t="b">
        <v>0</v>
      </c>
      <c r="H419" s="79"/>
      <c r="I419" s="79"/>
      <c r="J419" s="79"/>
      <c r="K419" s="79"/>
      <c r="L419" s="79"/>
      <c r="M419" s="79"/>
      <c r="N419" s="79"/>
      <c r="O419" s="79"/>
      <c r="P419" s="1"/>
      <c r="Q419" s="1"/>
      <c r="R419" s="1"/>
      <c r="S419" s="1"/>
      <c r="T419" s="1"/>
      <c r="U419" s="1"/>
      <c r="V419" s="1"/>
      <c r="W419" s="1"/>
    </row>
    <row r="420" spans="1:23" ht="57.6" customHeight="1" x14ac:dyDescent="0.3">
      <c r="A420" s="1"/>
      <c r="B420" s="1"/>
      <c r="C420" s="1"/>
      <c r="D420" s="1"/>
      <c r="E420" s="13"/>
      <c r="F420" s="48" t="s">
        <v>447</v>
      </c>
      <c r="G420" s="79" t="b">
        <v>0</v>
      </c>
      <c r="H420" s="79"/>
      <c r="I420" s="79"/>
      <c r="J420" s="79"/>
      <c r="K420" s="79"/>
      <c r="L420" s="79"/>
      <c r="M420" s="79"/>
      <c r="N420" s="79"/>
      <c r="O420" s="79"/>
      <c r="P420" s="1"/>
      <c r="Q420" s="1"/>
      <c r="R420" s="1"/>
      <c r="S420" s="1"/>
      <c r="T420" s="1"/>
      <c r="U420" s="1"/>
      <c r="V420" s="1"/>
      <c r="W420" s="1"/>
    </row>
    <row r="421" spans="1:23" ht="57.6" customHeight="1" x14ac:dyDescent="0.3">
      <c r="A421" s="1"/>
      <c r="B421" s="1"/>
      <c r="C421" s="1"/>
      <c r="D421" s="1"/>
      <c r="E421" s="13"/>
      <c r="F421" s="48" t="s">
        <v>448</v>
      </c>
      <c r="G421" s="79" t="b">
        <v>0</v>
      </c>
      <c r="H421" s="79"/>
      <c r="I421" s="79"/>
      <c r="J421" s="79"/>
      <c r="K421" s="79"/>
      <c r="L421" s="79"/>
      <c r="M421" s="79"/>
      <c r="N421" s="79"/>
      <c r="O421" s="79"/>
      <c r="P421" s="1"/>
      <c r="Q421" s="1"/>
      <c r="R421" s="1"/>
      <c r="S421" s="1"/>
      <c r="T421" s="1"/>
      <c r="U421" s="1"/>
      <c r="V421" s="1"/>
      <c r="W421" s="1"/>
    </row>
    <row r="422" spans="1:23" ht="14.4" customHeight="1" x14ac:dyDescent="0.3">
      <c r="A422" s="1"/>
      <c r="B422" s="51">
        <v>7</v>
      </c>
      <c r="C422" s="50" t="s">
        <v>100</v>
      </c>
      <c r="D422" s="50"/>
      <c r="E422" s="50"/>
      <c r="F422" s="52"/>
      <c r="G422" s="79"/>
      <c r="H422" s="79" t="b">
        <f>AND(G423:G426)</f>
        <v>0</v>
      </c>
      <c r="I422" s="79"/>
      <c r="J422" s="79"/>
      <c r="K422" s="79"/>
      <c r="L422" s="79"/>
      <c r="M422" s="79"/>
      <c r="N422" s="79"/>
      <c r="O422" s="79"/>
      <c r="P422" s="1"/>
      <c r="Q422" s="1"/>
      <c r="R422" s="1"/>
      <c r="S422" s="1"/>
      <c r="T422" s="1"/>
      <c r="U422" s="1"/>
      <c r="V422" s="1"/>
      <c r="W422" s="1"/>
    </row>
    <row r="423" spans="1:23" ht="57.6" customHeight="1" x14ac:dyDescent="0.3">
      <c r="A423" s="1"/>
      <c r="B423" s="61" t="s">
        <v>126</v>
      </c>
      <c r="C423" s="1"/>
      <c r="D423" s="1"/>
      <c r="E423" s="13"/>
      <c r="F423" s="48" t="s">
        <v>449</v>
      </c>
      <c r="G423" s="79" t="b">
        <v>0</v>
      </c>
      <c r="H423" s="79"/>
      <c r="I423" s="79"/>
      <c r="J423" s="79"/>
      <c r="K423" s="79"/>
      <c r="L423" s="79"/>
      <c r="M423" s="79"/>
      <c r="N423" s="79"/>
      <c r="O423" s="79"/>
      <c r="P423" s="1"/>
      <c r="Q423" s="1"/>
      <c r="R423" s="1"/>
      <c r="S423" s="1"/>
      <c r="T423" s="1"/>
      <c r="U423" s="1"/>
      <c r="V423" s="1"/>
      <c r="W423" s="1"/>
    </row>
    <row r="424" spans="1:23" ht="57.6" customHeight="1" x14ac:dyDescent="0.3">
      <c r="A424" s="1"/>
      <c r="B424" s="1"/>
      <c r="C424" s="1"/>
      <c r="E424" s="13"/>
      <c r="F424" s="48" t="s">
        <v>450</v>
      </c>
      <c r="G424" s="79" t="b">
        <v>0</v>
      </c>
      <c r="H424" s="79"/>
      <c r="I424" s="79"/>
      <c r="J424" s="79"/>
      <c r="K424" s="79"/>
      <c r="L424" s="79"/>
      <c r="M424" s="79"/>
      <c r="N424" s="79"/>
      <c r="O424" s="79"/>
      <c r="P424" s="1"/>
      <c r="Q424" s="1"/>
      <c r="R424" s="1"/>
      <c r="S424" s="1"/>
      <c r="T424" s="1"/>
      <c r="U424" s="1"/>
      <c r="V424" s="1"/>
      <c r="W424" s="1"/>
    </row>
    <row r="425" spans="1:23" ht="57.6" customHeight="1" x14ac:dyDescent="0.3">
      <c r="A425" s="1"/>
      <c r="B425" s="1"/>
      <c r="C425" s="1"/>
      <c r="D425" s="1"/>
      <c r="E425" s="13"/>
      <c r="F425" s="48" t="s">
        <v>451</v>
      </c>
      <c r="G425" s="79" t="b">
        <v>0</v>
      </c>
      <c r="H425" s="79"/>
      <c r="I425" s="79"/>
      <c r="J425" s="79"/>
      <c r="K425" s="79"/>
      <c r="L425" s="79"/>
      <c r="M425" s="79"/>
      <c r="N425" s="79"/>
      <c r="O425" s="79"/>
      <c r="P425" s="1"/>
      <c r="Q425" s="1"/>
      <c r="R425" s="1"/>
      <c r="S425" s="1"/>
      <c r="T425" s="1"/>
      <c r="U425" s="1"/>
      <c r="V425" s="1"/>
      <c r="W425" s="1"/>
    </row>
    <row r="426" spans="1:23" ht="57.6" customHeight="1" x14ac:dyDescent="0.3">
      <c r="A426" s="1"/>
      <c r="B426" s="1"/>
      <c r="C426" s="1"/>
      <c r="D426" s="1"/>
      <c r="E426" s="13"/>
      <c r="F426" s="48" t="s">
        <v>452</v>
      </c>
      <c r="G426" s="79" t="b">
        <v>0</v>
      </c>
      <c r="H426" s="79"/>
      <c r="I426" s="79"/>
      <c r="J426" s="79"/>
      <c r="K426" s="79"/>
      <c r="L426" s="79"/>
      <c r="M426" s="79"/>
      <c r="N426" s="79"/>
      <c r="O426" s="79"/>
      <c r="P426" s="1"/>
      <c r="Q426" s="1"/>
      <c r="R426" s="1"/>
      <c r="S426" s="1"/>
      <c r="T426" s="1"/>
      <c r="U426" s="1"/>
      <c r="V426" s="1"/>
      <c r="W426" s="1"/>
    </row>
    <row r="427" spans="1:23" ht="25.05" customHeight="1" x14ac:dyDescent="0.3">
      <c r="A427" s="1"/>
      <c r="B427" s="1"/>
      <c r="C427" s="1"/>
      <c r="D427" s="1"/>
      <c r="E427" s="1"/>
      <c r="F427" s="1"/>
      <c r="G427" s="79"/>
      <c r="H427" s="79"/>
      <c r="I427" s="79"/>
      <c r="J427" s="79"/>
      <c r="K427" s="79"/>
      <c r="L427" s="79"/>
      <c r="M427" s="79"/>
      <c r="N427" s="79"/>
      <c r="O427" s="79"/>
      <c r="P427" s="1"/>
      <c r="Q427" s="1"/>
      <c r="R427" s="1"/>
      <c r="S427" s="1"/>
      <c r="T427" s="1"/>
      <c r="U427" s="1"/>
      <c r="V427" s="1"/>
      <c r="W427" s="1"/>
    </row>
    <row r="428" spans="1:23" ht="14.4" customHeight="1" x14ac:dyDescent="0.3">
      <c r="A428" s="63" t="s">
        <v>500</v>
      </c>
      <c r="B428" s="58" t="s">
        <v>453</v>
      </c>
      <c r="C428" s="54"/>
      <c r="D428" s="54"/>
      <c r="E428" s="54"/>
      <c r="F428" s="55"/>
      <c r="G428" s="79"/>
      <c r="H428" s="79" t="b">
        <f>AND(H429,H458)</f>
        <v>0</v>
      </c>
      <c r="I428" s="79"/>
      <c r="J428" s="79"/>
      <c r="K428" s="79"/>
      <c r="L428" s="79"/>
      <c r="M428" s="79"/>
      <c r="N428" s="79"/>
      <c r="O428" s="79"/>
      <c r="P428" s="1"/>
      <c r="Q428" s="1"/>
      <c r="R428" s="1"/>
      <c r="S428" s="1"/>
      <c r="T428" s="1"/>
      <c r="U428" s="1"/>
      <c r="V428" s="1"/>
      <c r="W428" s="1"/>
    </row>
    <row r="429" spans="1:23" ht="14.4" customHeight="1" x14ac:dyDescent="0.3">
      <c r="A429" s="63" t="s">
        <v>504</v>
      </c>
      <c r="B429" s="59" t="s">
        <v>194</v>
      </c>
      <c r="C429" s="56"/>
      <c r="D429" s="56"/>
      <c r="E429" s="56"/>
      <c r="F429" s="57"/>
      <c r="G429" s="79"/>
      <c r="H429" s="79" t="b">
        <f>AND(H430,H437,H446,H450)</f>
        <v>0</v>
      </c>
      <c r="I429" s="79"/>
      <c r="J429" s="79"/>
      <c r="K429" s="79"/>
      <c r="L429" s="79"/>
      <c r="M429" s="79"/>
      <c r="N429" s="79"/>
      <c r="O429" s="79"/>
      <c r="P429" s="1"/>
      <c r="Q429" s="1"/>
      <c r="R429" s="1"/>
      <c r="S429" s="1"/>
      <c r="T429" s="1"/>
      <c r="U429" s="1"/>
      <c r="V429" s="1"/>
      <c r="W429" s="1"/>
    </row>
    <row r="430" spans="1:23" ht="14.4" customHeight="1" x14ac:dyDescent="0.3">
      <c r="A430" s="1"/>
      <c r="B430" s="51">
        <v>1</v>
      </c>
      <c r="C430" s="50" t="s">
        <v>110</v>
      </c>
      <c r="D430" s="50"/>
      <c r="E430" s="50"/>
      <c r="F430" s="52"/>
      <c r="G430" s="79"/>
      <c r="H430" s="79" t="b">
        <f>AND(G431:G436)</f>
        <v>0</v>
      </c>
      <c r="I430" s="79"/>
      <c r="J430" s="79"/>
      <c r="K430" s="79"/>
      <c r="L430" s="79"/>
      <c r="M430" s="79"/>
      <c r="N430" s="79"/>
      <c r="O430" s="79"/>
      <c r="P430" s="1"/>
      <c r="Q430" s="1"/>
      <c r="R430" s="1"/>
      <c r="S430" s="1"/>
      <c r="T430" s="1"/>
      <c r="U430" s="1"/>
      <c r="V430" s="1"/>
      <c r="W430" s="1"/>
    </row>
    <row r="431" spans="1:23" ht="57.6" customHeight="1" x14ac:dyDescent="0.3">
      <c r="A431" s="1"/>
      <c r="B431" s="61" t="s">
        <v>126</v>
      </c>
      <c r="C431" s="1"/>
      <c r="D431" s="1"/>
      <c r="E431" s="13"/>
      <c r="F431" s="48" t="s">
        <v>454</v>
      </c>
      <c r="G431" s="79" t="b">
        <v>0</v>
      </c>
      <c r="H431" s="79"/>
      <c r="I431" s="79"/>
      <c r="J431" s="79"/>
      <c r="K431" s="79"/>
      <c r="L431" s="79"/>
      <c r="M431" s="79"/>
      <c r="N431" s="79"/>
      <c r="O431" s="79"/>
      <c r="P431" s="1"/>
      <c r="Q431" s="1"/>
      <c r="R431" s="1"/>
      <c r="S431" s="1"/>
      <c r="T431" s="1"/>
      <c r="U431" s="1"/>
      <c r="V431" s="1"/>
      <c r="W431" s="1"/>
    </row>
    <row r="432" spans="1:23" ht="57.6" customHeight="1" x14ac:dyDescent="0.3">
      <c r="A432" s="1"/>
      <c r="B432" s="1"/>
      <c r="C432" s="1"/>
      <c r="D432" s="1"/>
      <c r="E432" s="13"/>
      <c r="F432" s="48" t="s">
        <v>455</v>
      </c>
      <c r="G432" s="79" t="b">
        <v>0</v>
      </c>
      <c r="H432" s="79"/>
      <c r="I432" s="79"/>
      <c r="J432" s="79"/>
      <c r="K432" s="79"/>
      <c r="L432" s="79"/>
      <c r="M432" s="79"/>
      <c r="N432" s="79"/>
      <c r="O432" s="79"/>
      <c r="P432" s="1"/>
      <c r="Q432" s="1"/>
      <c r="R432" s="1"/>
      <c r="S432" s="1"/>
      <c r="T432" s="1"/>
      <c r="U432" s="1"/>
      <c r="V432" s="1"/>
      <c r="W432" s="1"/>
    </row>
    <row r="433" spans="1:23" ht="57.6" customHeight="1" x14ac:dyDescent="0.3">
      <c r="A433" s="1"/>
      <c r="B433" s="1"/>
      <c r="C433" s="1"/>
      <c r="D433" s="1"/>
      <c r="E433" s="13"/>
      <c r="F433" s="48" t="s">
        <v>456</v>
      </c>
      <c r="G433" s="79" t="b">
        <v>0</v>
      </c>
      <c r="H433" s="79"/>
      <c r="I433" s="79"/>
      <c r="J433" s="79"/>
      <c r="K433" s="79"/>
      <c r="L433" s="79"/>
      <c r="M433" s="79"/>
      <c r="N433" s="79"/>
      <c r="O433" s="79"/>
      <c r="P433" s="1"/>
      <c r="Q433" s="1"/>
      <c r="R433" s="1"/>
      <c r="S433" s="1"/>
      <c r="T433" s="1"/>
      <c r="U433" s="1"/>
      <c r="V433" s="1"/>
      <c r="W433" s="1"/>
    </row>
    <row r="434" spans="1:23" ht="57.6" customHeight="1" x14ac:dyDescent="0.3">
      <c r="A434" s="1"/>
      <c r="B434" s="1"/>
      <c r="C434" s="1"/>
      <c r="D434" s="1"/>
      <c r="E434" s="13"/>
      <c r="F434" s="48" t="s">
        <v>457</v>
      </c>
      <c r="G434" s="79" t="b">
        <v>0</v>
      </c>
      <c r="H434" s="79"/>
      <c r="I434" s="79"/>
      <c r="J434" s="79"/>
      <c r="K434" s="79"/>
      <c r="L434" s="79"/>
      <c r="M434" s="79"/>
      <c r="N434" s="79"/>
      <c r="O434" s="79"/>
      <c r="P434" s="1"/>
      <c r="Q434" s="1"/>
      <c r="R434" s="1"/>
      <c r="S434" s="1"/>
      <c r="T434" s="1"/>
      <c r="U434" s="1"/>
      <c r="V434" s="1"/>
      <c r="W434" s="1"/>
    </row>
    <row r="435" spans="1:23" ht="57.6" customHeight="1" x14ac:dyDescent="0.3">
      <c r="A435" s="1"/>
      <c r="B435" s="1"/>
      <c r="C435" s="1"/>
      <c r="D435" s="1"/>
      <c r="E435" s="13"/>
      <c r="F435" s="48" t="s">
        <v>458</v>
      </c>
      <c r="G435" s="79" t="b">
        <v>0</v>
      </c>
      <c r="H435" s="79"/>
      <c r="I435" s="79"/>
      <c r="J435" s="79"/>
      <c r="K435" s="79"/>
      <c r="L435" s="79"/>
      <c r="M435" s="79"/>
      <c r="N435" s="79"/>
      <c r="O435" s="79"/>
      <c r="P435" s="1"/>
      <c r="Q435" s="1"/>
      <c r="R435" s="1"/>
      <c r="S435" s="1"/>
      <c r="T435" s="1"/>
      <c r="U435" s="1"/>
      <c r="V435" s="1"/>
      <c r="W435" s="1"/>
    </row>
    <row r="436" spans="1:23" ht="57.6" customHeight="1" x14ac:dyDescent="0.3">
      <c r="A436" s="1"/>
      <c r="B436" s="1"/>
      <c r="C436" s="1"/>
      <c r="D436" s="1"/>
      <c r="E436" s="13"/>
      <c r="F436" s="48" t="s">
        <v>459</v>
      </c>
      <c r="G436" s="79" t="b">
        <v>0</v>
      </c>
      <c r="H436" s="79"/>
      <c r="I436" s="79"/>
      <c r="J436" s="79"/>
      <c r="K436" s="79"/>
      <c r="L436" s="79"/>
      <c r="M436" s="79"/>
      <c r="N436" s="79"/>
      <c r="O436" s="79"/>
      <c r="P436" s="1"/>
      <c r="Q436" s="1"/>
      <c r="R436" s="1"/>
      <c r="S436" s="1"/>
      <c r="T436" s="1"/>
      <c r="U436" s="1"/>
      <c r="V436" s="1"/>
      <c r="W436" s="1"/>
    </row>
    <row r="437" spans="1:23" ht="14.4" customHeight="1" x14ac:dyDescent="0.3">
      <c r="A437" s="1"/>
      <c r="B437" s="51">
        <v>2</v>
      </c>
      <c r="C437" s="50" t="s">
        <v>111</v>
      </c>
      <c r="D437" s="50"/>
      <c r="E437" s="50"/>
      <c r="F437" s="52"/>
      <c r="G437" s="79"/>
      <c r="H437" s="79" t="b">
        <f>AND(G438:G445)</f>
        <v>0</v>
      </c>
      <c r="I437" s="79"/>
      <c r="J437" s="79"/>
      <c r="K437" s="79"/>
      <c r="L437" s="79"/>
      <c r="M437" s="79"/>
      <c r="N437" s="79"/>
      <c r="O437" s="79"/>
      <c r="P437" s="1"/>
      <c r="Q437" s="1"/>
      <c r="R437" s="1"/>
      <c r="S437" s="1"/>
      <c r="T437" s="1"/>
      <c r="U437" s="1"/>
      <c r="V437" s="1"/>
      <c r="W437" s="1"/>
    </row>
    <row r="438" spans="1:23" ht="57.6" customHeight="1" x14ac:dyDescent="0.3">
      <c r="A438" s="1"/>
      <c r="B438" s="61" t="s">
        <v>126</v>
      </c>
      <c r="C438" s="1"/>
      <c r="D438" s="1"/>
      <c r="E438" s="13"/>
      <c r="F438" s="48" t="s">
        <v>460</v>
      </c>
      <c r="G438" s="79" t="b">
        <v>0</v>
      </c>
      <c r="H438" s="79"/>
      <c r="I438" s="79"/>
      <c r="J438" s="79"/>
      <c r="K438" s="79"/>
      <c r="L438" s="79"/>
      <c r="M438" s="79"/>
      <c r="N438" s="79"/>
      <c r="O438" s="79"/>
      <c r="P438" s="1"/>
      <c r="Q438" s="1"/>
      <c r="R438" s="1"/>
      <c r="S438" s="1"/>
      <c r="T438" s="1"/>
      <c r="U438" s="1"/>
      <c r="V438" s="1"/>
      <c r="W438" s="1"/>
    </row>
    <row r="439" spans="1:23" ht="57.6" customHeight="1" x14ac:dyDescent="0.3">
      <c r="A439" s="1"/>
      <c r="B439" s="1"/>
      <c r="C439" s="1"/>
      <c r="D439" s="1"/>
      <c r="E439" s="13"/>
      <c r="F439" s="48" t="s">
        <v>461</v>
      </c>
      <c r="G439" s="79" t="b">
        <v>0</v>
      </c>
      <c r="H439" s="79"/>
      <c r="I439" s="79"/>
      <c r="J439" s="79"/>
      <c r="K439" s="79"/>
      <c r="L439" s="79"/>
      <c r="M439" s="79"/>
      <c r="N439" s="79"/>
      <c r="O439" s="79"/>
      <c r="P439" s="1"/>
      <c r="Q439" s="1"/>
      <c r="R439" s="1"/>
      <c r="S439" s="1"/>
      <c r="T439" s="1"/>
      <c r="U439" s="1"/>
      <c r="V439" s="1"/>
      <c r="W439" s="1"/>
    </row>
    <row r="440" spans="1:23" ht="57.6" customHeight="1" x14ac:dyDescent="0.3">
      <c r="A440" s="1"/>
      <c r="B440" s="1"/>
      <c r="C440" s="1"/>
      <c r="D440" s="1"/>
      <c r="E440" s="13"/>
      <c r="F440" s="48" t="s">
        <v>462</v>
      </c>
      <c r="G440" s="79" t="b">
        <v>0</v>
      </c>
      <c r="H440" s="79"/>
      <c r="I440" s="79"/>
      <c r="J440" s="79"/>
      <c r="K440" s="79"/>
      <c r="L440" s="79"/>
      <c r="M440" s="79"/>
      <c r="N440" s="79"/>
      <c r="O440" s="79"/>
      <c r="P440" s="1"/>
      <c r="Q440" s="1"/>
      <c r="R440" s="1"/>
      <c r="S440" s="1"/>
      <c r="T440" s="1"/>
      <c r="U440" s="1"/>
      <c r="V440" s="1"/>
      <c r="W440" s="1"/>
    </row>
    <row r="441" spans="1:23" ht="57.6" customHeight="1" x14ac:dyDescent="0.3">
      <c r="A441" s="1"/>
      <c r="B441" s="1"/>
      <c r="C441" s="1"/>
      <c r="D441" s="1"/>
      <c r="E441" s="13"/>
      <c r="F441" s="48" t="s">
        <v>463</v>
      </c>
      <c r="G441" s="79" t="b">
        <v>0</v>
      </c>
      <c r="H441" s="79"/>
      <c r="I441" s="79"/>
      <c r="J441" s="79"/>
      <c r="K441" s="79"/>
      <c r="L441" s="79"/>
      <c r="M441" s="79"/>
      <c r="N441" s="79"/>
      <c r="O441" s="79"/>
      <c r="P441" s="1"/>
      <c r="Q441" s="1"/>
      <c r="R441" s="1"/>
      <c r="S441" s="1"/>
      <c r="T441" s="1"/>
      <c r="U441" s="1"/>
      <c r="V441" s="1"/>
      <c r="W441" s="1"/>
    </row>
    <row r="442" spans="1:23" ht="57.6" customHeight="1" x14ac:dyDescent="0.3">
      <c r="A442" s="1"/>
      <c r="B442" s="1"/>
      <c r="C442" s="1"/>
      <c r="D442" s="1"/>
      <c r="E442" s="13"/>
      <c r="F442" s="48" t="s">
        <v>464</v>
      </c>
      <c r="G442" s="79" t="b">
        <v>0</v>
      </c>
      <c r="H442" s="79"/>
      <c r="I442" s="79"/>
      <c r="J442" s="79"/>
      <c r="K442" s="79"/>
      <c r="L442" s="79"/>
      <c r="M442" s="79"/>
      <c r="N442" s="79"/>
      <c r="O442" s="79"/>
      <c r="P442" s="1"/>
      <c r="Q442" s="1"/>
      <c r="R442" s="1"/>
      <c r="S442" s="1"/>
      <c r="T442" s="1"/>
      <c r="U442" s="1"/>
      <c r="V442" s="1"/>
      <c r="W442" s="1"/>
    </row>
    <row r="443" spans="1:23" ht="57.6" customHeight="1" x14ac:dyDescent="0.3">
      <c r="A443" s="1"/>
      <c r="B443" s="1"/>
      <c r="C443" s="1"/>
      <c r="D443" s="1"/>
      <c r="E443" s="13"/>
      <c r="F443" s="48" t="s">
        <v>465</v>
      </c>
      <c r="G443" s="79" t="b">
        <v>0</v>
      </c>
      <c r="H443" s="79"/>
      <c r="I443" s="79"/>
      <c r="J443" s="79"/>
      <c r="K443" s="79"/>
      <c r="L443" s="79"/>
      <c r="M443" s="79"/>
      <c r="N443" s="79"/>
      <c r="O443" s="79"/>
      <c r="P443" s="1"/>
      <c r="Q443" s="1"/>
      <c r="R443" s="1"/>
      <c r="S443" s="1"/>
      <c r="T443" s="1"/>
      <c r="U443" s="1"/>
      <c r="V443" s="1"/>
      <c r="W443" s="1"/>
    </row>
    <row r="444" spans="1:23" ht="57.6" customHeight="1" x14ac:dyDescent="0.3">
      <c r="A444" s="1"/>
      <c r="B444" s="1"/>
      <c r="C444" s="1"/>
      <c r="D444" s="1"/>
      <c r="E444" s="13"/>
      <c r="F444" s="48" t="s">
        <v>466</v>
      </c>
      <c r="G444" s="79" t="b">
        <v>0</v>
      </c>
      <c r="H444" s="79"/>
      <c r="I444" s="79"/>
      <c r="J444" s="79"/>
      <c r="K444" s="79"/>
      <c r="L444" s="79"/>
      <c r="M444" s="79"/>
      <c r="N444" s="79"/>
      <c r="O444" s="79"/>
      <c r="P444" s="1"/>
      <c r="Q444" s="1"/>
      <c r="R444" s="1"/>
      <c r="S444" s="1"/>
      <c r="T444" s="1"/>
      <c r="U444" s="1"/>
      <c r="V444" s="1"/>
      <c r="W444" s="1"/>
    </row>
    <row r="445" spans="1:23" ht="57.6" customHeight="1" x14ac:dyDescent="0.3">
      <c r="A445" s="1"/>
      <c r="B445" s="1"/>
      <c r="C445" s="1"/>
      <c r="D445" s="1"/>
      <c r="E445" s="13"/>
      <c r="F445" s="48" t="s">
        <v>467</v>
      </c>
      <c r="G445" s="79" t="b">
        <v>0</v>
      </c>
      <c r="H445" s="79"/>
      <c r="I445" s="79"/>
      <c r="J445" s="79"/>
      <c r="K445" s="79"/>
      <c r="L445" s="79"/>
      <c r="M445" s="79"/>
      <c r="N445" s="79"/>
      <c r="O445" s="79"/>
      <c r="P445" s="1"/>
      <c r="Q445" s="1"/>
      <c r="R445" s="1"/>
      <c r="S445" s="1"/>
      <c r="T445" s="1"/>
      <c r="U445" s="1"/>
      <c r="V445" s="1"/>
      <c r="W445" s="1"/>
    </row>
    <row r="446" spans="1:23" ht="14.4" customHeight="1" x14ac:dyDescent="0.3">
      <c r="A446" s="1"/>
      <c r="B446" s="51">
        <v>3</v>
      </c>
      <c r="C446" s="50" t="s">
        <v>112</v>
      </c>
      <c r="D446" s="50"/>
      <c r="E446" s="50"/>
      <c r="F446" s="52"/>
      <c r="G446" s="79"/>
      <c r="H446" s="79" t="b">
        <f>AND(G447:G449)</f>
        <v>0</v>
      </c>
      <c r="I446" s="79"/>
      <c r="J446" s="79"/>
      <c r="K446" s="79"/>
      <c r="L446" s="79"/>
      <c r="M446" s="79"/>
      <c r="N446" s="79"/>
      <c r="O446" s="79"/>
      <c r="P446" s="1"/>
      <c r="Q446" s="1"/>
      <c r="R446" s="1"/>
      <c r="S446" s="1"/>
      <c r="T446" s="1"/>
      <c r="U446" s="1"/>
      <c r="V446" s="1"/>
      <c r="W446" s="1"/>
    </row>
    <row r="447" spans="1:23" ht="57.6" customHeight="1" x14ac:dyDescent="0.3">
      <c r="A447" s="1"/>
      <c r="B447" s="61" t="s">
        <v>126</v>
      </c>
      <c r="C447" s="1"/>
      <c r="D447" s="1"/>
      <c r="E447" s="13"/>
      <c r="F447" s="48" t="s">
        <v>468</v>
      </c>
      <c r="G447" s="79" t="b">
        <v>0</v>
      </c>
      <c r="H447" s="79"/>
      <c r="I447" s="79"/>
      <c r="J447" s="79"/>
      <c r="K447" s="79"/>
      <c r="L447" s="79"/>
      <c r="M447" s="79"/>
      <c r="N447" s="79"/>
      <c r="O447" s="79"/>
      <c r="P447" s="1"/>
      <c r="Q447" s="1"/>
      <c r="R447" s="1"/>
      <c r="S447" s="1"/>
      <c r="T447" s="1"/>
      <c r="U447" s="1"/>
      <c r="V447" s="1"/>
      <c r="W447" s="1"/>
    </row>
    <row r="448" spans="1:23" ht="57.6" customHeight="1" x14ac:dyDescent="0.3">
      <c r="A448" s="1"/>
      <c r="B448" s="1"/>
      <c r="C448" s="1"/>
      <c r="D448" s="1"/>
      <c r="E448" s="13"/>
      <c r="F448" s="48" t="s">
        <v>470</v>
      </c>
      <c r="G448" s="79" t="b">
        <v>0</v>
      </c>
      <c r="H448" s="79"/>
      <c r="I448" s="79"/>
      <c r="J448" s="79"/>
      <c r="K448" s="79"/>
      <c r="L448" s="79"/>
      <c r="M448" s="79"/>
      <c r="N448" s="79"/>
      <c r="O448" s="79"/>
      <c r="P448" s="1"/>
      <c r="Q448" s="1"/>
      <c r="R448" s="1"/>
      <c r="S448" s="1"/>
      <c r="T448" s="1"/>
      <c r="U448" s="1"/>
      <c r="V448" s="1"/>
      <c r="W448" s="1"/>
    </row>
    <row r="449" spans="1:23" ht="57.6" customHeight="1" x14ac:dyDescent="0.3">
      <c r="A449" s="1"/>
      <c r="B449" s="1"/>
      <c r="C449" s="1"/>
      <c r="D449" s="1"/>
      <c r="E449" s="13"/>
      <c r="F449" s="48" t="s">
        <v>469</v>
      </c>
      <c r="G449" s="79" t="b">
        <v>0</v>
      </c>
      <c r="H449" s="79"/>
      <c r="I449" s="79"/>
      <c r="J449" s="79"/>
      <c r="K449" s="79"/>
      <c r="L449" s="79"/>
      <c r="M449" s="79"/>
      <c r="N449" s="79"/>
      <c r="O449" s="79"/>
      <c r="P449" s="1"/>
      <c r="Q449" s="1"/>
      <c r="R449" s="1"/>
      <c r="S449" s="1"/>
      <c r="T449" s="1"/>
      <c r="U449" s="1"/>
      <c r="V449" s="1"/>
      <c r="W449" s="1"/>
    </row>
    <row r="450" spans="1:23" ht="14.4" customHeight="1" x14ac:dyDescent="0.3">
      <c r="A450" s="1"/>
      <c r="B450" s="51">
        <v>4</v>
      </c>
      <c r="C450" s="50" t="s">
        <v>109</v>
      </c>
      <c r="D450" s="50"/>
      <c r="E450" s="50"/>
      <c r="F450" s="52"/>
      <c r="G450" s="79"/>
      <c r="H450" s="79" t="b">
        <f>AND(G451:G457)</f>
        <v>0</v>
      </c>
      <c r="I450" s="79"/>
      <c r="J450" s="79"/>
      <c r="K450" s="79"/>
      <c r="L450" s="79"/>
      <c r="M450" s="79"/>
      <c r="N450" s="79"/>
      <c r="O450" s="79"/>
      <c r="P450" s="1"/>
      <c r="Q450" s="1"/>
      <c r="R450" s="1"/>
      <c r="S450" s="1"/>
      <c r="T450" s="1"/>
      <c r="U450" s="1"/>
      <c r="V450" s="1"/>
      <c r="W450" s="1"/>
    </row>
    <row r="451" spans="1:23" ht="57.6" customHeight="1" x14ac:dyDescent="0.3">
      <c r="A451" s="1"/>
      <c r="B451" s="61" t="s">
        <v>126</v>
      </c>
      <c r="C451" s="1"/>
      <c r="D451" s="1"/>
      <c r="E451" s="13"/>
      <c r="F451" s="48" t="s">
        <v>471</v>
      </c>
      <c r="G451" s="79" t="b">
        <v>0</v>
      </c>
      <c r="H451" s="79"/>
      <c r="I451" s="79"/>
      <c r="J451" s="79"/>
      <c r="K451" s="79"/>
      <c r="L451" s="79"/>
      <c r="M451" s="79"/>
      <c r="N451" s="79"/>
      <c r="O451" s="79"/>
      <c r="P451" s="1"/>
      <c r="Q451" s="1"/>
      <c r="R451" s="1"/>
      <c r="S451" s="1"/>
      <c r="T451" s="1"/>
      <c r="U451" s="1"/>
      <c r="V451" s="1"/>
      <c r="W451" s="1"/>
    </row>
    <row r="452" spans="1:23" ht="57.6" customHeight="1" x14ac:dyDescent="0.3">
      <c r="A452" s="1"/>
      <c r="B452" s="1"/>
      <c r="C452" s="1"/>
      <c r="D452" s="1"/>
      <c r="E452" s="13"/>
      <c r="F452" s="48" t="s">
        <v>472</v>
      </c>
      <c r="G452" s="79" t="b">
        <v>0</v>
      </c>
      <c r="H452" s="79"/>
      <c r="I452" s="79"/>
      <c r="J452" s="79"/>
      <c r="K452" s="79"/>
      <c r="L452" s="79"/>
      <c r="M452" s="79"/>
      <c r="N452" s="79"/>
      <c r="O452" s="79"/>
      <c r="P452" s="1"/>
      <c r="Q452" s="1"/>
      <c r="R452" s="1"/>
      <c r="S452" s="1"/>
      <c r="T452" s="1"/>
      <c r="U452" s="1"/>
      <c r="V452" s="1"/>
      <c r="W452" s="1"/>
    </row>
    <row r="453" spans="1:23" ht="57.6" customHeight="1" x14ac:dyDescent="0.3">
      <c r="A453" s="1"/>
      <c r="B453" s="1"/>
      <c r="C453" s="1"/>
      <c r="D453" s="1"/>
      <c r="E453" s="13"/>
      <c r="F453" s="48" t="s">
        <v>473</v>
      </c>
      <c r="G453" s="79" t="b">
        <v>0</v>
      </c>
      <c r="H453" s="79"/>
      <c r="I453" s="79"/>
      <c r="J453" s="79"/>
      <c r="K453" s="79"/>
      <c r="L453" s="79"/>
      <c r="M453" s="79"/>
      <c r="N453" s="79"/>
      <c r="O453" s="79"/>
      <c r="P453" s="1"/>
      <c r="Q453" s="1"/>
      <c r="R453" s="1"/>
      <c r="S453" s="1"/>
      <c r="T453" s="1"/>
      <c r="U453" s="1"/>
      <c r="V453" s="1"/>
      <c r="W453" s="1"/>
    </row>
    <row r="454" spans="1:23" ht="57.6" customHeight="1" x14ac:dyDescent="0.3">
      <c r="A454" s="1"/>
      <c r="B454" s="1"/>
      <c r="C454" s="1"/>
      <c r="D454" s="1"/>
      <c r="E454" s="13"/>
      <c r="F454" s="48" t="s">
        <v>474</v>
      </c>
      <c r="G454" s="79" t="b">
        <v>0</v>
      </c>
      <c r="H454" s="79"/>
      <c r="I454" s="79"/>
      <c r="J454" s="79"/>
      <c r="K454" s="79"/>
      <c r="L454" s="79"/>
      <c r="M454" s="79"/>
      <c r="N454" s="79"/>
      <c r="O454" s="79"/>
      <c r="P454" s="1"/>
      <c r="Q454" s="1"/>
      <c r="R454" s="1"/>
      <c r="S454" s="1"/>
      <c r="T454" s="1"/>
      <c r="U454" s="1"/>
      <c r="V454" s="1"/>
      <c r="W454" s="1"/>
    </row>
    <row r="455" spans="1:23" ht="57.6" customHeight="1" x14ac:dyDescent="0.3">
      <c r="A455" s="1"/>
      <c r="B455" s="1"/>
      <c r="C455" s="1"/>
      <c r="D455" s="1"/>
      <c r="E455" s="13"/>
      <c r="F455" s="48" t="s">
        <v>475</v>
      </c>
      <c r="G455" s="79" t="b">
        <v>0</v>
      </c>
      <c r="H455" s="79"/>
      <c r="I455" s="79"/>
      <c r="J455" s="79"/>
      <c r="K455" s="79"/>
      <c r="L455" s="79"/>
      <c r="M455" s="79"/>
      <c r="N455" s="79"/>
      <c r="O455" s="79"/>
      <c r="P455" s="1"/>
      <c r="Q455" s="1"/>
      <c r="R455" s="1"/>
      <c r="S455" s="1"/>
      <c r="T455" s="1"/>
      <c r="U455" s="1"/>
      <c r="V455" s="1"/>
      <c r="W455" s="1"/>
    </row>
    <row r="456" spans="1:23" ht="57.6" customHeight="1" x14ac:dyDescent="0.3">
      <c r="A456" s="1"/>
      <c r="B456" s="1"/>
      <c r="C456" s="1"/>
      <c r="D456" s="1"/>
      <c r="E456" s="13"/>
      <c r="F456" s="48" t="s">
        <v>476</v>
      </c>
      <c r="G456" s="79" t="b">
        <v>0</v>
      </c>
      <c r="H456" s="79"/>
      <c r="I456" s="79"/>
      <c r="J456" s="79"/>
      <c r="K456" s="79"/>
      <c r="L456" s="79"/>
      <c r="M456" s="79"/>
      <c r="N456" s="79"/>
      <c r="O456" s="79"/>
      <c r="P456" s="1"/>
      <c r="Q456" s="1"/>
      <c r="R456" s="1"/>
      <c r="S456" s="1"/>
      <c r="T456" s="1"/>
      <c r="U456" s="1"/>
      <c r="V456" s="1"/>
      <c r="W456" s="1"/>
    </row>
    <row r="457" spans="1:23" ht="57.6" customHeight="1" x14ac:dyDescent="0.3">
      <c r="A457" s="1"/>
      <c r="B457" s="1"/>
      <c r="C457" s="1"/>
      <c r="D457" s="1"/>
      <c r="E457" s="13"/>
      <c r="F457" s="48" t="s">
        <v>477</v>
      </c>
      <c r="G457" s="79" t="b">
        <v>0</v>
      </c>
      <c r="H457" s="79"/>
      <c r="I457" s="79"/>
      <c r="J457" s="79"/>
      <c r="K457" s="79"/>
      <c r="L457" s="79"/>
      <c r="M457" s="79"/>
      <c r="N457" s="79"/>
      <c r="O457" s="79"/>
      <c r="P457" s="1"/>
      <c r="Q457" s="1"/>
      <c r="R457" s="1"/>
      <c r="S457" s="1"/>
      <c r="T457" s="1"/>
      <c r="U457" s="1"/>
      <c r="V457" s="1"/>
      <c r="W457" s="1"/>
    </row>
    <row r="458" spans="1:23" ht="14.4" customHeight="1" x14ac:dyDescent="0.3">
      <c r="A458" s="63" t="s">
        <v>509</v>
      </c>
      <c r="B458" s="59" t="s">
        <v>478</v>
      </c>
      <c r="C458" s="56"/>
      <c r="D458" s="56"/>
      <c r="E458" s="56"/>
      <c r="F458" s="57"/>
      <c r="G458" s="79"/>
      <c r="H458" s="79" t="b">
        <f>AND(H459,H468,H472,H476,H482)</f>
        <v>0</v>
      </c>
      <c r="I458" s="79"/>
      <c r="J458" s="79"/>
      <c r="K458" s="79"/>
      <c r="L458" s="79"/>
      <c r="M458" s="79"/>
      <c r="N458" s="79"/>
      <c r="O458" s="79"/>
      <c r="P458" s="1"/>
      <c r="Q458" s="1"/>
      <c r="R458" s="1"/>
      <c r="S458" s="1"/>
      <c r="T458" s="1"/>
      <c r="U458" s="1"/>
      <c r="V458" s="1"/>
      <c r="W458" s="1"/>
    </row>
    <row r="459" spans="1:23" ht="14.4" customHeight="1" x14ac:dyDescent="0.3">
      <c r="A459" s="1"/>
      <c r="B459" s="51">
        <v>1</v>
      </c>
      <c r="C459" s="50" t="s">
        <v>117</v>
      </c>
      <c r="D459" s="50"/>
      <c r="E459" s="50"/>
      <c r="F459" s="52"/>
      <c r="G459" s="79"/>
      <c r="H459" s="79" t="b">
        <f>AND(G460:G467)</f>
        <v>0</v>
      </c>
      <c r="I459" s="79"/>
      <c r="J459" s="79"/>
      <c r="K459" s="79"/>
      <c r="L459" s="79"/>
      <c r="M459" s="79"/>
      <c r="N459" s="79"/>
      <c r="O459" s="79"/>
      <c r="P459" s="1"/>
      <c r="Q459" s="1"/>
      <c r="R459" s="1"/>
      <c r="S459" s="1"/>
      <c r="T459" s="1"/>
      <c r="U459" s="1"/>
      <c r="V459" s="1"/>
      <c r="W459" s="1"/>
    </row>
    <row r="460" spans="1:23" ht="57.6" customHeight="1" x14ac:dyDescent="0.3">
      <c r="A460" s="1"/>
      <c r="B460" s="61" t="s">
        <v>126</v>
      </c>
      <c r="C460" s="1"/>
      <c r="D460" s="1"/>
      <c r="E460" s="13"/>
      <c r="F460" s="48" t="s">
        <v>479</v>
      </c>
      <c r="G460" s="79" t="b">
        <v>0</v>
      </c>
      <c r="H460" s="79"/>
      <c r="I460" s="79"/>
      <c r="J460" s="79"/>
      <c r="K460" s="79"/>
      <c r="L460" s="79"/>
      <c r="M460" s="79"/>
      <c r="N460" s="79"/>
      <c r="O460" s="79"/>
      <c r="P460" s="1"/>
      <c r="Q460" s="1"/>
      <c r="R460" s="1"/>
      <c r="S460" s="1"/>
      <c r="T460" s="1"/>
      <c r="U460" s="1"/>
      <c r="V460" s="1"/>
      <c r="W460" s="1"/>
    </row>
    <row r="461" spans="1:23" ht="57.6" customHeight="1" x14ac:dyDescent="0.3">
      <c r="A461" s="1"/>
      <c r="B461" s="1"/>
      <c r="C461" s="1"/>
      <c r="D461" s="1"/>
      <c r="E461" s="13"/>
      <c r="F461" s="48" t="s">
        <v>480</v>
      </c>
      <c r="G461" s="79" t="b">
        <v>0</v>
      </c>
      <c r="H461" s="79"/>
      <c r="I461" s="79"/>
      <c r="J461" s="79"/>
      <c r="K461" s="79"/>
      <c r="L461" s="79"/>
      <c r="M461" s="79"/>
      <c r="N461" s="79"/>
      <c r="O461" s="79"/>
      <c r="P461" s="1"/>
      <c r="Q461" s="1"/>
      <c r="R461" s="1"/>
      <c r="S461" s="1"/>
      <c r="T461" s="1"/>
      <c r="U461" s="1"/>
      <c r="V461" s="1"/>
      <c r="W461" s="1"/>
    </row>
    <row r="462" spans="1:23" ht="57.6" customHeight="1" x14ac:dyDescent="0.3">
      <c r="A462" s="1"/>
      <c r="B462" s="1"/>
      <c r="C462" s="1"/>
      <c r="D462" s="1"/>
      <c r="E462" s="13"/>
      <c r="F462" s="48" t="s">
        <v>481</v>
      </c>
      <c r="G462" s="79" t="b">
        <v>0</v>
      </c>
      <c r="H462" s="79"/>
      <c r="I462" s="79"/>
      <c r="J462" s="79"/>
      <c r="K462" s="79"/>
      <c r="L462" s="79"/>
      <c r="M462" s="79"/>
      <c r="N462" s="79"/>
      <c r="O462" s="79"/>
      <c r="P462" s="1"/>
      <c r="Q462" s="1"/>
      <c r="R462" s="1"/>
      <c r="S462" s="1"/>
      <c r="T462" s="1"/>
      <c r="U462" s="1"/>
      <c r="V462" s="1"/>
      <c r="W462" s="1"/>
    </row>
    <row r="463" spans="1:23" ht="57.6" customHeight="1" x14ac:dyDescent="0.3">
      <c r="A463" s="1"/>
      <c r="B463" s="1"/>
      <c r="C463" s="1"/>
      <c r="D463" s="1"/>
      <c r="E463" s="13"/>
      <c r="F463" s="48" t="s">
        <v>482</v>
      </c>
      <c r="G463" s="79" t="b">
        <v>0</v>
      </c>
      <c r="H463" s="79"/>
      <c r="I463" s="79"/>
      <c r="J463" s="79"/>
      <c r="K463" s="79"/>
      <c r="L463" s="79"/>
      <c r="M463" s="79"/>
      <c r="N463" s="79"/>
      <c r="O463" s="79"/>
      <c r="P463" s="1"/>
      <c r="Q463" s="1"/>
      <c r="R463" s="1"/>
      <c r="S463" s="1"/>
      <c r="T463" s="1"/>
      <c r="U463" s="1"/>
      <c r="V463" s="1"/>
      <c r="W463" s="1"/>
    </row>
    <row r="464" spans="1:23" ht="57.6" customHeight="1" x14ac:dyDescent="0.3">
      <c r="A464" s="1"/>
      <c r="B464" s="1"/>
      <c r="C464" s="1"/>
      <c r="D464" s="1"/>
      <c r="E464" s="13"/>
      <c r="F464" s="48" t="s">
        <v>483</v>
      </c>
      <c r="G464" s="79" t="b">
        <v>0</v>
      </c>
      <c r="H464" s="79"/>
      <c r="I464" s="79"/>
      <c r="J464" s="79"/>
      <c r="K464" s="79"/>
      <c r="L464" s="79"/>
      <c r="M464" s="79"/>
      <c r="N464" s="79"/>
      <c r="O464" s="79"/>
      <c r="P464" s="1"/>
      <c r="Q464" s="1"/>
      <c r="R464" s="1"/>
      <c r="S464" s="1"/>
      <c r="T464" s="1"/>
      <c r="U464" s="1"/>
      <c r="V464" s="1"/>
      <c r="W464" s="1"/>
    </row>
    <row r="465" spans="1:23" ht="57.6" customHeight="1" x14ac:dyDescent="0.3">
      <c r="A465" s="1"/>
      <c r="B465" s="1"/>
      <c r="C465" s="1"/>
      <c r="D465" s="1"/>
      <c r="E465" s="13"/>
      <c r="F465" s="48" t="s">
        <v>484</v>
      </c>
      <c r="G465" s="79" t="b">
        <v>0</v>
      </c>
      <c r="H465" s="79"/>
      <c r="I465" s="79"/>
      <c r="J465" s="79"/>
      <c r="K465" s="79"/>
      <c r="L465" s="79"/>
      <c r="M465" s="79"/>
      <c r="N465" s="79"/>
      <c r="O465" s="79"/>
      <c r="P465" s="1"/>
      <c r="Q465" s="1"/>
      <c r="R465" s="1"/>
      <c r="S465" s="1"/>
      <c r="T465" s="1"/>
      <c r="U465" s="1"/>
      <c r="V465" s="1"/>
      <c r="W465" s="1"/>
    </row>
    <row r="466" spans="1:23" ht="57.6" customHeight="1" x14ac:dyDescent="0.3">
      <c r="A466" s="1"/>
      <c r="B466" s="1"/>
      <c r="C466" s="1"/>
      <c r="D466" s="1"/>
      <c r="E466" s="13"/>
      <c r="F466" s="48" t="s">
        <v>485</v>
      </c>
      <c r="G466" s="79" t="b">
        <v>0</v>
      </c>
      <c r="H466" s="79"/>
      <c r="I466" s="79"/>
      <c r="J466" s="79"/>
      <c r="K466" s="79"/>
      <c r="L466" s="79"/>
      <c r="M466" s="79"/>
      <c r="N466" s="79"/>
      <c r="O466" s="79"/>
      <c r="P466" s="1"/>
      <c r="Q466" s="1"/>
      <c r="R466" s="1"/>
      <c r="S466" s="1"/>
      <c r="T466" s="1"/>
      <c r="U466" s="1"/>
      <c r="V466" s="1"/>
      <c r="W466" s="1"/>
    </row>
    <row r="467" spans="1:23" ht="57.6" customHeight="1" x14ac:dyDescent="0.3">
      <c r="A467" s="1"/>
      <c r="B467" s="1"/>
      <c r="C467" s="1"/>
      <c r="D467" s="1"/>
      <c r="E467" s="13"/>
      <c r="F467" s="48" t="s">
        <v>486</v>
      </c>
      <c r="G467" s="79" t="b">
        <v>0</v>
      </c>
      <c r="H467" s="79"/>
      <c r="I467" s="79"/>
      <c r="J467" s="79"/>
      <c r="K467" s="79"/>
      <c r="L467" s="79"/>
      <c r="M467" s="79"/>
      <c r="N467" s="79"/>
      <c r="O467" s="79"/>
      <c r="P467" s="1"/>
      <c r="Q467" s="1"/>
      <c r="R467" s="1"/>
      <c r="S467" s="1"/>
      <c r="T467" s="1"/>
      <c r="U467" s="1"/>
      <c r="V467" s="1"/>
      <c r="W467" s="1"/>
    </row>
    <row r="468" spans="1:23" ht="14.4" customHeight="1" x14ac:dyDescent="0.3">
      <c r="A468" s="1"/>
      <c r="B468" s="51">
        <v>2</v>
      </c>
      <c r="C468" s="50" t="s">
        <v>118</v>
      </c>
      <c r="D468" s="50"/>
      <c r="E468" s="50"/>
      <c r="F468" s="52"/>
      <c r="G468" s="79"/>
      <c r="H468" s="79" t="b">
        <f>AND(G469:G471)</f>
        <v>0</v>
      </c>
      <c r="I468" s="79"/>
      <c r="J468" s="79"/>
      <c r="K468" s="79"/>
      <c r="L468" s="79"/>
      <c r="M468" s="79"/>
      <c r="N468" s="79"/>
      <c r="O468" s="79"/>
      <c r="P468" s="1"/>
      <c r="Q468" s="1"/>
      <c r="R468" s="1"/>
      <c r="S468" s="1"/>
      <c r="T468" s="1"/>
      <c r="U468" s="1"/>
      <c r="V468" s="1"/>
      <c r="W468" s="1"/>
    </row>
    <row r="469" spans="1:23" ht="57.6" customHeight="1" x14ac:dyDescent="0.3">
      <c r="A469" s="1"/>
      <c r="B469" s="61" t="s">
        <v>126</v>
      </c>
      <c r="C469" s="1"/>
      <c r="D469" s="1"/>
      <c r="E469" s="13"/>
      <c r="F469" s="48" t="s">
        <v>487</v>
      </c>
      <c r="G469" s="79" t="b">
        <v>0</v>
      </c>
      <c r="H469" s="79"/>
      <c r="I469" s="79"/>
      <c r="J469" s="79"/>
      <c r="K469" s="79"/>
      <c r="L469" s="79"/>
      <c r="M469" s="79"/>
      <c r="N469" s="79"/>
      <c r="O469" s="79"/>
      <c r="P469" s="1"/>
      <c r="Q469" s="1"/>
      <c r="R469" s="1"/>
      <c r="S469" s="1"/>
      <c r="T469" s="1"/>
      <c r="U469" s="1"/>
      <c r="V469" s="1"/>
      <c r="W469" s="1"/>
    </row>
    <row r="470" spans="1:23" ht="57.6" customHeight="1" x14ac:dyDescent="0.3">
      <c r="A470" s="1"/>
      <c r="B470" s="1"/>
      <c r="C470" s="1"/>
      <c r="D470" s="1"/>
      <c r="E470" s="13"/>
      <c r="F470" s="48" t="s">
        <v>488</v>
      </c>
      <c r="G470" s="79" t="b">
        <v>0</v>
      </c>
      <c r="H470" s="79"/>
      <c r="I470" s="79"/>
      <c r="J470" s="79"/>
      <c r="K470" s="79"/>
      <c r="L470" s="79"/>
      <c r="M470" s="79"/>
      <c r="N470" s="79"/>
      <c r="O470" s="79"/>
      <c r="P470" s="1"/>
      <c r="Q470" s="1"/>
      <c r="R470" s="1"/>
      <c r="S470" s="1"/>
      <c r="T470" s="1"/>
      <c r="U470" s="1"/>
      <c r="V470" s="1"/>
      <c r="W470" s="1"/>
    </row>
    <row r="471" spans="1:23" ht="57.6" customHeight="1" x14ac:dyDescent="0.3">
      <c r="A471" s="1"/>
      <c r="B471" s="1"/>
      <c r="C471" s="1"/>
      <c r="D471" s="1"/>
      <c r="E471" s="13"/>
      <c r="F471" s="48" t="s">
        <v>489</v>
      </c>
      <c r="G471" s="79" t="b">
        <v>0</v>
      </c>
      <c r="H471" s="79"/>
      <c r="I471" s="79"/>
      <c r="J471" s="79"/>
      <c r="K471" s="79"/>
      <c r="L471" s="79"/>
      <c r="M471" s="79"/>
      <c r="N471" s="79"/>
      <c r="O471" s="79"/>
      <c r="P471" s="1"/>
      <c r="Q471" s="1"/>
      <c r="R471" s="1"/>
      <c r="S471" s="1"/>
      <c r="T471" s="1"/>
      <c r="U471" s="1"/>
      <c r="V471" s="1"/>
      <c r="W471" s="1"/>
    </row>
    <row r="472" spans="1:23" ht="14.4" customHeight="1" x14ac:dyDescent="0.3">
      <c r="A472" s="1"/>
      <c r="B472" s="51">
        <v>3</v>
      </c>
      <c r="C472" s="50" t="s">
        <v>116</v>
      </c>
      <c r="D472" s="50"/>
      <c r="E472" s="50"/>
      <c r="F472" s="52"/>
      <c r="G472" s="79"/>
      <c r="H472" s="79" t="b">
        <f>AND(G473:G475)</f>
        <v>0</v>
      </c>
      <c r="I472" s="79"/>
      <c r="J472" s="79"/>
      <c r="K472" s="79"/>
      <c r="L472" s="79"/>
      <c r="M472" s="79"/>
      <c r="N472" s="79"/>
      <c r="O472" s="79"/>
      <c r="P472" s="1"/>
      <c r="Q472" s="1"/>
      <c r="R472" s="1"/>
      <c r="S472" s="1"/>
      <c r="T472" s="1"/>
      <c r="U472" s="1"/>
      <c r="V472" s="1"/>
      <c r="W472" s="1"/>
    </row>
    <row r="473" spans="1:23" ht="57.6" customHeight="1" x14ac:dyDescent="0.3">
      <c r="A473" s="1"/>
      <c r="B473" s="61" t="s">
        <v>126</v>
      </c>
      <c r="C473" s="1"/>
      <c r="D473" s="1"/>
      <c r="E473" s="13"/>
      <c r="F473" s="48" t="s">
        <v>490</v>
      </c>
      <c r="G473" s="79" t="b">
        <v>0</v>
      </c>
      <c r="H473" s="79"/>
      <c r="I473" s="79"/>
      <c r="J473" s="79"/>
      <c r="K473" s="79"/>
      <c r="L473" s="79"/>
      <c r="M473" s="79"/>
      <c r="N473" s="79"/>
      <c r="O473" s="79"/>
      <c r="P473" s="1"/>
      <c r="Q473" s="1"/>
      <c r="R473" s="1"/>
      <c r="S473" s="1"/>
      <c r="T473" s="1"/>
      <c r="U473" s="1"/>
      <c r="V473" s="1"/>
      <c r="W473" s="1"/>
    </row>
    <row r="474" spans="1:23" ht="57.6" customHeight="1" x14ac:dyDescent="0.3">
      <c r="A474" s="1"/>
      <c r="B474" s="1"/>
      <c r="C474" s="1"/>
      <c r="D474" s="1"/>
      <c r="E474" s="13"/>
      <c r="F474" s="48" t="s">
        <v>491</v>
      </c>
      <c r="G474" s="79" t="b">
        <v>0</v>
      </c>
      <c r="H474" s="79"/>
      <c r="I474" s="79"/>
      <c r="J474" s="79"/>
      <c r="K474" s="79"/>
      <c r="L474" s="79"/>
      <c r="M474" s="79"/>
      <c r="N474" s="79"/>
      <c r="O474" s="79"/>
      <c r="P474" s="1"/>
      <c r="Q474" s="1"/>
      <c r="R474" s="1"/>
      <c r="S474" s="1"/>
      <c r="T474" s="1"/>
      <c r="U474" s="1"/>
      <c r="V474" s="1"/>
      <c r="W474" s="1"/>
    </row>
    <row r="475" spans="1:23" ht="57.6" customHeight="1" x14ac:dyDescent="0.3">
      <c r="A475" s="1"/>
      <c r="B475" s="1"/>
      <c r="C475" s="1"/>
      <c r="D475" s="1"/>
      <c r="E475" s="13"/>
      <c r="F475" s="48" t="s">
        <v>492</v>
      </c>
      <c r="G475" s="79" t="b">
        <v>0</v>
      </c>
      <c r="H475" s="79"/>
      <c r="I475" s="79"/>
      <c r="J475" s="79"/>
      <c r="K475" s="79"/>
      <c r="L475" s="79"/>
      <c r="M475" s="79"/>
      <c r="N475" s="79"/>
      <c r="O475" s="79"/>
      <c r="P475" s="1"/>
      <c r="Q475" s="1"/>
      <c r="R475" s="1"/>
      <c r="S475" s="1"/>
      <c r="T475" s="1"/>
      <c r="U475" s="1"/>
      <c r="V475" s="1"/>
      <c r="W475" s="1"/>
    </row>
    <row r="476" spans="1:23" ht="14.4" customHeight="1" x14ac:dyDescent="0.3">
      <c r="A476" s="1"/>
      <c r="B476" s="51">
        <v>4</v>
      </c>
      <c r="C476" s="50" t="s">
        <v>115</v>
      </c>
      <c r="D476" s="50"/>
      <c r="E476" s="50"/>
      <c r="F476" s="52"/>
      <c r="G476" s="79"/>
      <c r="H476" s="79" t="b">
        <f>AND(G477:G481)</f>
        <v>0</v>
      </c>
      <c r="I476" s="79"/>
      <c r="J476" s="79"/>
      <c r="K476" s="79"/>
      <c r="L476" s="79"/>
      <c r="M476" s="79"/>
      <c r="N476" s="79"/>
      <c r="O476" s="79"/>
      <c r="P476" s="1"/>
      <c r="Q476" s="1"/>
      <c r="R476" s="1"/>
      <c r="S476" s="1"/>
      <c r="T476" s="1"/>
      <c r="U476" s="1"/>
      <c r="V476" s="1"/>
      <c r="W476" s="1"/>
    </row>
    <row r="477" spans="1:23" ht="57.6" customHeight="1" x14ac:dyDescent="0.3">
      <c r="A477" s="1"/>
      <c r="B477" s="61" t="s">
        <v>126</v>
      </c>
      <c r="C477" s="1"/>
      <c r="D477" s="1"/>
      <c r="E477" s="13"/>
      <c r="F477" s="48" t="s">
        <v>493</v>
      </c>
      <c r="G477" s="79" t="b">
        <v>0</v>
      </c>
      <c r="H477" s="79"/>
      <c r="I477" s="79"/>
      <c r="J477" s="79"/>
      <c r="K477" s="79"/>
      <c r="L477" s="79"/>
      <c r="M477" s="79"/>
      <c r="N477" s="79"/>
      <c r="O477" s="79"/>
      <c r="P477" s="1"/>
      <c r="Q477" s="1"/>
      <c r="R477" s="1"/>
      <c r="S477" s="1"/>
      <c r="T477" s="1"/>
      <c r="U477" s="1"/>
      <c r="V477" s="1"/>
      <c r="W477" s="1"/>
    </row>
    <row r="478" spans="1:23" ht="57.6" customHeight="1" x14ac:dyDescent="0.3">
      <c r="A478" s="1"/>
      <c r="B478" s="1"/>
      <c r="C478" s="1"/>
      <c r="D478" s="1"/>
      <c r="E478" s="13"/>
      <c r="F478" s="48" t="s">
        <v>494</v>
      </c>
      <c r="G478" s="79" t="b">
        <v>0</v>
      </c>
      <c r="H478" s="79"/>
      <c r="I478" s="79"/>
      <c r="J478" s="79"/>
      <c r="K478" s="79"/>
      <c r="L478" s="79"/>
      <c r="M478" s="79"/>
      <c r="N478" s="79"/>
      <c r="O478" s="79"/>
      <c r="P478" s="1"/>
      <c r="Q478" s="1"/>
      <c r="R478" s="1"/>
      <c r="S478" s="1"/>
      <c r="T478" s="1"/>
      <c r="U478" s="1"/>
      <c r="V478" s="1"/>
      <c r="W478" s="1"/>
    </row>
    <row r="479" spans="1:23" ht="57.6" customHeight="1" x14ac:dyDescent="0.3">
      <c r="A479" s="1"/>
      <c r="B479" s="1"/>
      <c r="C479" s="1"/>
      <c r="D479" s="1"/>
      <c r="E479" s="13"/>
      <c r="F479" s="48" t="s">
        <v>495</v>
      </c>
      <c r="G479" s="79" t="b">
        <v>0</v>
      </c>
      <c r="H479" s="79"/>
      <c r="I479" s="79"/>
      <c r="J479" s="79"/>
      <c r="K479" s="79"/>
      <c r="L479" s="79"/>
      <c r="M479" s="79"/>
      <c r="N479" s="79"/>
      <c r="O479" s="79"/>
      <c r="P479" s="1"/>
      <c r="Q479" s="1"/>
      <c r="R479" s="1"/>
      <c r="S479" s="1"/>
      <c r="T479" s="1"/>
      <c r="U479" s="1"/>
      <c r="V479" s="1"/>
      <c r="W479" s="1"/>
    </row>
    <row r="480" spans="1:23" ht="57.6" customHeight="1" x14ac:dyDescent="0.3">
      <c r="A480" s="1"/>
      <c r="B480" s="1"/>
      <c r="C480" s="1"/>
      <c r="D480" s="1"/>
      <c r="E480" s="13"/>
      <c r="F480" s="48" t="s">
        <v>496</v>
      </c>
      <c r="G480" s="79" t="b">
        <v>0</v>
      </c>
      <c r="H480" s="79"/>
      <c r="I480" s="79"/>
      <c r="J480" s="79"/>
      <c r="K480" s="79"/>
      <c r="L480" s="79"/>
      <c r="M480" s="79"/>
      <c r="N480" s="79"/>
      <c r="O480" s="79"/>
      <c r="P480" s="1"/>
      <c r="Q480" s="1"/>
      <c r="R480" s="1"/>
      <c r="S480" s="1"/>
      <c r="T480" s="1"/>
      <c r="U480" s="1"/>
      <c r="V480" s="1"/>
      <c r="W480" s="1"/>
    </row>
    <row r="481" spans="1:23" ht="57.6" customHeight="1" x14ac:dyDescent="0.3">
      <c r="A481" s="1"/>
      <c r="B481" s="1"/>
      <c r="C481" s="1"/>
      <c r="D481" s="1"/>
      <c r="E481" s="13"/>
      <c r="F481" s="48" t="s">
        <v>497</v>
      </c>
      <c r="G481" s="79" t="b">
        <v>0</v>
      </c>
      <c r="H481" s="79"/>
      <c r="I481" s="79"/>
      <c r="J481" s="79"/>
      <c r="K481" s="79"/>
      <c r="L481" s="79"/>
      <c r="M481" s="79"/>
      <c r="N481" s="79"/>
      <c r="O481" s="79"/>
      <c r="P481" s="1"/>
      <c r="Q481" s="1"/>
      <c r="R481" s="1"/>
      <c r="S481" s="1"/>
      <c r="T481" s="1"/>
      <c r="U481" s="1"/>
      <c r="V481" s="1"/>
      <c r="W481" s="1"/>
    </row>
    <row r="482" spans="1:23" ht="14.4" customHeight="1" x14ac:dyDescent="0.3">
      <c r="A482" s="1"/>
      <c r="B482" s="51">
        <v>5</v>
      </c>
      <c r="C482" s="50" t="s">
        <v>114</v>
      </c>
      <c r="D482" s="50"/>
      <c r="E482" s="50"/>
      <c r="F482" s="52"/>
      <c r="G482" s="79"/>
      <c r="H482" s="79" t="b">
        <f>AND(G483:G484)</f>
        <v>0</v>
      </c>
      <c r="I482" s="79"/>
      <c r="J482" s="79"/>
      <c r="K482" s="79"/>
      <c r="L482" s="79"/>
      <c r="M482" s="79"/>
      <c r="N482" s="79"/>
      <c r="O482" s="79"/>
      <c r="P482" s="1"/>
      <c r="Q482" s="1"/>
      <c r="R482" s="1"/>
      <c r="S482" s="1"/>
      <c r="T482" s="1"/>
      <c r="U482" s="1"/>
      <c r="V482" s="1"/>
      <c r="W482" s="1"/>
    </row>
    <row r="483" spans="1:23" ht="57.6" customHeight="1" x14ac:dyDescent="0.3">
      <c r="A483" s="1"/>
      <c r="B483" s="61" t="s">
        <v>126</v>
      </c>
      <c r="C483" s="1"/>
      <c r="D483" s="1"/>
      <c r="E483" s="13"/>
      <c r="F483" s="48" t="s">
        <v>498</v>
      </c>
      <c r="G483" s="79" t="b">
        <v>0</v>
      </c>
      <c r="H483" s="79"/>
      <c r="I483" s="79"/>
      <c r="J483" s="79"/>
      <c r="K483" s="79"/>
      <c r="L483" s="79"/>
      <c r="M483" s="79"/>
      <c r="N483" s="79"/>
      <c r="O483" s="79"/>
      <c r="P483" s="1"/>
      <c r="Q483" s="1"/>
      <c r="R483" s="1"/>
      <c r="S483" s="1"/>
      <c r="T483" s="1"/>
      <c r="U483" s="1"/>
      <c r="V483" s="1"/>
      <c r="W483" s="1"/>
    </row>
    <row r="484" spans="1:23" ht="57.6" customHeight="1" x14ac:dyDescent="0.3">
      <c r="A484" s="1"/>
      <c r="B484" s="1"/>
      <c r="C484" s="1"/>
      <c r="D484" s="1"/>
      <c r="E484" s="13"/>
      <c r="F484" s="48" t="s">
        <v>499</v>
      </c>
      <c r="G484" s="79" t="b">
        <v>0</v>
      </c>
      <c r="H484" s="79"/>
      <c r="I484" s="79"/>
      <c r="J484" s="79"/>
      <c r="K484" s="79"/>
      <c r="L484" s="79"/>
      <c r="M484" s="79"/>
      <c r="N484" s="79"/>
      <c r="O484" s="79"/>
      <c r="P484" s="1"/>
      <c r="Q484" s="1"/>
      <c r="R484" s="1"/>
      <c r="S484" s="1"/>
      <c r="T484" s="1"/>
      <c r="U484" s="1"/>
      <c r="V484" s="1"/>
      <c r="W484" s="1"/>
    </row>
    <row r="485" spans="1:23" ht="57.6"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row>
    <row r="486" spans="1:23" ht="57.6"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row>
    <row r="487" spans="1:23" ht="57.6"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row>
    <row r="488" spans="1:23" ht="57.6"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row>
    <row r="489" spans="1:23" ht="57.6"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row>
    <row r="490" spans="1:23" ht="57.6"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row>
    <row r="491" spans="1:23" ht="57.6"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row>
    <row r="492" spans="1:23" ht="57.6"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row>
    <row r="493" spans="1:23" ht="57.6"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row>
    <row r="494" spans="1:23" ht="57.6"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row>
    <row r="495" spans="1:23" ht="57.6"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row>
    <row r="496" spans="1:23" ht="57.6"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row>
    <row r="497" spans="1:23" ht="57.6"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row>
    <row r="498" spans="1:23" ht="57.6"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row>
    <row r="499" spans="1:23" ht="57.6"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row>
    <row r="500" spans="1:23" ht="57.6"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row>
  </sheetData>
  <phoneticPr fontId="10" type="noConversion"/>
  <hyperlinks>
    <hyperlink ref="F29" location="'F1'!A1" display="'F1'!A1" xr:uid="{D12E792B-4491-4872-8A87-CCFD5B392CCF}"/>
    <hyperlink ref="F33" location="'F1'!A1" display="'F1'!A1" xr:uid="{0828B646-66B4-4F26-B068-696F8688E2F5}"/>
    <hyperlink ref="F37" location="'F1'!A1" display="'F1'!A1" xr:uid="{1DABFB9B-26EC-4449-A27E-199FED2F0F6E}"/>
    <hyperlink ref="F51" location="'F1'!A1" display="'F1'!A1" xr:uid="{4ACA2D5A-E27E-4A91-A0E9-975725A17B0C}"/>
    <hyperlink ref="F56" location="'F1'!A1" display="'F1'!A1" xr:uid="{2DE31EBA-BDD2-4B20-AFE7-1BD34A67F01F}"/>
    <hyperlink ref="F62" location="'F1'!A1" display="'F1'!A1" xr:uid="{463581EA-389E-4A36-9542-39B76423A00C}"/>
    <hyperlink ref="F66" location="'F1'!A1" display="'F1'!A1" xr:uid="{59C54A65-ECF7-498D-9B12-DE2D8E0D9B4A}"/>
    <hyperlink ref="F71" location="'F1'!A1" display="'F1'!A1" xr:uid="{023986AD-69AC-4322-80D7-048BE18D771F}"/>
    <hyperlink ref="F76" location="'F1'!A1" display="'F1'!A1" xr:uid="{4ABF1213-9228-46B9-AB69-1F23454FDB0A}"/>
    <hyperlink ref="F83" location="'F1'!A1" display="'F1'!A1" xr:uid="{3871990F-7A2F-4E96-A002-ACF5109611B5}"/>
    <hyperlink ref="F87" location="'F1'!A1" display="'F1'!A1" xr:uid="{2A28A8D9-6918-401A-966B-C5AF336ADD3B}"/>
    <hyperlink ref="F91" location="'F1'!A1" display="'F1'!A1" xr:uid="{70892B26-8BA3-4075-B9FE-B910AAC20B07}"/>
    <hyperlink ref="F97" location="'F1'!A1" display="'F1'!A1" xr:uid="{4731EBC0-1AB7-4DF8-89C0-D216D8BD8343}"/>
    <hyperlink ref="F105" location="'F1'!A1" display="'F1'!A1" xr:uid="{9E401022-7774-4E6E-8084-208F71ED344D}"/>
    <hyperlink ref="F187" location="'F1'!A1" display="'F1'!A1" xr:uid="{CB9CBC0F-7C32-49EE-B94A-79DCAB6A3671}"/>
    <hyperlink ref="F192" location="'F1'!A1" display="'F1'!A1" xr:uid="{8A8C82E2-CBB0-4145-A37A-8530713D45D3}"/>
    <hyperlink ref="F201" location="'F1'!A1" display="'F1'!A1" xr:uid="{C04D1A2B-7009-41FA-B9B1-C27D3486923F}"/>
    <hyperlink ref="F215" location="'F1'!A1" display="'F1'!A1" xr:uid="{4B6C58A3-6905-42D0-B787-FA00B766D0C5}"/>
    <hyperlink ref="F228" location="'F1'!A1" display="'F1'!A1" xr:uid="{4D49C068-5661-45DD-99F3-7E9A192DE304}"/>
    <hyperlink ref="F240" location="'F1'!A1" display="'F1'!A1" xr:uid="{432D8097-FDDE-4B8F-816F-6240986F1793}"/>
    <hyperlink ref="F248" location="'F1'!A1" display="'F1'!A1" xr:uid="{4AC1DC4B-7067-48AD-872F-53958BFD49D5}"/>
    <hyperlink ref="F257" location="'F1'!A1" display="'F1'!A1" xr:uid="{02D9BB03-D52A-43FE-A387-EB3FE44218A1}"/>
    <hyperlink ref="F263" location="'F1'!A1" display="'F1'!A1" xr:uid="{DFB403D0-DFB2-4B0E-85AC-0E69036E0069}"/>
    <hyperlink ref="F269" location="'F1'!A1" display="'F1'!A1" xr:uid="{DB12FA37-36CC-44FE-B8EC-A90A6E38D201}"/>
    <hyperlink ref="F292" location="'F1'!A1" display="'F1'!A1" xr:uid="{E011770D-820A-4E90-AF7E-41DE9BF7E736}"/>
    <hyperlink ref="F295" location="'F1'!A1" display="'F1'!A1" xr:uid="{023A1DCF-4206-45FA-880B-3C441A386FC6}"/>
    <hyperlink ref="F298" location="'F1'!A1" display="'F1'!A1" xr:uid="{85C7C384-9581-46BD-8126-336F94FBED52}"/>
    <hyperlink ref="B34" location="'F1'!A1" display="'F1'!A1" xr:uid="{28D2B0D1-7296-4F91-9332-DFB11DC23A71}"/>
    <hyperlink ref="B38" location="'F1'!A1" display="'F1'!A1" xr:uid="{46599FA3-228E-43F8-A081-D6F95BB9D222}"/>
    <hyperlink ref="B42" location="'F1'!A1" display="'F1'!A1" xr:uid="{200FF8DC-A05E-4002-8586-82F65732833E}"/>
    <hyperlink ref="B45" location="'F1'!A1" display="'F1'!A1" xr:uid="{ACA15713-B26D-4FDE-B605-D9FFE66E6605}"/>
    <hyperlink ref="B52" location="'F1'!A1" display="'F1'!A1" xr:uid="{FF49A58F-7462-4C6D-AE6F-13FFF1841DE9}"/>
    <hyperlink ref="B57" location="'F1'!A1" display="'F1'!A1" xr:uid="{33ED3517-7ED1-4D22-BB09-57C9A07293FC}"/>
    <hyperlink ref="B63" location="'F1'!A1" display="'F1'!A1" xr:uid="{45B4E0B4-868D-4D28-A1AA-42FDA31D4869}"/>
    <hyperlink ref="B67" location="'F1'!A1" display="'F1'!A1" xr:uid="{8A4D2585-5103-47CA-9BA6-E1412BF9A01F}"/>
    <hyperlink ref="B72" location="'F1'!A1" display="'F1'!A1" xr:uid="{62A2143B-0B09-45FC-A262-DD495B112F7D}"/>
    <hyperlink ref="B77" location="'F1'!A1" display="'F1'!A1" xr:uid="{C2FC9589-1CC4-46D6-B293-32AE0AF4E98F}"/>
    <hyperlink ref="B84" location="'F1'!A1" display="'F1'!A1" xr:uid="{9611E9EF-9CA3-4A1D-9718-9816089268E2}"/>
    <hyperlink ref="B88" location="'F1'!A1" display="'F1'!A1" xr:uid="{39C1C377-3388-45C7-A699-5B8767E5D9C7}"/>
    <hyperlink ref="B92" location="'F1'!A1" display="'F1'!A1" xr:uid="{DEF8B24D-1528-4238-BF45-1EADFF9AD802}"/>
    <hyperlink ref="B98" location="'F1'!A1" display="'F1'!A1" xr:uid="{065ECC49-12C2-4C1A-B2DB-76A5CDC09E3D}"/>
    <hyperlink ref="B106" location="'F1'!A1" display="'F1'!A1" xr:uid="{0C8A6D4B-7AE3-421A-8D9F-FB8EC0BAC603}"/>
    <hyperlink ref="B117" location="'F1'!A1" display="'F1'!A1" xr:uid="{ADDBF432-3315-455F-BAA9-1F19F359CC48}"/>
    <hyperlink ref="B121" location="'F1'!A1" display="'F1'!A1" xr:uid="{B7AD90EF-8635-4671-B4CF-3ED7CBC3F78F}"/>
    <hyperlink ref="B125" location="'F1'!A1" display="'F1'!A1" xr:uid="{976B66D9-C3E4-4C88-B289-0519043F5BA9}"/>
    <hyperlink ref="B129" location="'F1'!A1" display="'F1'!A1" xr:uid="{DA322904-88AE-4F2F-A5D0-FC9727132120}"/>
    <hyperlink ref="B133" location="'F1'!A1" display="'F1'!A1" xr:uid="{34DEA4F7-167A-4893-880F-00D0700A1A02}"/>
    <hyperlink ref="B138" location="'F1'!A1" display="'F1'!A1" xr:uid="{B6C803CE-FE30-4E80-B764-9153CCEB9D6E}"/>
    <hyperlink ref="B143" location="'F1'!A1" display="'F1'!A1" xr:uid="{4F442569-6379-465C-9212-62BAA010BABF}"/>
    <hyperlink ref="B147" location="'F1'!A1" display="'F1'!A1" xr:uid="{93636F70-11EA-4CCB-B96A-39D155BC9820}"/>
    <hyperlink ref="B153" location="'F1'!A1" display="'F1'!A1" xr:uid="{DD97B937-C742-4204-87E7-D1AF41E0CA45}"/>
    <hyperlink ref="B159" location="'F1'!A1" display="'F1'!A1" xr:uid="{4D222CA5-B368-4E63-8E20-5AD28EC48013}"/>
    <hyperlink ref="B165" location="'F1'!A1" display="'F1'!A1" xr:uid="{2AA603E6-BFA3-42E7-9FA0-837A85C2CB3B}"/>
    <hyperlink ref="B170" location="'F1'!A1" display="'F1'!A1" xr:uid="{CF3D1550-698F-4345-A82B-FCF2B94E33ED}"/>
    <hyperlink ref="B173" location="'F1'!A1" display="'F1'!A1" xr:uid="{DA1455FF-334C-45A0-8DF0-6E91E2BC6622}"/>
    <hyperlink ref="B177" location="'F1'!A1" display="'F1'!A1" xr:uid="{D9F59F32-02C4-49DC-A865-64E525918299}"/>
    <hyperlink ref="B181" location="'F1'!A1" display="'F1'!A1" xr:uid="{F7B3BA5D-87A2-4B41-8B30-CF585CA5914C}"/>
    <hyperlink ref="B188" location="'F1'!A1" display="'F1'!A1" xr:uid="{884FE29F-929E-4131-BD20-6A8B712247DD}"/>
    <hyperlink ref="B193" location="'F1'!A1" display="'F1'!A1" xr:uid="{4436BAFB-0E28-4A2F-942D-A05EE840A6D1}"/>
    <hyperlink ref="B202" location="'F1'!A1" display="'F1'!A1" xr:uid="{D291ADEC-73C2-4D19-A6F0-53F8AB4A6EB1}"/>
    <hyperlink ref="B209" location="'F1'!A1" display="'F1'!A1" xr:uid="{9289DAA8-EF6E-4B0F-BF7C-851EDD88DD7A}"/>
    <hyperlink ref="B216" location="'F1'!A1" display="'F1'!A1" xr:uid="{73DB2467-403B-4AFB-A356-88A17FC823DD}"/>
    <hyperlink ref="B229" location="'F1'!A1" display="'F1'!A1" xr:uid="{18E6AB48-436F-4B5D-8C53-EB9A31316772}"/>
    <hyperlink ref="B241" location="'F1'!A1" display="'F1'!A1" xr:uid="{4075460D-9E9D-4AC1-A041-DEA15C6F1D0C}"/>
    <hyperlink ref="B249" location="'F1'!A1" display="'F1'!A1" xr:uid="{60F2233F-018E-402B-B01F-CAFD0723E2BD}"/>
    <hyperlink ref="B258" location="'F1'!A1" display="'F1'!A1" xr:uid="{6876C97B-413F-4714-97D7-01954F1F9D1B}"/>
    <hyperlink ref="B264" location="'F1'!A1" display="'F1'!A1" xr:uid="{32749DAA-226E-44EA-9284-5B876A7E9ACD}"/>
    <hyperlink ref="B270" location="'F1'!A1" display="'F1'!A1" xr:uid="{EB9FFD35-42BB-4BDD-B2DA-5CA70E32A6EC}"/>
    <hyperlink ref="B276" location="'F1'!A1" display="'F1'!A1" xr:uid="{D246AFF2-2672-42CC-988E-7066353C0C8E}"/>
    <hyperlink ref="B293" location="'F1'!A1" display="'F1'!A1" xr:uid="{159C0976-14A7-4474-B249-2DBFC5061B72}"/>
    <hyperlink ref="B296" location="'F1'!A1" display="'F1'!A1" xr:uid="{364A3854-DAD1-4265-A9A3-7A49BC2666E8}"/>
    <hyperlink ref="B299" location="'F1'!A1" display="'F1'!A1" xr:uid="{0BB1DC47-D12F-42C3-9C1B-A133222BB314}"/>
    <hyperlink ref="B303" location="'F1'!A1" display="'F1'!A1" xr:uid="{F01DF09C-6BB1-4215-8C2F-280F40C2E946}"/>
    <hyperlink ref="B307" location="'F1'!A1" display="'F1'!A1" xr:uid="{12915415-252D-4156-90EA-44B5886349A1}"/>
    <hyperlink ref="B310" location="'F1'!A1" display="'F1'!A1" xr:uid="{E8B25A1F-C62A-48AE-8DDA-85DA33E123EA}"/>
    <hyperlink ref="B314" location="'F1'!A1" display="'F1'!A1" xr:uid="{722D7000-DAF3-4F24-B303-026F83709147}"/>
    <hyperlink ref="B317" location="'F1'!A1" display="'F1'!A1" xr:uid="{F2A29896-2E26-47FC-918F-7D16BC056A8D}"/>
    <hyperlink ref="B320" location="'F1'!A1" display="'F1'!A1" xr:uid="{95FA6831-169D-485F-B7B0-40BE7F4B44BC}"/>
    <hyperlink ref="B324" location="'F1'!A1" display="'F1'!A1" xr:uid="{77CA69AA-C151-4930-B04F-10C93CD60166}"/>
    <hyperlink ref="B328" location="'F1'!A1" display="'F1'!A1" xr:uid="{85E97DA3-7035-4388-8C49-DD14404816E5}"/>
    <hyperlink ref="B331" location="'F1'!A1" display="'F1'!A1" xr:uid="{DF60E658-0EB1-4572-B9B6-93D39EA177E8}"/>
    <hyperlink ref="B335" location="'F1'!A1" display="'F1'!A1" xr:uid="{71F1D81E-EF99-49CE-9B68-6399640C5BD7}"/>
    <hyperlink ref="B340" location="'F1'!A1" display="'F1'!A1" xr:uid="{E04C6424-B571-400F-823B-3434718B79D2}"/>
    <hyperlink ref="B344" location="'F1'!A1" display="'F1'!A1" xr:uid="{00DF2BE2-E42B-44C2-9F63-B00C658D555C}"/>
    <hyperlink ref="B346" location="'F1'!A1" display="'F1'!A1" xr:uid="{CD1D0AEF-0593-43B9-95C0-D2AEC8F14DD7}"/>
    <hyperlink ref="B350" location="'F1'!A1" display="'F1'!A1" xr:uid="{85DF9812-48BC-4C6F-AF26-4C7895FE2D00}"/>
    <hyperlink ref="B353" location="'F1'!A1" display="'F1'!A1" xr:uid="{1E4AB172-B190-4BF0-B2C3-0CD365C60DC6}"/>
    <hyperlink ref="B358" location="'F1'!A1" display="'F1'!A1" xr:uid="{86D38891-F3BE-4A32-A876-CB41629F172D}"/>
    <hyperlink ref="B366" location="'F1'!A1" display="'F1'!A1" xr:uid="{56FEE8B8-AF35-4017-9711-4A65D7BF4D27}"/>
    <hyperlink ref="B369" location="'F1'!A1" display="'F1'!A1" xr:uid="{FDCD1934-7FBF-4217-B1B2-5C622DFD9A37}"/>
    <hyperlink ref="B373" location="'F1'!A1" display="'F1'!A1" xr:uid="{9A78D35C-4E80-4D68-AECC-7E6205C7CB33}"/>
    <hyperlink ref="B376" location="'F1'!A1" display="'F1'!A1" xr:uid="{39EFB107-611C-4390-AC8B-020E2947796E}"/>
    <hyperlink ref="B379" location="'F1'!A1" display="'F1'!A1" xr:uid="{68BC9245-D341-40B0-B55E-3113A9C0AA94}"/>
    <hyperlink ref="B382" location="'F1'!A1" display="'F1'!A1" xr:uid="{1723E27C-2B66-4EDC-BFB7-67632B3E2D13}"/>
    <hyperlink ref="B385" location="'F1'!A1" display="'F1'!A1" xr:uid="{D2B92EDE-F9F0-4717-9E8B-83E09B427557}"/>
    <hyperlink ref="B388" location="'F1'!A1" display="'F1'!A1" xr:uid="{AEA98463-320F-4B14-A9C5-3E33F70B9C76}"/>
    <hyperlink ref="B392" location="'F1'!A1" display="'F1'!A1" xr:uid="{06A376A0-0A90-491E-AB1D-0975C5322A7A}"/>
    <hyperlink ref="B395" location="'F1'!A1" display="'F1'!A1" xr:uid="{A2F4B4C8-AC39-4A78-8486-76927E81542C}"/>
    <hyperlink ref="B399" location="'F1'!A1" display="'F1'!A1" xr:uid="{D412D5DE-06E2-40BF-BC4A-A5AA7A10C478}"/>
    <hyperlink ref="B403" location="'F1'!A1" display="'F1'!A1" xr:uid="{8F48495F-EC02-4E60-9CF8-81FD13E5F824}"/>
    <hyperlink ref="B406" location="'F1'!A1" display="'F1'!A1" xr:uid="{A33CF777-D691-4B27-BB27-9829DC4EA1AC}"/>
    <hyperlink ref="B410" location="'F1'!A1" display="'F1'!A1" xr:uid="{F2325B36-030B-4692-82DD-608B56258C18}"/>
    <hyperlink ref="B415" location="'F1'!A1" display="'F1'!A1" xr:uid="{811D2947-8992-4F77-A1FF-EC660F5C1640}"/>
    <hyperlink ref="B419" location="'F1'!A1" display="'F1'!A1" xr:uid="{65C28CE4-C599-479A-85BB-425109DF2D6E}"/>
    <hyperlink ref="B423" location="'F1'!A1" display="'F1'!A1" xr:uid="{6B64ADF0-371E-4EB6-9C28-81925327E699}"/>
    <hyperlink ref="B431" location="'F1'!A1" display="'F1'!A1" xr:uid="{63FB3151-B03B-42DB-89E8-C86860A735A2}"/>
    <hyperlink ref="B438" location="'F1'!A1" display="'F1'!A1" xr:uid="{6F06A4A0-C6CF-4C3C-959C-221F37F2432B}"/>
    <hyperlink ref="B447" location="'F1'!A1" display="'F1'!A1" xr:uid="{E401B2CB-866E-44DA-BED6-D6668E156511}"/>
    <hyperlink ref="B451" location="'F1'!A1" display="'F1'!A1" xr:uid="{759AEAF9-2835-4E17-B8D2-1965BD0B7234}"/>
    <hyperlink ref="B460" location="'F1'!A1" display="'F1'!A1" xr:uid="{94C7A407-E242-43F7-9A19-61B87CA62BDF}"/>
    <hyperlink ref="B469" location="'F1'!A1" display="'F1'!A1" xr:uid="{0BC1CD0E-70D7-4BC7-B421-7017E49F7260}"/>
    <hyperlink ref="B473" location="'F1'!A1" display="'F1'!A1" xr:uid="{40135E1D-3F4E-4349-9C5E-59E5084BFB8C}"/>
    <hyperlink ref="B477" location="'F1'!A1" display="'F1'!A1" xr:uid="{FA80935B-4077-431A-BB6A-17C5C112E751}"/>
    <hyperlink ref="B483" location="'F1'!A1" display="'F1'!A1" xr:uid="{0CE1938F-507F-438B-891D-D4F1ADF3E487}"/>
    <hyperlink ref="J3" location="'F2'!A5" display="'F2'!A5" xr:uid="{96FC7723-7721-43B8-AFB4-FFF5F752BA67}"/>
    <hyperlink ref="K3" location="'F2'!A55" display="'F2'!A55" xr:uid="{64123244-D7B7-4F9A-B417-405311EFD969}"/>
    <hyperlink ref="L3" location="'F2'!A96" display="'F2'!A96" xr:uid="{5A97FBDF-3261-4B5D-BF4F-30815E480A1A}"/>
    <hyperlink ref="M3" location="'F2'!A115" display="'F2'!A115" xr:uid="{0AAE4ECB-9233-4809-A268-0AA06A42E515}"/>
    <hyperlink ref="N3" location="'F2'!A145" display="'F2'!A145" xr:uid="{A7C17012-F72A-4F7C-941B-61C5011CADD0}"/>
    <hyperlink ref="O3" location="'F2'!A186" display="'F2'!A186" xr:uid="{BB81F147-DA1E-4DAB-951D-D95568788F51}"/>
    <hyperlink ref="P3" location="'F2'!A214" display="'F2'!A214" xr:uid="{D24EDDE8-4A96-48A6-AB56-62B0D87775C1}"/>
    <hyperlink ref="Q3" location="'F2'!A290" display="'F2'!A290" xr:uid="{CCABA7F6-8632-476C-A224-84EC8F52F0F3}"/>
    <hyperlink ref="R3" location="'F2'!A364" display="'F2'!A364" xr:uid="{C03CC650-81A7-44A0-A2D7-461BFADB0F3F}"/>
    <hyperlink ref="S3" location="'F2'!A397" display="'F2'!A397" xr:uid="{64A283E9-D2F9-43D9-963F-B6BD19599778}"/>
    <hyperlink ref="T3" location="'F2'!A429" display="'F2'!A429" xr:uid="{A21A4BF3-0736-4486-B794-B74DB702FB8F}"/>
    <hyperlink ref="U3" location="'F2'!A458" display="'F2'!A458" xr:uid="{30B4D007-AEB5-4F12-AF37-2ACF70EA0E34}"/>
    <hyperlink ref="B7" location="'F1'!B9" display="'F1'!B9" xr:uid="{5C57E55E-AC89-4BCF-9594-A1B5AC0F0798}"/>
    <hyperlink ref="B13" location="'F2'!B15" display="'F2'!B15" xr:uid="{3815160C-82F5-4863-9226-3FA683912410}"/>
    <hyperlink ref="B17" location="'F1'!B19" display="'F1'!B19" xr:uid="{F4B30192-F205-4844-94A8-09BC08B92C04}"/>
    <hyperlink ref="B22" location="'F1'!B24" display="'F1'!B24" xr:uid="{95066FD9-ABA0-48FF-A9BC-FC2618A4E36C}"/>
    <hyperlink ref="B26" location="'F1'!B28" display="'F1'!B28" xr:uid="{0B7BF2F5-262E-452D-AAD9-4CE219DA62DB}"/>
    <hyperlink ref="B30" location="'F1'!B32" display="'F1'!B32" xr:uid="{EDD942C4-6DC1-4386-8FBB-EE61F58C42C7}"/>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Check Box 3">
              <controlPr defaultSize="0" autoFill="0" autoLine="0" autoPict="0">
                <anchor moveWithCells="1">
                  <from>
                    <xdr:col>4</xdr:col>
                    <xdr:colOff>281940</xdr:colOff>
                    <xdr:row>6</xdr:row>
                    <xdr:rowOff>198120</xdr:rowOff>
                  </from>
                  <to>
                    <xdr:col>4</xdr:col>
                    <xdr:colOff>518160</xdr:colOff>
                    <xdr:row>6</xdr:row>
                    <xdr:rowOff>533400</xdr:rowOff>
                  </to>
                </anchor>
              </controlPr>
            </control>
          </mc:Choice>
        </mc:AlternateContent>
        <mc:AlternateContent xmlns:mc="http://schemas.openxmlformats.org/markup-compatibility/2006">
          <mc:Choice Requires="x14">
            <control shapeId="2052" r:id="rId4" name="Check Box 4">
              <controlPr defaultSize="0" autoFill="0" autoLine="0" autoPict="0">
                <anchor moveWithCells="1">
                  <from>
                    <xdr:col>4</xdr:col>
                    <xdr:colOff>281940</xdr:colOff>
                    <xdr:row>7</xdr:row>
                    <xdr:rowOff>198120</xdr:rowOff>
                  </from>
                  <to>
                    <xdr:col>4</xdr:col>
                    <xdr:colOff>518160</xdr:colOff>
                    <xdr:row>7</xdr:row>
                    <xdr:rowOff>533400</xdr:rowOff>
                  </to>
                </anchor>
              </controlPr>
            </control>
          </mc:Choice>
        </mc:AlternateContent>
        <mc:AlternateContent xmlns:mc="http://schemas.openxmlformats.org/markup-compatibility/2006">
          <mc:Choice Requires="x14">
            <control shapeId="2053" r:id="rId5" name="Check Box 5">
              <controlPr defaultSize="0" autoFill="0" autoLine="0" autoPict="0">
                <anchor moveWithCells="1">
                  <from>
                    <xdr:col>4</xdr:col>
                    <xdr:colOff>281940</xdr:colOff>
                    <xdr:row>8</xdr:row>
                    <xdr:rowOff>198120</xdr:rowOff>
                  </from>
                  <to>
                    <xdr:col>4</xdr:col>
                    <xdr:colOff>518160</xdr:colOff>
                    <xdr:row>8</xdr:row>
                    <xdr:rowOff>533400</xdr:rowOff>
                  </to>
                </anchor>
              </controlPr>
            </control>
          </mc:Choice>
        </mc:AlternateContent>
        <mc:AlternateContent xmlns:mc="http://schemas.openxmlformats.org/markup-compatibility/2006">
          <mc:Choice Requires="x14">
            <control shapeId="2054" r:id="rId6" name="Check Box 6">
              <controlPr defaultSize="0" autoFill="0" autoLine="0" autoPict="0">
                <anchor moveWithCells="1">
                  <from>
                    <xdr:col>4</xdr:col>
                    <xdr:colOff>281940</xdr:colOff>
                    <xdr:row>9</xdr:row>
                    <xdr:rowOff>198120</xdr:rowOff>
                  </from>
                  <to>
                    <xdr:col>4</xdr:col>
                    <xdr:colOff>518160</xdr:colOff>
                    <xdr:row>9</xdr:row>
                    <xdr:rowOff>533400</xdr:rowOff>
                  </to>
                </anchor>
              </controlPr>
            </control>
          </mc:Choice>
        </mc:AlternateContent>
        <mc:AlternateContent xmlns:mc="http://schemas.openxmlformats.org/markup-compatibility/2006">
          <mc:Choice Requires="x14">
            <control shapeId="2055" r:id="rId7" name="Check Box 7">
              <controlPr defaultSize="0" autoFill="0" autoLine="0" autoPict="0">
                <anchor moveWithCells="1">
                  <from>
                    <xdr:col>4</xdr:col>
                    <xdr:colOff>281940</xdr:colOff>
                    <xdr:row>10</xdr:row>
                    <xdr:rowOff>198120</xdr:rowOff>
                  </from>
                  <to>
                    <xdr:col>4</xdr:col>
                    <xdr:colOff>518160</xdr:colOff>
                    <xdr:row>10</xdr:row>
                    <xdr:rowOff>533400</xdr:rowOff>
                  </to>
                </anchor>
              </controlPr>
            </control>
          </mc:Choice>
        </mc:AlternateContent>
        <mc:AlternateContent xmlns:mc="http://schemas.openxmlformats.org/markup-compatibility/2006">
          <mc:Choice Requires="x14">
            <control shapeId="2056" r:id="rId8" name="Check Box 8">
              <controlPr defaultSize="0" autoFill="0" autoLine="0" autoPict="0">
                <anchor moveWithCells="1">
                  <from>
                    <xdr:col>4</xdr:col>
                    <xdr:colOff>281940</xdr:colOff>
                    <xdr:row>12</xdr:row>
                    <xdr:rowOff>198120</xdr:rowOff>
                  </from>
                  <to>
                    <xdr:col>4</xdr:col>
                    <xdr:colOff>518160</xdr:colOff>
                    <xdr:row>12</xdr:row>
                    <xdr:rowOff>533400</xdr:rowOff>
                  </to>
                </anchor>
              </controlPr>
            </control>
          </mc:Choice>
        </mc:AlternateContent>
        <mc:AlternateContent xmlns:mc="http://schemas.openxmlformats.org/markup-compatibility/2006">
          <mc:Choice Requires="x14">
            <control shapeId="2057" r:id="rId9" name="Check Box 9">
              <controlPr defaultSize="0" autoFill="0" autoLine="0" autoPict="0">
                <anchor moveWithCells="1">
                  <from>
                    <xdr:col>4</xdr:col>
                    <xdr:colOff>281940</xdr:colOff>
                    <xdr:row>13</xdr:row>
                    <xdr:rowOff>198120</xdr:rowOff>
                  </from>
                  <to>
                    <xdr:col>4</xdr:col>
                    <xdr:colOff>518160</xdr:colOff>
                    <xdr:row>13</xdr:row>
                    <xdr:rowOff>533400</xdr:rowOff>
                  </to>
                </anchor>
              </controlPr>
            </control>
          </mc:Choice>
        </mc:AlternateContent>
        <mc:AlternateContent xmlns:mc="http://schemas.openxmlformats.org/markup-compatibility/2006">
          <mc:Choice Requires="x14">
            <control shapeId="2058" r:id="rId10" name="Check Box 10">
              <controlPr defaultSize="0" autoFill="0" autoLine="0" autoPict="0">
                <anchor moveWithCells="1">
                  <from>
                    <xdr:col>4</xdr:col>
                    <xdr:colOff>281940</xdr:colOff>
                    <xdr:row>14</xdr:row>
                    <xdr:rowOff>198120</xdr:rowOff>
                  </from>
                  <to>
                    <xdr:col>4</xdr:col>
                    <xdr:colOff>518160</xdr:colOff>
                    <xdr:row>14</xdr:row>
                    <xdr:rowOff>533400</xdr:rowOff>
                  </to>
                </anchor>
              </controlPr>
            </control>
          </mc:Choice>
        </mc:AlternateContent>
        <mc:AlternateContent xmlns:mc="http://schemas.openxmlformats.org/markup-compatibility/2006">
          <mc:Choice Requires="x14">
            <control shapeId="2060" r:id="rId11" name="Check Box 12">
              <controlPr defaultSize="0" autoFill="0" autoLine="0" autoPict="0">
                <anchor moveWithCells="1">
                  <from>
                    <xdr:col>4</xdr:col>
                    <xdr:colOff>281940</xdr:colOff>
                    <xdr:row>16</xdr:row>
                    <xdr:rowOff>198120</xdr:rowOff>
                  </from>
                  <to>
                    <xdr:col>4</xdr:col>
                    <xdr:colOff>518160</xdr:colOff>
                    <xdr:row>16</xdr:row>
                    <xdr:rowOff>533400</xdr:rowOff>
                  </to>
                </anchor>
              </controlPr>
            </control>
          </mc:Choice>
        </mc:AlternateContent>
        <mc:AlternateContent xmlns:mc="http://schemas.openxmlformats.org/markup-compatibility/2006">
          <mc:Choice Requires="x14">
            <control shapeId="2061" r:id="rId12" name="Check Box 13">
              <controlPr defaultSize="0" autoFill="0" autoLine="0" autoPict="0">
                <anchor moveWithCells="1">
                  <from>
                    <xdr:col>4</xdr:col>
                    <xdr:colOff>281940</xdr:colOff>
                    <xdr:row>16</xdr:row>
                    <xdr:rowOff>198120</xdr:rowOff>
                  </from>
                  <to>
                    <xdr:col>4</xdr:col>
                    <xdr:colOff>518160</xdr:colOff>
                    <xdr:row>16</xdr:row>
                    <xdr:rowOff>533400</xdr:rowOff>
                  </to>
                </anchor>
              </controlPr>
            </control>
          </mc:Choice>
        </mc:AlternateContent>
        <mc:AlternateContent xmlns:mc="http://schemas.openxmlformats.org/markup-compatibility/2006">
          <mc:Choice Requires="x14">
            <control shapeId="2062" r:id="rId13" name="Check Box 14">
              <controlPr defaultSize="0" autoFill="0" autoLine="0" autoPict="0">
                <anchor moveWithCells="1">
                  <from>
                    <xdr:col>4</xdr:col>
                    <xdr:colOff>281940</xdr:colOff>
                    <xdr:row>17</xdr:row>
                    <xdr:rowOff>198120</xdr:rowOff>
                  </from>
                  <to>
                    <xdr:col>4</xdr:col>
                    <xdr:colOff>518160</xdr:colOff>
                    <xdr:row>17</xdr:row>
                    <xdr:rowOff>533400</xdr:rowOff>
                  </to>
                </anchor>
              </controlPr>
            </control>
          </mc:Choice>
        </mc:AlternateContent>
        <mc:AlternateContent xmlns:mc="http://schemas.openxmlformats.org/markup-compatibility/2006">
          <mc:Choice Requires="x14">
            <control shapeId="2063" r:id="rId14" name="Check Box 15">
              <controlPr defaultSize="0" autoFill="0" autoLine="0" autoPict="0">
                <anchor moveWithCells="1">
                  <from>
                    <xdr:col>4</xdr:col>
                    <xdr:colOff>281940</xdr:colOff>
                    <xdr:row>18</xdr:row>
                    <xdr:rowOff>198120</xdr:rowOff>
                  </from>
                  <to>
                    <xdr:col>4</xdr:col>
                    <xdr:colOff>518160</xdr:colOff>
                    <xdr:row>18</xdr:row>
                    <xdr:rowOff>533400</xdr:rowOff>
                  </to>
                </anchor>
              </controlPr>
            </control>
          </mc:Choice>
        </mc:AlternateContent>
        <mc:AlternateContent xmlns:mc="http://schemas.openxmlformats.org/markup-compatibility/2006">
          <mc:Choice Requires="x14">
            <control shapeId="2064" r:id="rId15" name="Check Box 16">
              <controlPr defaultSize="0" autoFill="0" autoLine="0" autoPict="0">
                <anchor moveWithCells="1">
                  <from>
                    <xdr:col>4</xdr:col>
                    <xdr:colOff>281940</xdr:colOff>
                    <xdr:row>19</xdr:row>
                    <xdr:rowOff>198120</xdr:rowOff>
                  </from>
                  <to>
                    <xdr:col>4</xdr:col>
                    <xdr:colOff>518160</xdr:colOff>
                    <xdr:row>19</xdr:row>
                    <xdr:rowOff>533400</xdr:rowOff>
                  </to>
                </anchor>
              </controlPr>
            </control>
          </mc:Choice>
        </mc:AlternateContent>
        <mc:AlternateContent xmlns:mc="http://schemas.openxmlformats.org/markup-compatibility/2006">
          <mc:Choice Requires="x14">
            <control shapeId="2069" r:id="rId16" name="Check Box 21">
              <controlPr defaultSize="0" autoFill="0" autoLine="0" autoPict="0">
                <anchor moveWithCells="1">
                  <from>
                    <xdr:col>4</xdr:col>
                    <xdr:colOff>281940</xdr:colOff>
                    <xdr:row>21</xdr:row>
                    <xdr:rowOff>198120</xdr:rowOff>
                  </from>
                  <to>
                    <xdr:col>4</xdr:col>
                    <xdr:colOff>518160</xdr:colOff>
                    <xdr:row>21</xdr:row>
                    <xdr:rowOff>533400</xdr:rowOff>
                  </to>
                </anchor>
              </controlPr>
            </control>
          </mc:Choice>
        </mc:AlternateContent>
        <mc:AlternateContent xmlns:mc="http://schemas.openxmlformats.org/markup-compatibility/2006">
          <mc:Choice Requires="x14">
            <control shapeId="2070" r:id="rId17" name="Check Box 22">
              <controlPr defaultSize="0" autoFill="0" autoLine="0" autoPict="0">
                <anchor moveWithCells="1">
                  <from>
                    <xdr:col>4</xdr:col>
                    <xdr:colOff>281940</xdr:colOff>
                    <xdr:row>21</xdr:row>
                    <xdr:rowOff>198120</xdr:rowOff>
                  </from>
                  <to>
                    <xdr:col>4</xdr:col>
                    <xdr:colOff>518160</xdr:colOff>
                    <xdr:row>21</xdr:row>
                    <xdr:rowOff>533400</xdr:rowOff>
                  </to>
                </anchor>
              </controlPr>
            </control>
          </mc:Choice>
        </mc:AlternateContent>
        <mc:AlternateContent xmlns:mc="http://schemas.openxmlformats.org/markup-compatibility/2006">
          <mc:Choice Requires="x14">
            <control shapeId="2071" r:id="rId18" name="Check Box 23">
              <controlPr defaultSize="0" autoFill="0" autoLine="0" autoPict="0">
                <anchor moveWithCells="1">
                  <from>
                    <xdr:col>4</xdr:col>
                    <xdr:colOff>281940</xdr:colOff>
                    <xdr:row>22</xdr:row>
                    <xdr:rowOff>198120</xdr:rowOff>
                  </from>
                  <to>
                    <xdr:col>4</xdr:col>
                    <xdr:colOff>518160</xdr:colOff>
                    <xdr:row>22</xdr:row>
                    <xdr:rowOff>533400</xdr:rowOff>
                  </to>
                </anchor>
              </controlPr>
            </control>
          </mc:Choice>
        </mc:AlternateContent>
        <mc:AlternateContent xmlns:mc="http://schemas.openxmlformats.org/markup-compatibility/2006">
          <mc:Choice Requires="x14">
            <control shapeId="2072" r:id="rId19" name="Check Box 24">
              <controlPr defaultSize="0" autoFill="0" autoLine="0" autoPict="0">
                <anchor moveWithCells="1">
                  <from>
                    <xdr:col>4</xdr:col>
                    <xdr:colOff>281940</xdr:colOff>
                    <xdr:row>23</xdr:row>
                    <xdr:rowOff>198120</xdr:rowOff>
                  </from>
                  <to>
                    <xdr:col>4</xdr:col>
                    <xdr:colOff>518160</xdr:colOff>
                    <xdr:row>23</xdr:row>
                    <xdr:rowOff>533400</xdr:rowOff>
                  </to>
                </anchor>
              </controlPr>
            </control>
          </mc:Choice>
        </mc:AlternateContent>
        <mc:AlternateContent xmlns:mc="http://schemas.openxmlformats.org/markup-compatibility/2006">
          <mc:Choice Requires="x14">
            <control shapeId="2073" r:id="rId20" name="Check Box 25">
              <controlPr defaultSize="0" autoFill="0" autoLine="0" autoPict="0">
                <anchor moveWithCells="1">
                  <from>
                    <xdr:col>4</xdr:col>
                    <xdr:colOff>281940</xdr:colOff>
                    <xdr:row>25</xdr:row>
                    <xdr:rowOff>198120</xdr:rowOff>
                  </from>
                  <to>
                    <xdr:col>4</xdr:col>
                    <xdr:colOff>518160</xdr:colOff>
                    <xdr:row>25</xdr:row>
                    <xdr:rowOff>533400</xdr:rowOff>
                  </to>
                </anchor>
              </controlPr>
            </control>
          </mc:Choice>
        </mc:AlternateContent>
        <mc:AlternateContent xmlns:mc="http://schemas.openxmlformats.org/markup-compatibility/2006">
          <mc:Choice Requires="x14">
            <control shapeId="2074" r:id="rId21" name="Check Box 26">
              <controlPr defaultSize="0" autoFill="0" autoLine="0" autoPict="0">
                <anchor moveWithCells="1">
                  <from>
                    <xdr:col>4</xdr:col>
                    <xdr:colOff>281940</xdr:colOff>
                    <xdr:row>25</xdr:row>
                    <xdr:rowOff>198120</xdr:rowOff>
                  </from>
                  <to>
                    <xdr:col>4</xdr:col>
                    <xdr:colOff>518160</xdr:colOff>
                    <xdr:row>25</xdr:row>
                    <xdr:rowOff>533400</xdr:rowOff>
                  </to>
                </anchor>
              </controlPr>
            </control>
          </mc:Choice>
        </mc:AlternateContent>
        <mc:AlternateContent xmlns:mc="http://schemas.openxmlformats.org/markup-compatibility/2006">
          <mc:Choice Requires="x14">
            <control shapeId="2075" r:id="rId22" name="Check Box 27">
              <controlPr defaultSize="0" autoFill="0" autoLine="0" autoPict="0">
                <anchor moveWithCells="1">
                  <from>
                    <xdr:col>4</xdr:col>
                    <xdr:colOff>281940</xdr:colOff>
                    <xdr:row>26</xdr:row>
                    <xdr:rowOff>198120</xdr:rowOff>
                  </from>
                  <to>
                    <xdr:col>4</xdr:col>
                    <xdr:colOff>518160</xdr:colOff>
                    <xdr:row>26</xdr:row>
                    <xdr:rowOff>533400</xdr:rowOff>
                  </to>
                </anchor>
              </controlPr>
            </control>
          </mc:Choice>
        </mc:AlternateContent>
        <mc:AlternateContent xmlns:mc="http://schemas.openxmlformats.org/markup-compatibility/2006">
          <mc:Choice Requires="x14">
            <control shapeId="2076" r:id="rId23" name="Check Box 28">
              <controlPr defaultSize="0" autoFill="0" autoLine="0" autoPict="0">
                <anchor moveWithCells="1">
                  <from>
                    <xdr:col>4</xdr:col>
                    <xdr:colOff>281940</xdr:colOff>
                    <xdr:row>27</xdr:row>
                    <xdr:rowOff>198120</xdr:rowOff>
                  </from>
                  <to>
                    <xdr:col>4</xdr:col>
                    <xdr:colOff>518160</xdr:colOff>
                    <xdr:row>27</xdr:row>
                    <xdr:rowOff>533400</xdr:rowOff>
                  </to>
                </anchor>
              </controlPr>
            </control>
          </mc:Choice>
        </mc:AlternateContent>
        <mc:AlternateContent xmlns:mc="http://schemas.openxmlformats.org/markup-compatibility/2006">
          <mc:Choice Requires="x14">
            <control shapeId="2077" r:id="rId24" name="Check Box 29">
              <controlPr defaultSize="0" autoFill="0" autoLine="0" autoPict="0">
                <anchor moveWithCells="1">
                  <from>
                    <xdr:col>4</xdr:col>
                    <xdr:colOff>281940</xdr:colOff>
                    <xdr:row>29</xdr:row>
                    <xdr:rowOff>198120</xdr:rowOff>
                  </from>
                  <to>
                    <xdr:col>4</xdr:col>
                    <xdr:colOff>518160</xdr:colOff>
                    <xdr:row>29</xdr:row>
                    <xdr:rowOff>533400</xdr:rowOff>
                  </to>
                </anchor>
              </controlPr>
            </control>
          </mc:Choice>
        </mc:AlternateContent>
        <mc:AlternateContent xmlns:mc="http://schemas.openxmlformats.org/markup-compatibility/2006">
          <mc:Choice Requires="x14">
            <control shapeId="2078" r:id="rId25" name="Check Box 30">
              <controlPr defaultSize="0" autoFill="0" autoLine="0" autoPict="0">
                <anchor moveWithCells="1">
                  <from>
                    <xdr:col>4</xdr:col>
                    <xdr:colOff>281940</xdr:colOff>
                    <xdr:row>29</xdr:row>
                    <xdr:rowOff>198120</xdr:rowOff>
                  </from>
                  <to>
                    <xdr:col>4</xdr:col>
                    <xdr:colOff>518160</xdr:colOff>
                    <xdr:row>29</xdr:row>
                    <xdr:rowOff>533400</xdr:rowOff>
                  </to>
                </anchor>
              </controlPr>
            </control>
          </mc:Choice>
        </mc:AlternateContent>
        <mc:AlternateContent xmlns:mc="http://schemas.openxmlformats.org/markup-compatibility/2006">
          <mc:Choice Requires="x14">
            <control shapeId="2079" r:id="rId26" name="Check Box 31">
              <controlPr defaultSize="0" autoFill="0" autoLine="0" autoPict="0">
                <anchor moveWithCells="1">
                  <from>
                    <xdr:col>4</xdr:col>
                    <xdr:colOff>281940</xdr:colOff>
                    <xdr:row>30</xdr:row>
                    <xdr:rowOff>198120</xdr:rowOff>
                  </from>
                  <to>
                    <xdr:col>4</xdr:col>
                    <xdr:colOff>518160</xdr:colOff>
                    <xdr:row>30</xdr:row>
                    <xdr:rowOff>533400</xdr:rowOff>
                  </to>
                </anchor>
              </controlPr>
            </control>
          </mc:Choice>
        </mc:AlternateContent>
        <mc:AlternateContent xmlns:mc="http://schemas.openxmlformats.org/markup-compatibility/2006">
          <mc:Choice Requires="x14">
            <control shapeId="2080" r:id="rId27" name="Check Box 32">
              <controlPr defaultSize="0" autoFill="0" autoLine="0" autoPict="0">
                <anchor moveWithCells="1">
                  <from>
                    <xdr:col>4</xdr:col>
                    <xdr:colOff>281940</xdr:colOff>
                    <xdr:row>31</xdr:row>
                    <xdr:rowOff>198120</xdr:rowOff>
                  </from>
                  <to>
                    <xdr:col>4</xdr:col>
                    <xdr:colOff>518160</xdr:colOff>
                    <xdr:row>31</xdr:row>
                    <xdr:rowOff>533400</xdr:rowOff>
                  </to>
                </anchor>
              </controlPr>
            </control>
          </mc:Choice>
        </mc:AlternateContent>
        <mc:AlternateContent xmlns:mc="http://schemas.openxmlformats.org/markup-compatibility/2006">
          <mc:Choice Requires="x14">
            <control shapeId="2081" r:id="rId28" name="Check Box 33">
              <controlPr defaultSize="0" autoFill="0" autoLine="0" autoPict="0">
                <anchor moveWithCells="1">
                  <from>
                    <xdr:col>4</xdr:col>
                    <xdr:colOff>281940</xdr:colOff>
                    <xdr:row>33</xdr:row>
                    <xdr:rowOff>198120</xdr:rowOff>
                  </from>
                  <to>
                    <xdr:col>4</xdr:col>
                    <xdr:colOff>518160</xdr:colOff>
                    <xdr:row>33</xdr:row>
                    <xdr:rowOff>533400</xdr:rowOff>
                  </to>
                </anchor>
              </controlPr>
            </control>
          </mc:Choice>
        </mc:AlternateContent>
        <mc:AlternateContent xmlns:mc="http://schemas.openxmlformats.org/markup-compatibility/2006">
          <mc:Choice Requires="x14">
            <control shapeId="2082" r:id="rId29" name="Check Box 34">
              <controlPr defaultSize="0" autoFill="0" autoLine="0" autoPict="0">
                <anchor moveWithCells="1">
                  <from>
                    <xdr:col>4</xdr:col>
                    <xdr:colOff>281940</xdr:colOff>
                    <xdr:row>33</xdr:row>
                    <xdr:rowOff>198120</xdr:rowOff>
                  </from>
                  <to>
                    <xdr:col>4</xdr:col>
                    <xdr:colOff>518160</xdr:colOff>
                    <xdr:row>33</xdr:row>
                    <xdr:rowOff>533400</xdr:rowOff>
                  </to>
                </anchor>
              </controlPr>
            </control>
          </mc:Choice>
        </mc:AlternateContent>
        <mc:AlternateContent xmlns:mc="http://schemas.openxmlformats.org/markup-compatibility/2006">
          <mc:Choice Requires="x14">
            <control shapeId="2083" r:id="rId30" name="Check Box 35">
              <controlPr defaultSize="0" autoFill="0" autoLine="0" autoPict="0">
                <anchor moveWithCells="1">
                  <from>
                    <xdr:col>4</xdr:col>
                    <xdr:colOff>281940</xdr:colOff>
                    <xdr:row>34</xdr:row>
                    <xdr:rowOff>198120</xdr:rowOff>
                  </from>
                  <to>
                    <xdr:col>4</xdr:col>
                    <xdr:colOff>518160</xdr:colOff>
                    <xdr:row>34</xdr:row>
                    <xdr:rowOff>533400</xdr:rowOff>
                  </to>
                </anchor>
              </controlPr>
            </control>
          </mc:Choice>
        </mc:AlternateContent>
        <mc:AlternateContent xmlns:mc="http://schemas.openxmlformats.org/markup-compatibility/2006">
          <mc:Choice Requires="x14">
            <control shapeId="2084" r:id="rId31" name="Check Box 36">
              <controlPr defaultSize="0" autoFill="0" autoLine="0" autoPict="0">
                <anchor moveWithCells="1">
                  <from>
                    <xdr:col>4</xdr:col>
                    <xdr:colOff>281940</xdr:colOff>
                    <xdr:row>35</xdr:row>
                    <xdr:rowOff>198120</xdr:rowOff>
                  </from>
                  <to>
                    <xdr:col>4</xdr:col>
                    <xdr:colOff>518160</xdr:colOff>
                    <xdr:row>35</xdr:row>
                    <xdr:rowOff>533400</xdr:rowOff>
                  </to>
                </anchor>
              </controlPr>
            </control>
          </mc:Choice>
        </mc:AlternateContent>
        <mc:AlternateContent xmlns:mc="http://schemas.openxmlformats.org/markup-compatibility/2006">
          <mc:Choice Requires="x14">
            <control shapeId="2085" r:id="rId32" name="Check Box 37">
              <controlPr defaultSize="0" autoFill="0" autoLine="0" autoPict="0">
                <anchor moveWithCells="1">
                  <from>
                    <xdr:col>4</xdr:col>
                    <xdr:colOff>281940</xdr:colOff>
                    <xdr:row>37</xdr:row>
                    <xdr:rowOff>198120</xdr:rowOff>
                  </from>
                  <to>
                    <xdr:col>4</xdr:col>
                    <xdr:colOff>518160</xdr:colOff>
                    <xdr:row>37</xdr:row>
                    <xdr:rowOff>533400</xdr:rowOff>
                  </to>
                </anchor>
              </controlPr>
            </control>
          </mc:Choice>
        </mc:AlternateContent>
        <mc:AlternateContent xmlns:mc="http://schemas.openxmlformats.org/markup-compatibility/2006">
          <mc:Choice Requires="x14">
            <control shapeId="2086" r:id="rId33" name="Check Box 38">
              <controlPr defaultSize="0" autoFill="0" autoLine="0" autoPict="0">
                <anchor moveWithCells="1">
                  <from>
                    <xdr:col>4</xdr:col>
                    <xdr:colOff>281940</xdr:colOff>
                    <xdr:row>37</xdr:row>
                    <xdr:rowOff>198120</xdr:rowOff>
                  </from>
                  <to>
                    <xdr:col>4</xdr:col>
                    <xdr:colOff>518160</xdr:colOff>
                    <xdr:row>37</xdr:row>
                    <xdr:rowOff>533400</xdr:rowOff>
                  </to>
                </anchor>
              </controlPr>
            </control>
          </mc:Choice>
        </mc:AlternateContent>
        <mc:AlternateContent xmlns:mc="http://schemas.openxmlformats.org/markup-compatibility/2006">
          <mc:Choice Requires="x14">
            <control shapeId="2087" r:id="rId34" name="Check Box 39">
              <controlPr defaultSize="0" autoFill="0" autoLine="0" autoPict="0">
                <anchor moveWithCells="1">
                  <from>
                    <xdr:col>4</xdr:col>
                    <xdr:colOff>281940</xdr:colOff>
                    <xdr:row>38</xdr:row>
                    <xdr:rowOff>198120</xdr:rowOff>
                  </from>
                  <to>
                    <xdr:col>4</xdr:col>
                    <xdr:colOff>518160</xdr:colOff>
                    <xdr:row>38</xdr:row>
                    <xdr:rowOff>533400</xdr:rowOff>
                  </to>
                </anchor>
              </controlPr>
            </control>
          </mc:Choice>
        </mc:AlternateContent>
        <mc:AlternateContent xmlns:mc="http://schemas.openxmlformats.org/markup-compatibility/2006">
          <mc:Choice Requires="x14">
            <control shapeId="2088" r:id="rId35" name="Check Box 40">
              <controlPr defaultSize="0" autoFill="0" autoLine="0" autoPict="0">
                <anchor moveWithCells="1">
                  <from>
                    <xdr:col>4</xdr:col>
                    <xdr:colOff>281940</xdr:colOff>
                    <xdr:row>39</xdr:row>
                    <xdr:rowOff>198120</xdr:rowOff>
                  </from>
                  <to>
                    <xdr:col>4</xdr:col>
                    <xdr:colOff>518160</xdr:colOff>
                    <xdr:row>39</xdr:row>
                    <xdr:rowOff>533400</xdr:rowOff>
                  </to>
                </anchor>
              </controlPr>
            </control>
          </mc:Choice>
        </mc:AlternateContent>
        <mc:AlternateContent xmlns:mc="http://schemas.openxmlformats.org/markup-compatibility/2006">
          <mc:Choice Requires="x14">
            <control shapeId="2089" r:id="rId36" name="Check Box 41">
              <controlPr defaultSize="0" autoFill="0" autoLine="0" autoPict="0">
                <anchor moveWithCells="1">
                  <from>
                    <xdr:col>4</xdr:col>
                    <xdr:colOff>281940</xdr:colOff>
                    <xdr:row>41</xdr:row>
                    <xdr:rowOff>198120</xdr:rowOff>
                  </from>
                  <to>
                    <xdr:col>4</xdr:col>
                    <xdr:colOff>518160</xdr:colOff>
                    <xdr:row>41</xdr:row>
                    <xdr:rowOff>533400</xdr:rowOff>
                  </to>
                </anchor>
              </controlPr>
            </control>
          </mc:Choice>
        </mc:AlternateContent>
        <mc:AlternateContent xmlns:mc="http://schemas.openxmlformats.org/markup-compatibility/2006">
          <mc:Choice Requires="x14">
            <control shapeId="2090" r:id="rId37" name="Check Box 42">
              <controlPr defaultSize="0" autoFill="0" autoLine="0" autoPict="0">
                <anchor moveWithCells="1">
                  <from>
                    <xdr:col>4</xdr:col>
                    <xdr:colOff>281940</xdr:colOff>
                    <xdr:row>41</xdr:row>
                    <xdr:rowOff>198120</xdr:rowOff>
                  </from>
                  <to>
                    <xdr:col>4</xdr:col>
                    <xdr:colOff>518160</xdr:colOff>
                    <xdr:row>41</xdr:row>
                    <xdr:rowOff>533400</xdr:rowOff>
                  </to>
                </anchor>
              </controlPr>
            </control>
          </mc:Choice>
        </mc:AlternateContent>
        <mc:AlternateContent xmlns:mc="http://schemas.openxmlformats.org/markup-compatibility/2006">
          <mc:Choice Requires="x14">
            <control shapeId="2091" r:id="rId38" name="Check Box 43">
              <controlPr defaultSize="0" autoFill="0" autoLine="0" autoPict="0">
                <anchor moveWithCells="1">
                  <from>
                    <xdr:col>4</xdr:col>
                    <xdr:colOff>281940</xdr:colOff>
                    <xdr:row>42</xdr:row>
                    <xdr:rowOff>198120</xdr:rowOff>
                  </from>
                  <to>
                    <xdr:col>4</xdr:col>
                    <xdr:colOff>518160</xdr:colOff>
                    <xdr:row>42</xdr:row>
                    <xdr:rowOff>533400</xdr:rowOff>
                  </to>
                </anchor>
              </controlPr>
            </control>
          </mc:Choice>
        </mc:AlternateContent>
        <mc:AlternateContent xmlns:mc="http://schemas.openxmlformats.org/markup-compatibility/2006">
          <mc:Choice Requires="x14">
            <control shapeId="2092" r:id="rId39" name="Check Box 44">
              <controlPr defaultSize="0" autoFill="0" autoLine="0" autoPict="0">
                <anchor moveWithCells="1">
                  <from>
                    <xdr:col>4</xdr:col>
                    <xdr:colOff>281940</xdr:colOff>
                    <xdr:row>44</xdr:row>
                    <xdr:rowOff>198120</xdr:rowOff>
                  </from>
                  <to>
                    <xdr:col>4</xdr:col>
                    <xdr:colOff>518160</xdr:colOff>
                    <xdr:row>44</xdr:row>
                    <xdr:rowOff>533400</xdr:rowOff>
                  </to>
                </anchor>
              </controlPr>
            </control>
          </mc:Choice>
        </mc:AlternateContent>
        <mc:AlternateContent xmlns:mc="http://schemas.openxmlformats.org/markup-compatibility/2006">
          <mc:Choice Requires="x14">
            <control shapeId="2093" r:id="rId40" name="Check Box 45">
              <controlPr defaultSize="0" autoFill="0" autoLine="0" autoPict="0">
                <anchor moveWithCells="1">
                  <from>
                    <xdr:col>4</xdr:col>
                    <xdr:colOff>281940</xdr:colOff>
                    <xdr:row>44</xdr:row>
                    <xdr:rowOff>198120</xdr:rowOff>
                  </from>
                  <to>
                    <xdr:col>4</xdr:col>
                    <xdr:colOff>518160</xdr:colOff>
                    <xdr:row>44</xdr:row>
                    <xdr:rowOff>533400</xdr:rowOff>
                  </to>
                </anchor>
              </controlPr>
            </control>
          </mc:Choice>
        </mc:AlternateContent>
        <mc:AlternateContent xmlns:mc="http://schemas.openxmlformats.org/markup-compatibility/2006">
          <mc:Choice Requires="x14">
            <control shapeId="2094" r:id="rId41" name="Check Box 46">
              <controlPr defaultSize="0" autoFill="0" autoLine="0" autoPict="0">
                <anchor moveWithCells="1">
                  <from>
                    <xdr:col>4</xdr:col>
                    <xdr:colOff>281940</xdr:colOff>
                    <xdr:row>45</xdr:row>
                    <xdr:rowOff>198120</xdr:rowOff>
                  </from>
                  <to>
                    <xdr:col>4</xdr:col>
                    <xdr:colOff>518160</xdr:colOff>
                    <xdr:row>45</xdr:row>
                    <xdr:rowOff>533400</xdr:rowOff>
                  </to>
                </anchor>
              </controlPr>
            </control>
          </mc:Choice>
        </mc:AlternateContent>
        <mc:AlternateContent xmlns:mc="http://schemas.openxmlformats.org/markup-compatibility/2006">
          <mc:Choice Requires="x14">
            <control shapeId="2095" r:id="rId42" name="Check Box 47">
              <controlPr defaultSize="0" autoFill="0" autoLine="0" autoPict="0">
                <anchor moveWithCells="1">
                  <from>
                    <xdr:col>4</xdr:col>
                    <xdr:colOff>281940</xdr:colOff>
                    <xdr:row>46</xdr:row>
                    <xdr:rowOff>198120</xdr:rowOff>
                  </from>
                  <to>
                    <xdr:col>4</xdr:col>
                    <xdr:colOff>518160</xdr:colOff>
                    <xdr:row>46</xdr:row>
                    <xdr:rowOff>533400</xdr:rowOff>
                  </to>
                </anchor>
              </controlPr>
            </control>
          </mc:Choice>
        </mc:AlternateContent>
        <mc:AlternateContent xmlns:mc="http://schemas.openxmlformats.org/markup-compatibility/2006">
          <mc:Choice Requires="x14">
            <control shapeId="2096" r:id="rId43" name="Check Box 48">
              <controlPr defaultSize="0" autoFill="0" autoLine="0" autoPict="0">
                <anchor moveWithCells="1">
                  <from>
                    <xdr:col>4</xdr:col>
                    <xdr:colOff>281940</xdr:colOff>
                    <xdr:row>46</xdr:row>
                    <xdr:rowOff>198120</xdr:rowOff>
                  </from>
                  <to>
                    <xdr:col>4</xdr:col>
                    <xdr:colOff>518160</xdr:colOff>
                    <xdr:row>46</xdr:row>
                    <xdr:rowOff>533400</xdr:rowOff>
                  </to>
                </anchor>
              </controlPr>
            </control>
          </mc:Choice>
        </mc:AlternateContent>
        <mc:AlternateContent xmlns:mc="http://schemas.openxmlformats.org/markup-compatibility/2006">
          <mc:Choice Requires="x14">
            <control shapeId="2097" r:id="rId44" name="Check Box 49">
              <controlPr defaultSize="0" autoFill="0" autoLine="0" autoPict="0">
                <anchor moveWithCells="1">
                  <from>
                    <xdr:col>4</xdr:col>
                    <xdr:colOff>281940</xdr:colOff>
                    <xdr:row>47</xdr:row>
                    <xdr:rowOff>198120</xdr:rowOff>
                  </from>
                  <to>
                    <xdr:col>4</xdr:col>
                    <xdr:colOff>518160</xdr:colOff>
                    <xdr:row>47</xdr:row>
                    <xdr:rowOff>533400</xdr:rowOff>
                  </to>
                </anchor>
              </controlPr>
            </control>
          </mc:Choice>
        </mc:AlternateContent>
        <mc:AlternateContent xmlns:mc="http://schemas.openxmlformats.org/markup-compatibility/2006">
          <mc:Choice Requires="x14">
            <control shapeId="2098" r:id="rId45" name="Check Box 50">
              <controlPr defaultSize="0" autoFill="0" autoLine="0" autoPict="0">
                <anchor moveWithCells="1">
                  <from>
                    <xdr:col>4</xdr:col>
                    <xdr:colOff>281940</xdr:colOff>
                    <xdr:row>48</xdr:row>
                    <xdr:rowOff>198120</xdr:rowOff>
                  </from>
                  <to>
                    <xdr:col>4</xdr:col>
                    <xdr:colOff>518160</xdr:colOff>
                    <xdr:row>48</xdr:row>
                    <xdr:rowOff>533400</xdr:rowOff>
                  </to>
                </anchor>
              </controlPr>
            </control>
          </mc:Choice>
        </mc:AlternateContent>
        <mc:AlternateContent xmlns:mc="http://schemas.openxmlformats.org/markup-compatibility/2006">
          <mc:Choice Requires="x14">
            <control shapeId="2099" r:id="rId46" name="Check Box 51">
              <controlPr defaultSize="0" autoFill="0" autoLine="0" autoPict="0">
                <anchor moveWithCells="1">
                  <from>
                    <xdr:col>4</xdr:col>
                    <xdr:colOff>281940</xdr:colOff>
                    <xdr:row>48</xdr:row>
                    <xdr:rowOff>198120</xdr:rowOff>
                  </from>
                  <to>
                    <xdr:col>4</xdr:col>
                    <xdr:colOff>518160</xdr:colOff>
                    <xdr:row>48</xdr:row>
                    <xdr:rowOff>533400</xdr:rowOff>
                  </to>
                </anchor>
              </controlPr>
            </control>
          </mc:Choice>
        </mc:AlternateContent>
        <mc:AlternateContent xmlns:mc="http://schemas.openxmlformats.org/markup-compatibility/2006">
          <mc:Choice Requires="x14">
            <control shapeId="2100" r:id="rId47" name="Check Box 52">
              <controlPr defaultSize="0" autoFill="0" autoLine="0" autoPict="0">
                <anchor moveWithCells="1">
                  <from>
                    <xdr:col>4</xdr:col>
                    <xdr:colOff>281940</xdr:colOff>
                    <xdr:row>49</xdr:row>
                    <xdr:rowOff>198120</xdr:rowOff>
                  </from>
                  <to>
                    <xdr:col>4</xdr:col>
                    <xdr:colOff>518160</xdr:colOff>
                    <xdr:row>49</xdr:row>
                    <xdr:rowOff>533400</xdr:rowOff>
                  </to>
                </anchor>
              </controlPr>
            </control>
          </mc:Choice>
        </mc:AlternateContent>
        <mc:AlternateContent xmlns:mc="http://schemas.openxmlformats.org/markup-compatibility/2006">
          <mc:Choice Requires="x14">
            <control shapeId="2101" r:id="rId48" name="Check Box 53">
              <controlPr defaultSize="0" autoFill="0" autoLine="0" autoPict="0">
                <anchor moveWithCells="1">
                  <from>
                    <xdr:col>4</xdr:col>
                    <xdr:colOff>281940</xdr:colOff>
                    <xdr:row>51</xdr:row>
                    <xdr:rowOff>198120</xdr:rowOff>
                  </from>
                  <to>
                    <xdr:col>4</xdr:col>
                    <xdr:colOff>518160</xdr:colOff>
                    <xdr:row>51</xdr:row>
                    <xdr:rowOff>533400</xdr:rowOff>
                  </to>
                </anchor>
              </controlPr>
            </control>
          </mc:Choice>
        </mc:AlternateContent>
        <mc:AlternateContent xmlns:mc="http://schemas.openxmlformats.org/markup-compatibility/2006">
          <mc:Choice Requires="x14">
            <control shapeId="2102" r:id="rId49" name="Check Box 54">
              <controlPr defaultSize="0" autoFill="0" autoLine="0" autoPict="0">
                <anchor moveWithCells="1">
                  <from>
                    <xdr:col>4</xdr:col>
                    <xdr:colOff>281940</xdr:colOff>
                    <xdr:row>51</xdr:row>
                    <xdr:rowOff>198120</xdr:rowOff>
                  </from>
                  <to>
                    <xdr:col>4</xdr:col>
                    <xdr:colOff>518160</xdr:colOff>
                    <xdr:row>51</xdr:row>
                    <xdr:rowOff>533400</xdr:rowOff>
                  </to>
                </anchor>
              </controlPr>
            </control>
          </mc:Choice>
        </mc:AlternateContent>
        <mc:AlternateContent xmlns:mc="http://schemas.openxmlformats.org/markup-compatibility/2006">
          <mc:Choice Requires="x14">
            <control shapeId="2103" r:id="rId50" name="Check Box 55">
              <controlPr defaultSize="0" autoFill="0" autoLine="0" autoPict="0">
                <anchor moveWithCells="1">
                  <from>
                    <xdr:col>4</xdr:col>
                    <xdr:colOff>281940</xdr:colOff>
                    <xdr:row>52</xdr:row>
                    <xdr:rowOff>198120</xdr:rowOff>
                  </from>
                  <to>
                    <xdr:col>4</xdr:col>
                    <xdr:colOff>518160</xdr:colOff>
                    <xdr:row>52</xdr:row>
                    <xdr:rowOff>533400</xdr:rowOff>
                  </to>
                </anchor>
              </controlPr>
            </control>
          </mc:Choice>
        </mc:AlternateContent>
        <mc:AlternateContent xmlns:mc="http://schemas.openxmlformats.org/markup-compatibility/2006">
          <mc:Choice Requires="x14">
            <control shapeId="2104" r:id="rId51" name="Check Box 56">
              <controlPr defaultSize="0" autoFill="0" autoLine="0" autoPict="0">
                <anchor moveWithCells="1">
                  <from>
                    <xdr:col>4</xdr:col>
                    <xdr:colOff>281940</xdr:colOff>
                    <xdr:row>53</xdr:row>
                    <xdr:rowOff>198120</xdr:rowOff>
                  </from>
                  <to>
                    <xdr:col>4</xdr:col>
                    <xdr:colOff>518160</xdr:colOff>
                    <xdr:row>53</xdr:row>
                    <xdr:rowOff>533400</xdr:rowOff>
                  </to>
                </anchor>
              </controlPr>
            </control>
          </mc:Choice>
        </mc:AlternateContent>
        <mc:AlternateContent xmlns:mc="http://schemas.openxmlformats.org/markup-compatibility/2006">
          <mc:Choice Requires="x14">
            <control shapeId="2105" r:id="rId52" name="Check Box 57">
              <controlPr defaultSize="0" autoFill="0" autoLine="0" autoPict="0">
                <anchor moveWithCells="1">
                  <from>
                    <xdr:col>4</xdr:col>
                    <xdr:colOff>281940</xdr:colOff>
                    <xdr:row>56</xdr:row>
                    <xdr:rowOff>198120</xdr:rowOff>
                  </from>
                  <to>
                    <xdr:col>4</xdr:col>
                    <xdr:colOff>518160</xdr:colOff>
                    <xdr:row>56</xdr:row>
                    <xdr:rowOff>533400</xdr:rowOff>
                  </to>
                </anchor>
              </controlPr>
            </control>
          </mc:Choice>
        </mc:AlternateContent>
        <mc:AlternateContent xmlns:mc="http://schemas.openxmlformats.org/markup-compatibility/2006">
          <mc:Choice Requires="x14">
            <control shapeId="2106" r:id="rId53" name="Check Box 58">
              <controlPr defaultSize="0" autoFill="0" autoLine="0" autoPict="0">
                <anchor moveWithCells="1">
                  <from>
                    <xdr:col>4</xdr:col>
                    <xdr:colOff>281940</xdr:colOff>
                    <xdr:row>56</xdr:row>
                    <xdr:rowOff>198120</xdr:rowOff>
                  </from>
                  <to>
                    <xdr:col>4</xdr:col>
                    <xdr:colOff>518160</xdr:colOff>
                    <xdr:row>56</xdr:row>
                    <xdr:rowOff>533400</xdr:rowOff>
                  </to>
                </anchor>
              </controlPr>
            </control>
          </mc:Choice>
        </mc:AlternateContent>
        <mc:AlternateContent xmlns:mc="http://schemas.openxmlformats.org/markup-compatibility/2006">
          <mc:Choice Requires="x14">
            <control shapeId="2107" r:id="rId54" name="Check Box 59">
              <controlPr defaultSize="0" autoFill="0" autoLine="0" autoPict="0">
                <anchor moveWithCells="1">
                  <from>
                    <xdr:col>4</xdr:col>
                    <xdr:colOff>281940</xdr:colOff>
                    <xdr:row>57</xdr:row>
                    <xdr:rowOff>198120</xdr:rowOff>
                  </from>
                  <to>
                    <xdr:col>4</xdr:col>
                    <xdr:colOff>518160</xdr:colOff>
                    <xdr:row>57</xdr:row>
                    <xdr:rowOff>533400</xdr:rowOff>
                  </to>
                </anchor>
              </controlPr>
            </control>
          </mc:Choice>
        </mc:AlternateContent>
        <mc:AlternateContent xmlns:mc="http://schemas.openxmlformats.org/markup-compatibility/2006">
          <mc:Choice Requires="x14">
            <control shapeId="2108" r:id="rId55" name="Check Box 60">
              <controlPr defaultSize="0" autoFill="0" autoLine="0" autoPict="0">
                <anchor moveWithCells="1">
                  <from>
                    <xdr:col>4</xdr:col>
                    <xdr:colOff>281940</xdr:colOff>
                    <xdr:row>58</xdr:row>
                    <xdr:rowOff>198120</xdr:rowOff>
                  </from>
                  <to>
                    <xdr:col>4</xdr:col>
                    <xdr:colOff>518160</xdr:colOff>
                    <xdr:row>58</xdr:row>
                    <xdr:rowOff>533400</xdr:rowOff>
                  </to>
                </anchor>
              </controlPr>
            </control>
          </mc:Choice>
        </mc:AlternateContent>
        <mc:AlternateContent xmlns:mc="http://schemas.openxmlformats.org/markup-compatibility/2006">
          <mc:Choice Requires="x14">
            <control shapeId="2109" r:id="rId56" name="Check Box 61">
              <controlPr defaultSize="0" autoFill="0" autoLine="0" autoPict="0">
                <anchor moveWithCells="1">
                  <from>
                    <xdr:col>4</xdr:col>
                    <xdr:colOff>281940</xdr:colOff>
                    <xdr:row>59</xdr:row>
                    <xdr:rowOff>198120</xdr:rowOff>
                  </from>
                  <to>
                    <xdr:col>4</xdr:col>
                    <xdr:colOff>518160</xdr:colOff>
                    <xdr:row>59</xdr:row>
                    <xdr:rowOff>533400</xdr:rowOff>
                  </to>
                </anchor>
              </controlPr>
            </control>
          </mc:Choice>
        </mc:AlternateContent>
        <mc:AlternateContent xmlns:mc="http://schemas.openxmlformats.org/markup-compatibility/2006">
          <mc:Choice Requires="x14">
            <control shapeId="2110" r:id="rId57" name="Check Box 62">
              <controlPr defaultSize="0" autoFill="0" autoLine="0" autoPict="0">
                <anchor moveWithCells="1">
                  <from>
                    <xdr:col>4</xdr:col>
                    <xdr:colOff>281940</xdr:colOff>
                    <xdr:row>59</xdr:row>
                    <xdr:rowOff>198120</xdr:rowOff>
                  </from>
                  <to>
                    <xdr:col>4</xdr:col>
                    <xdr:colOff>518160</xdr:colOff>
                    <xdr:row>59</xdr:row>
                    <xdr:rowOff>533400</xdr:rowOff>
                  </to>
                </anchor>
              </controlPr>
            </control>
          </mc:Choice>
        </mc:AlternateContent>
        <mc:AlternateContent xmlns:mc="http://schemas.openxmlformats.org/markup-compatibility/2006">
          <mc:Choice Requires="x14">
            <control shapeId="2111" r:id="rId58" name="Check Box 63">
              <controlPr defaultSize="0" autoFill="0" autoLine="0" autoPict="0">
                <anchor moveWithCells="1">
                  <from>
                    <xdr:col>4</xdr:col>
                    <xdr:colOff>281940</xdr:colOff>
                    <xdr:row>60</xdr:row>
                    <xdr:rowOff>198120</xdr:rowOff>
                  </from>
                  <to>
                    <xdr:col>4</xdr:col>
                    <xdr:colOff>518160</xdr:colOff>
                    <xdr:row>60</xdr:row>
                    <xdr:rowOff>533400</xdr:rowOff>
                  </to>
                </anchor>
              </controlPr>
            </control>
          </mc:Choice>
        </mc:AlternateContent>
        <mc:AlternateContent xmlns:mc="http://schemas.openxmlformats.org/markup-compatibility/2006">
          <mc:Choice Requires="x14">
            <control shapeId="2112" r:id="rId59" name="Check Box 64">
              <controlPr defaultSize="0" autoFill="0" autoLine="0" autoPict="0">
                <anchor moveWithCells="1">
                  <from>
                    <xdr:col>4</xdr:col>
                    <xdr:colOff>281940</xdr:colOff>
                    <xdr:row>62</xdr:row>
                    <xdr:rowOff>198120</xdr:rowOff>
                  </from>
                  <to>
                    <xdr:col>4</xdr:col>
                    <xdr:colOff>518160</xdr:colOff>
                    <xdr:row>62</xdr:row>
                    <xdr:rowOff>533400</xdr:rowOff>
                  </to>
                </anchor>
              </controlPr>
            </control>
          </mc:Choice>
        </mc:AlternateContent>
        <mc:AlternateContent xmlns:mc="http://schemas.openxmlformats.org/markup-compatibility/2006">
          <mc:Choice Requires="x14">
            <control shapeId="2113" r:id="rId60" name="Check Box 65">
              <controlPr defaultSize="0" autoFill="0" autoLine="0" autoPict="0">
                <anchor moveWithCells="1">
                  <from>
                    <xdr:col>4</xdr:col>
                    <xdr:colOff>281940</xdr:colOff>
                    <xdr:row>62</xdr:row>
                    <xdr:rowOff>198120</xdr:rowOff>
                  </from>
                  <to>
                    <xdr:col>4</xdr:col>
                    <xdr:colOff>518160</xdr:colOff>
                    <xdr:row>62</xdr:row>
                    <xdr:rowOff>533400</xdr:rowOff>
                  </to>
                </anchor>
              </controlPr>
            </control>
          </mc:Choice>
        </mc:AlternateContent>
        <mc:AlternateContent xmlns:mc="http://schemas.openxmlformats.org/markup-compatibility/2006">
          <mc:Choice Requires="x14">
            <control shapeId="2114" r:id="rId61" name="Check Box 66">
              <controlPr defaultSize="0" autoFill="0" autoLine="0" autoPict="0">
                <anchor moveWithCells="1">
                  <from>
                    <xdr:col>4</xdr:col>
                    <xdr:colOff>281940</xdr:colOff>
                    <xdr:row>63</xdr:row>
                    <xdr:rowOff>198120</xdr:rowOff>
                  </from>
                  <to>
                    <xdr:col>4</xdr:col>
                    <xdr:colOff>518160</xdr:colOff>
                    <xdr:row>63</xdr:row>
                    <xdr:rowOff>533400</xdr:rowOff>
                  </to>
                </anchor>
              </controlPr>
            </control>
          </mc:Choice>
        </mc:AlternateContent>
        <mc:AlternateContent xmlns:mc="http://schemas.openxmlformats.org/markup-compatibility/2006">
          <mc:Choice Requires="x14">
            <control shapeId="2115" r:id="rId62" name="Check Box 67">
              <controlPr defaultSize="0" autoFill="0" autoLine="0" autoPict="0">
                <anchor moveWithCells="1">
                  <from>
                    <xdr:col>4</xdr:col>
                    <xdr:colOff>281940</xdr:colOff>
                    <xdr:row>64</xdr:row>
                    <xdr:rowOff>198120</xdr:rowOff>
                  </from>
                  <to>
                    <xdr:col>4</xdr:col>
                    <xdr:colOff>518160</xdr:colOff>
                    <xdr:row>64</xdr:row>
                    <xdr:rowOff>533400</xdr:rowOff>
                  </to>
                </anchor>
              </controlPr>
            </control>
          </mc:Choice>
        </mc:AlternateContent>
        <mc:AlternateContent xmlns:mc="http://schemas.openxmlformats.org/markup-compatibility/2006">
          <mc:Choice Requires="x14">
            <control shapeId="2116" r:id="rId63" name="Check Box 68">
              <controlPr defaultSize="0" autoFill="0" autoLine="0" autoPict="0">
                <anchor moveWithCells="1">
                  <from>
                    <xdr:col>4</xdr:col>
                    <xdr:colOff>281940</xdr:colOff>
                    <xdr:row>66</xdr:row>
                    <xdr:rowOff>198120</xdr:rowOff>
                  </from>
                  <to>
                    <xdr:col>4</xdr:col>
                    <xdr:colOff>518160</xdr:colOff>
                    <xdr:row>66</xdr:row>
                    <xdr:rowOff>533400</xdr:rowOff>
                  </to>
                </anchor>
              </controlPr>
            </control>
          </mc:Choice>
        </mc:AlternateContent>
        <mc:AlternateContent xmlns:mc="http://schemas.openxmlformats.org/markup-compatibility/2006">
          <mc:Choice Requires="x14">
            <control shapeId="2117" r:id="rId64" name="Check Box 69">
              <controlPr defaultSize="0" autoFill="0" autoLine="0" autoPict="0">
                <anchor moveWithCells="1">
                  <from>
                    <xdr:col>4</xdr:col>
                    <xdr:colOff>281940</xdr:colOff>
                    <xdr:row>66</xdr:row>
                    <xdr:rowOff>198120</xdr:rowOff>
                  </from>
                  <to>
                    <xdr:col>4</xdr:col>
                    <xdr:colOff>518160</xdr:colOff>
                    <xdr:row>66</xdr:row>
                    <xdr:rowOff>533400</xdr:rowOff>
                  </to>
                </anchor>
              </controlPr>
            </control>
          </mc:Choice>
        </mc:AlternateContent>
        <mc:AlternateContent xmlns:mc="http://schemas.openxmlformats.org/markup-compatibility/2006">
          <mc:Choice Requires="x14">
            <control shapeId="2118" r:id="rId65" name="Check Box 70">
              <controlPr defaultSize="0" autoFill="0" autoLine="0" autoPict="0">
                <anchor moveWithCells="1">
                  <from>
                    <xdr:col>4</xdr:col>
                    <xdr:colOff>281940</xdr:colOff>
                    <xdr:row>67</xdr:row>
                    <xdr:rowOff>198120</xdr:rowOff>
                  </from>
                  <to>
                    <xdr:col>4</xdr:col>
                    <xdr:colOff>518160</xdr:colOff>
                    <xdr:row>67</xdr:row>
                    <xdr:rowOff>533400</xdr:rowOff>
                  </to>
                </anchor>
              </controlPr>
            </control>
          </mc:Choice>
        </mc:AlternateContent>
        <mc:AlternateContent xmlns:mc="http://schemas.openxmlformats.org/markup-compatibility/2006">
          <mc:Choice Requires="x14">
            <control shapeId="2119" r:id="rId66" name="Check Box 71">
              <controlPr defaultSize="0" autoFill="0" autoLine="0" autoPict="0">
                <anchor moveWithCells="1">
                  <from>
                    <xdr:col>4</xdr:col>
                    <xdr:colOff>281940</xdr:colOff>
                    <xdr:row>68</xdr:row>
                    <xdr:rowOff>198120</xdr:rowOff>
                  </from>
                  <to>
                    <xdr:col>4</xdr:col>
                    <xdr:colOff>518160</xdr:colOff>
                    <xdr:row>68</xdr:row>
                    <xdr:rowOff>533400</xdr:rowOff>
                  </to>
                </anchor>
              </controlPr>
            </control>
          </mc:Choice>
        </mc:AlternateContent>
        <mc:AlternateContent xmlns:mc="http://schemas.openxmlformats.org/markup-compatibility/2006">
          <mc:Choice Requires="x14">
            <control shapeId="2120" r:id="rId67" name="Check Box 72">
              <controlPr defaultSize="0" autoFill="0" autoLine="0" autoPict="0">
                <anchor moveWithCells="1">
                  <from>
                    <xdr:col>4</xdr:col>
                    <xdr:colOff>281940</xdr:colOff>
                    <xdr:row>69</xdr:row>
                    <xdr:rowOff>198120</xdr:rowOff>
                  </from>
                  <to>
                    <xdr:col>4</xdr:col>
                    <xdr:colOff>518160</xdr:colOff>
                    <xdr:row>69</xdr:row>
                    <xdr:rowOff>533400</xdr:rowOff>
                  </to>
                </anchor>
              </controlPr>
            </control>
          </mc:Choice>
        </mc:AlternateContent>
        <mc:AlternateContent xmlns:mc="http://schemas.openxmlformats.org/markup-compatibility/2006">
          <mc:Choice Requires="x14">
            <control shapeId="2121" r:id="rId68" name="Check Box 73">
              <controlPr defaultSize="0" autoFill="0" autoLine="0" autoPict="0">
                <anchor moveWithCells="1">
                  <from>
                    <xdr:col>4</xdr:col>
                    <xdr:colOff>281940</xdr:colOff>
                    <xdr:row>71</xdr:row>
                    <xdr:rowOff>198120</xdr:rowOff>
                  </from>
                  <to>
                    <xdr:col>4</xdr:col>
                    <xdr:colOff>518160</xdr:colOff>
                    <xdr:row>71</xdr:row>
                    <xdr:rowOff>533400</xdr:rowOff>
                  </to>
                </anchor>
              </controlPr>
            </control>
          </mc:Choice>
        </mc:AlternateContent>
        <mc:AlternateContent xmlns:mc="http://schemas.openxmlformats.org/markup-compatibility/2006">
          <mc:Choice Requires="x14">
            <control shapeId="2122" r:id="rId69" name="Check Box 74">
              <controlPr defaultSize="0" autoFill="0" autoLine="0" autoPict="0">
                <anchor moveWithCells="1">
                  <from>
                    <xdr:col>4</xdr:col>
                    <xdr:colOff>281940</xdr:colOff>
                    <xdr:row>71</xdr:row>
                    <xdr:rowOff>198120</xdr:rowOff>
                  </from>
                  <to>
                    <xdr:col>4</xdr:col>
                    <xdr:colOff>518160</xdr:colOff>
                    <xdr:row>71</xdr:row>
                    <xdr:rowOff>533400</xdr:rowOff>
                  </to>
                </anchor>
              </controlPr>
            </control>
          </mc:Choice>
        </mc:AlternateContent>
        <mc:AlternateContent xmlns:mc="http://schemas.openxmlformats.org/markup-compatibility/2006">
          <mc:Choice Requires="x14">
            <control shapeId="2123" r:id="rId70" name="Check Box 75">
              <controlPr defaultSize="0" autoFill="0" autoLine="0" autoPict="0">
                <anchor moveWithCells="1">
                  <from>
                    <xdr:col>4</xdr:col>
                    <xdr:colOff>281940</xdr:colOff>
                    <xdr:row>72</xdr:row>
                    <xdr:rowOff>198120</xdr:rowOff>
                  </from>
                  <to>
                    <xdr:col>4</xdr:col>
                    <xdr:colOff>518160</xdr:colOff>
                    <xdr:row>72</xdr:row>
                    <xdr:rowOff>533400</xdr:rowOff>
                  </to>
                </anchor>
              </controlPr>
            </control>
          </mc:Choice>
        </mc:AlternateContent>
        <mc:AlternateContent xmlns:mc="http://schemas.openxmlformats.org/markup-compatibility/2006">
          <mc:Choice Requires="x14">
            <control shapeId="2124" r:id="rId71" name="Check Box 76">
              <controlPr defaultSize="0" autoFill="0" autoLine="0" autoPict="0">
                <anchor moveWithCells="1">
                  <from>
                    <xdr:col>4</xdr:col>
                    <xdr:colOff>281940</xdr:colOff>
                    <xdr:row>73</xdr:row>
                    <xdr:rowOff>198120</xdr:rowOff>
                  </from>
                  <to>
                    <xdr:col>4</xdr:col>
                    <xdr:colOff>518160</xdr:colOff>
                    <xdr:row>73</xdr:row>
                    <xdr:rowOff>533400</xdr:rowOff>
                  </to>
                </anchor>
              </controlPr>
            </control>
          </mc:Choice>
        </mc:AlternateContent>
        <mc:AlternateContent xmlns:mc="http://schemas.openxmlformats.org/markup-compatibility/2006">
          <mc:Choice Requires="x14">
            <control shapeId="2125" r:id="rId72" name="Check Box 77">
              <controlPr defaultSize="0" autoFill="0" autoLine="0" autoPict="0">
                <anchor moveWithCells="1">
                  <from>
                    <xdr:col>4</xdr:col>
                    <xdr:colOff>281940</xdr:colOff>
                    <xdr:row>74</xdr:row>
                    <xdr:rowOff>198120</xdr:rowOff>
                  </from>
                  <to>
                    <xdr:col>4</xdr:col>
                    <xdr:colOff>518160</xdr:colOff>
                    <xdr:row>74</xdr:row>
                    <xdr:rowOff>533400</xdr:rowOff>
                  </to>
                </anchor>
              </controlPr>
            </control>
          </mc:Choice>
        </mc:AlternateContent>
        <mc:AlternateContent xmlns:mc="http://schemas.openxmlformats.org/markup-compatibility/2006">
          <mc:Choice Requires="x14">
            <control shapeId="2131" r:id="rId73" name="Check Box 83">
              <controlPr defaultSize="0" autoFill="0" autoLine="0" autoPict="0">
                <anchor moveWithCells="1">
                  <from>
                    <xdr:col>4</xdr:col>
                    <xdr:colOff>281940</xdr:colOff>
                    <xdr:row>76</xdr:row>
                    <xdr:rowOff>198120</xdr:rowOff>
                  </from>
                  <to>
                    <xdr:col>4</xdr:col>
                    <xdr:colOff>518160</xdr:colOff>
                    <xdr:row>76</xdr:row>
                    <xdr:rowOff>533400</xdr:rowOff>
                  </to>
                </anchor>
              </controlPr>
            </control>
          </mc:Choice>
        </mc:AlternateContent>
        <mc:AlternateContent xmlns:mc="http://schemas.openxmlformats.org/markup-compatibility/2006">
          <mc:Choice Requires="x14">
            <control shapeId="2132" r:id="rId74" name="Check Box 84">
              <controlPr defaultSize="0" autoFill="0" autoLine="0" autoPict="0">
                <anchor moveWithCells="1">
                  <from>
                    <xdr:col>4</xdr:col>
                    <xdr:colOff>281940</xdr:colOff>
                    <xdr:row>76</xdr:row>
                    <xdr:rowOff>198120</xdr:rowOff>
                  </from>
                  <to>
                    <xdr:col>4</xdr:col>
                    <xdr:colOff>518160</xdr:colOff>
                    <xdr:row>76</xdr:row>
                    <xdr:rowOff>533400</xdr:rowOff>
                  </to>
                </anchor>
              </controlPr>
            </control>
          </mc:Choice>
        </mc:AlternateContent>
        <mc:AlternateContent xmlns:mc="http://schemas.openxmlformats.org/markup-compatibility/2006">
          <mc:Choice Requires="x14">
            <control shapeId="2133" r:id="rId75" name="Check Box 85">
              <controlPr defaultSize="0" autoFill="0" autoLine="0" autoPict="0">
                <anchor moveWithCells="1">
                  <from>
                    <xdr:col>4</xdr:col>
                    <xdr:colOff>281940</xdr:colOff>
                    <xdr:row>77</xdr:row>
                    <xdr:rowOff>198120</xdr:rowOff>
                  </from>
                  <to>
                    <xdr:col>4</xdr:col>
                    <xdr:colOff>518160</xdr:colOff>
                    <xdr:row>77</xdr:row>
                    <xdr:rowOff>533400</xdr:rowOff>
                  </to>
                </anchor>
              </controlPr>
            </control>
          </mc:Choice>
        </mc:AlternateContent>
        <mc:AlternateContent xmlns:mc="http://schemas.openxmlformats.org/markup-compatibility/2006">
          <mc:Choice Requires="x14">
            <control shapeId="2134" r:id="rId76" name="Check Box 86">
              <controlPr defaultSize="0" autoFill="0" autoLine="0" autoPict="0">
                <anchor moveWithCells="1">
                  <from>
                    <xdr:col>4</xdr:col>
                    <xdr:colOff>281940</xdr:colOff>
                    <xdr:row>78</xdr:row>
                    <xdr:rowOff>198120</xdr:rowOff>
                  </from>
                  <to>
                    <xdr:col>4</xdr:col>
                    <xdr:colOff>518160</xdr:colOff>
                    <xdr:row>78</xdr:row>
                    <xdr:rowOff>533400</xdr:rowOff>
                  </to>
                </anchor>
              </controlPr>
            </control>
          </mc:Choice>
        </mc:AlternateContent>
        <mc:AlternateContent xmlns:mc="http://schemas.openxmlformats.org/markup-compatibility/2006">
          <mc:Choice Requires="x14">
            <control shapeId="2135" r:id="rId77" name="Check Box 87">
              <controlPr defaultSize="0" autoFill="0" autoLine="0" autoPict="0">
                <anchor moveWithCells="1">
                  <from>
                    <xdr:col>4</xdr:col>
                    <xdr:colOff>281940</xdr:colOff>
                    <xdr:row>79</xdr:row>
                    <xdr:rowOff>198120</xdr:rowOff>
                  </from>
                  <to>
                    <xdr:col>4</xdr:col>
                    <xdr:colOff>518160</xdr:colOff>
                    <xdr:row>79</xdr:row>
                    <xdr:rowOff>533400</xdr:rowOff>
                  </to>
                </anchor>
              </controlPr>
            </control>
          </mc:Choice>
        </mc:AlternateContent>
        <mc:AlternateContent xmlns:mc="http://schemas.openxmlformats.org/markup-compatibility/2006">
          <mc:Choice Requires="x14">
            <control shapeId="2136" r:id="rId78" name="Check Box 88">
              <controlPr defaultSize="0" autoFill="0" autoLine="0" autoPict="0">
                <anchor moveWithCells="1">
                  <from>
                    <xdr:col>4</xdr:col>
                    <xdr:colOff>281940</xdr:colOff>
                    <xdr:row>80</xdr:row>
                    <xdr:rowOff>198120</xdr:rowOff>
                  </from>
                  <to>
                    <xdr:col>4</xdr:col>
                    <xdr:colOff>518160</xdr:colOff>
                    <xdr:row>80</xdr:row>
                    <xdr:rowOff>533400</xdr:rowOff>
                  </to>
                </anchor>
              </controlPr>
            </control>
          </mc:Choice>
        </mc:AlternateContent>
        <mc:AlternateContent xmlns:mc="http://schemas.openxmlformats.org/markup-compatibility/2006">
          <mc:Choice Requires="x14">
            <control shapeId="2137" r:id="rId79" name="Check Box 89">
              <controlPr defaultSize="0" autoFill="0" autoLine="0" autoPict="0">
                <anchor moveWithCells="1">
                  <from>
                    <xdr:col>4</xdr:col>
                    <xdr:colOff>281940</xdr:colOff>
                    <xdr:row>81</xdr:row>
                    <xdr:rowOff>198120</xdr:rowOff>
                  </from>
                  <to>
                    <xdr:col>4</xdr:col>
                    <xdr:colOff>518160</xdr:colOff>
                    <xdr:row>81</xdr:row>
                    <xdr:rowOff>533400</xdr:rowOff>
                  </to>
                </anchor>
              </controlPr>
            </control>
          </mc:Choice>
        </mc:AlternateContent>
        <mc:AlternateContent xmlns:mc="http://schemas.openxmlformats.org/markup-compatibility/2006">
          <mc:Choice Requires="x14">
            <control shapeId="2138" r:id="rId80" name="Check Box 90">
              <controlPr defaultSize="0" autoFill="0" autoLine="0" autoPict="0">
                <anchor moveWithCells="1">
                  <from>
                    <xdr:col>4</xdr:col>
                    <xdr:colOff>281940</xdr:colOff>
                    <xdr:row>83</xdr:row>
                    <xdr:rowOff>198120</xdr:rowOff>
                  </from>
                  <to>
                    <xdr:col>4</xdr:col>
                    <xdr:colOff>518160</xdr:colOff>
                    <xdr:row>83</xdr:row>
                    <xdr:rowOff>533400</xdr:rowOff>
                  </to>
                </anchor>
              </controlPr>
            </control>
          </mc:Choice>
        </mc:AlternateContent>
        <mc:AlternateContent xmlns:mc="http://schemas.openxmlformats.org/markup-compatibility/2006">
          <mc:Choice Requires="x14">
            <control shapeId="2139" r:id="rId81" name="Check Box 91">
              <controlPr defaultSize="0" autoFill="0" autoLine="0" autoPict="0">
                <anchor moveWithCells="1">
                  <from>
                    <xdr:col>4</xdr:col>
                    <xdr:colOff>281940</xdr:colOff>
                    <xdr:row>83</xdr:row>
                    <xdr:rowOff>198120</xdr:rowOff>
                  </from>
                  <to>
                    <xdr:col>4</xdr:col>
                    <xdr:colOff>518160</xdr:colOff>
                    <xdr:row>83</xdr:row>
                    <xdr:rowOff>533400</xdr:rowOff>
                  </to>
                </anchor>
              </controlPr>
            </control>
          </mc:Choice>
        </mc:AlternateContent>
        <mc:AlternateContent xmlns:mc="http://schemas.openxmlformats.org/markup-compatibility/2006">
          <mc:Choice Requires="x14">
            <control shapeId="2140" r:id="rId82" name="Check Box 92">
              <controlPr defaultSize="0" autoFill="0" autoLine="0" autoPict="0">
                <anchor moveWithCells="1">
                  <from>
                    <xdr:col>4</xdr:col>
                    <xdr:colOff>281940</xdr:colOff>
                    <xdr:row>84</xdr:row>
                    <xdr:rowOff>198120</xdr:rowOff>
                  </from>
                  <to>
                    <xdr:col>4</xdr:col>
                    <xdr:colOff>518160</xdr:colOff>
                    <xdr:row>84</xdr:row>
                    <xdr:rowOff>533400</xdr:rowOff>
                  </to>
                </anchor>
              </controlPr>
            </control>
          </mc:Choice>
        </mc:AlternateContent>
        <mc:AlternateContent xmlns:mc="http://schemas.openxmlformats.org/markup-compatibility/2006">
          <mc:Choice Requires="x14">
            <control shapeId="2141" r:id="rId83" name="Check Box 93">
              <controlPr defaultSize="0" autoFill="0" autoLine="0" autoPict="0">
                <anchor moveWithCells="1">
                  <from>
                    <xdr:col>4</xdr:col>
                    <xdr:colOff>281940</xdr:colOff>
                    <xdr:row>85</xdr:row>
                    <xdr:rowOff>198120</xdr:rowOff>
                  </from>
                  <to>
                    <xdr:col>4</xdr:col>
                    <xdr:colOff>518160</xdr:colOff>
                    <xdr:row>85</xdr:row>
                    <xdr:rowOff>533400</xdr:rowOff>
                  </to>
                </anchor>
              </controlPr>
            </control>
          </mc:Choice>
        </mc:AlternateContent>
        <mc:AlternateContent xmlns:mc="http://schemas.openxmlformats.org/markup-compatibility/2006">
          <mc:Choice Requires="x14">
            <control shapeId="2142" r:id="rId84" name="Check Box 94">
              <controlPr defaultSize="0" autoFill="0" autoLine="0" autoPict="0">
                <anchor moveWithCells="1">
                  <from>
                    <xdr:col>4</xdr:col>
                    <xdr:colOff>281940</xdr:colOff>
                    <xdr:row>87</xdr:row>
                    <xdr:rowOff>198120</xdr:rowOff>
                  </from>
                  <to>
                    <xdr:col>4</xdr:col>
                    <xdr:colOff>518160</xdr:colOff>
                    <xdr:row>87</xdr:row>
                    <xdr:rowOff>533400</xdr:rowOff>
                  </to>
                </anchor>
              </controlPr>
            </control>
          </mc:Choice>
        </mc:AlternateContent>
        <mc:AlternateContent xmlns:mc="http://schemas.openxmlformats.org/markup-compatibility/2006">
          <mc:Choice Requires="x14">
            <control shapeId="2143" r:id="rId85" name="Check Box 95">
              <controlPr defaultSize="0" autoFill="0" autoLine="0" autoPict="0">
                <anchor moveWithCells="1">
                  <from>
                    <xdr:col>4</xdr:col>
                    <xdr:colOff>281940</xdr:colOff>
                    <xdr:row>87</xdr:row>
                    <xdr:rowOff>198120</xdr:rowOff>
                  </from>
                  <to>
                    <xdr:col>4</xdr:col>
                    <xdr:colOff>518160</xdr:colOff>
                    <xdr:row>87</xdr:row>
                    <xdr:rowOff>533400</xdr:rowOff>
                  </to>
                </anchor>
              </controlPr>
            </control>
          </mc:Choice>
        </mc:AlternateContent>
        <mc:AlternateContent xmlns:mc="http://schemas.openxmlformats.org/markup-compatibility/2006">
          <mc:Choice Requires="x14">
            <control shapeId="2144" r:id="rId86" name="Check Box 96">
              <controlPr defaultSize="0" autoFill="0" autoLine="0" autoPict="0">
                <anchor moveWithCells="1">
                  <from>
                    <xdr:col>4</xdr:col>
                    <xdr:colOff>281940</xdr:colOff>
                    <xdr:row>88</xdr:row>
                    <xdr:rowOff>198120</xdr:rowOff>
                  </from>
                  <to>
                    <xdr:col>4</xdr:col>
                    <xdr:colOff>518160</xdr:colOff>
                    <xdr:row>88</xdr:row>
                    <xdr:rowOff>533400</xdr:rowOff>
                  </to>
                </anchor>
              </controlPr>
            </control>
          </mc:Choice>
        </mc:AlternateContent>
        <mc:AlternateContent xmlns:mc="http://schemas.openxmlformats.org/markup-compatibility/2006">
          <mc:Choice Requires="x14">
            <control shapeId="2145" r:id="rId87" name="Check Box 97">
              <controlPr defaultSize="0" autoFill="0" autoLine="0" autoPict="0">
                <anchor moveWithCells="1">
                  <from>
                    <xdr:col>4</xdr:col>
                    <xdr:colOff>281940</xdr:colOff>
                    <xdr:row>89</xdr:row>
                    <xdr:rowOff>198120</xdr:rowOff>
                  </from>
                  <to>
                    <xdr:col>4</xdr:col>
                    <xdr:colOff>518160</xdr:colOff>
                    <xdr:row>89</xdr:row>
                    <xdr:rowOff>533400</xdr:rowOff>
                  </to>
                </anchor>
              </controlPr>
            </control>
          </mc:Choice>
        </mc:AlternateContent>
        <mc:AlternateContent xmlns:mc="http://schemas.openxmlformats.org/markup-compatibility/2006">
          <mc:Choice Requires="x14">
            <control shapeId="2146" r:id="rId88" name="Check Box 98">
              <controlPr defaultSize="0" autoFill="0" autoLine="0" autoPict="0">
                <anchor moveWithCells="1">
                  <from>
                    <xdr:col>4</xdr:col>
                    <xdr:colOff>281940</xdr:colOff>
                    <xdr:row>91</xdr:row>
                    <xdr:rowOff>198120</xdr:rowOff>
                  </from>
                  <to>
                    <xdr:col>4</xdr:col>
                    <xdr:colOff>518160</xdr:colOff>
                    <xdr:row>91</xdr:row>
                    <xdr:rowOff>533400</xdr:rowOff>
                  </to>
                </anchor>
              </controlPr>
            </control>
          </mc:Choice>
        </mc:AlternateContent>
        <mc:AlternateContent xmlns:mc="http://schemas.openxmlformats.org/markup-compatibility/2006">
          <mc:Choice Requires="x14">
            <control shapeId="2147" r:id="rId89" name="Check Box 99">
              <controlPr defaultSize="0" autoFill="0" autoLine="0" autoPict="0">
                <anchor moveWithCells="1">
                  <from>
                    <xdr:col>4</xdr:col>
                    <xdr:colOff>281940</xdr:colOff>
                    <xdr:row>91</xdr:row>
                    <xdr:rowOff>198120</xdr:rowOff>
                  </from>
                  <to>
                    <xdr:col>4</xdr:col>
                    <xdr:colOff>518160</xdr:colOff>
                    <xdr:row>91</xdr:row>
                    <xdr:rowOff>533400</xdr:rowOff>
                  </to>
                </anchor>
              </controlPr>
            </control>
          </mc:Choice>
        </mc:AlternateContent>
        <mc:AlternateContent xmlns:mc="http://schemas.openxmlformats.org/markup-compatibility/2006">
          <mc:Choice Requires="x14">
            <control shapeId="2148" r:id="rId90" name="Check Box 100">
              <controlPr defaultSize="0" autoFill="0" autoLine="0" autoPict="0">
                <anchor moveWithCells="1">
                  <from>
                    <xdr:col>4</xdr:col>
                    <xdr:colOff>281940</xdr:colOff>
                    <xdr:row>92</xdr:row>
                    <xdr:rowOff>198120</xdr:rowOff>
                  </from>
                  <to>
                    <xdr:col>4</xdr:col>
                    <xdr:colOff>518160</xdr:colOff>
                    <xdr:row>92</xdr:row>
                    <xdr:rowOff>533400</xdr:rowOff>
                  </to>
                </anchor>
              </controlPr>
            </control>
          </mc:Choice>
        </mc:AlternateContent>
        <mc:AlternateContent xmlns:mc="http://schemas.openxmlformats.org/markup-compatibility/2006">
          <mc:Choice Requires="x14">
            <control shapeId="2149" r:id="rId91" name="Check Box 101">
              <controlPr defaultSize="0" autoFill="0" autoLine="0" autoPict="0">
                <anchor moveWithCells="1">
                  <from>
                    <xdr:col>4</xdr:col>
                    <xdr:colOff>281940</xdr:colOff>
                    <xdr:row>97</xdr:row>
                    <xdr:rowOff>198120</xdr:rowOff>
                  </from>
                  <to>
                    <xdr:col>4</xdr:col>
                    <xdr:colOff>518160</xdr:colOff>
                    <xdr:row>97</xdr:row>
                    <xdr:rowOff>533400</xdr:rowOff>
                  </to>
                </anchor>
              </controlPr>
            </control>
          </mc:Choice>
        </mc:AlternateContent>
        <mc:AlternateContent xmlns:mc="http://schemas.openxmlformats.org/markup-compatibility/2006">
          <mc:Choice Requires="x14">
            <control shapeId="2150" r:id="rId92" name="Check Box 102">
              <controlPr defaultSize="0" autoFill="0" autoLine="0" autoPict="0">
                <anchor moveWithCells="1">
                  <from>
                    <xdr:col>4</xdr:col>
                    <xdr:colOff>281940</xdr:colOff>
                    <xdr:row>97</xdr:row>
                    <xdr:rowOff>198120</xdr:rowOff>
                  </from>
                  <to>
                    <xdr:col>4</xdr:col>
                    <xdr:colOff>518160</xdr:colOff>
                    <xdr:row>97</xdr:row>
                    <xdr:rowOff>533400</xdr:rowOff>
                  </to>
                </anchor>
              </controlPr>
            </control>
          </mc:Choice>
        </mc:AlternateContent>
        <mc:AlternateContent xmlns:mc="http://schemas.openxmlformats.org/markup-compatibility/2006">
          <mc:Choice Requires="x14">
            <control shapeId="2151" r:id="rId93" name="Check Box 103">
              <controlPr defaultSize="0" autoFill="0" autoLine="0" autoPict="0">
                <anchor moveWithCells="1">
                  <from>
                    <xdr:col>4</xdr:col>
                    <xdr:colOff>281940</xdr:colOff>
                    <xdr:row>98</xdr:row>
                    <xdr:rowOff>198120</xdr:rowOff>
                  </from>
                  <to>
                    <xdr:col>4</xdr:col>
                    <xdr:colOff>518160</xdr:colOff>
                    <xdr:row>98</xdr:row>
                    <xdr:rowOff>533400</xdr:rowOff>
                  </to>
                </anchor>
              </controlPr>
            </control>
          </mc:Choice>
        </mc:AlternateContent>
        <mc:AlternateContent xmlns:mc="http://schemas.openxmlformats.org/markup-compatibility/2006">
          <mc:Choice Requires="x14">
            <control shapeId="2152" r:id="rId94" name="Check Box 104">
              <controlPr defaultSize="0" autoFill="0" autoLine="0" autoPict="0">
                <anchor moveWithCells="1">
                  <from>
                    <xdr:col>4</xdr:col>
                    <xdr:colOff>281940</xdr:colOff>
                    <xdr:row>99</xdr:row>
                    <xdr:rowOff>198120</xdr:rowOff>
                  </from>
                  <to>
                    <xdr:col>4</xdr:col>
                    <xdr:colOff>518160</xdr:colOff>
                    <xdr:row>99</xdr:row>
                    <xdr:rowOff>533400</xdr:rowOff>
                  </to>
                </anchor>
              </controlPr>
            </control>
          </mc:Choice>
        </mc:AlternateContent>
        <mc:AlternateContent xmlns:mc="http://schemas.openxmlformats.org/markup-compatibility/2006">
          <mc:Choice Requires="x14">
            <control shapeId="2153" r:id="rId95" name="Check Box 105">
              <controlPr defaultSize="0" autoFill="0" autoLine="0" autoPict="0">
                <anchor moveWithCells="1">
                  <from>
                    <xdr:col>4</xdr:col>
                    <xdr:colOff>281940</xdr:colOff>
                    <xdr:row>99</xdr:row>
                    <xdr:rowOff>198120</xdr:rowOff>
                  </from>
                  <to>
                    <xdr:col>4</xdr:col>
                    <xdr:colOff>518160</xdr:colOff>
                    <xdr:row>99</xdr:row>
                    <xdr:rowOff>533400</xdr:rowOff>
                  </to>
                </anchor>
              </controlPr>
            </control>
          </mc:Choice>
        </mc:AlternateContent>
        <mc:AlternateContent xmlns:mc="http://schemas.openxmlformats.org/markup-compatibility/2006">
          <mc:Choice Requires="x14">
            <control shapeId="2154" r:id="rId96" name="Check Box 106">
              <controlPr defaultSize="0" autoFill="0" autoLine="0" autoPict="0">
                <anchor moveWithCells="1">
                  <from>
                    <xdr:col>4</xdr:col>
                    <xdr:colOff>281940</xdr:colOff>
                    <xdr:row>100</xdr:row>
                    <xdr:rowOff>198120</xdr:rowOff>
                  </from>
                  <to>
                    <xdr:col>4</xdr:col>
                    <xdr:colOff>518160</xdr:colOff>
                    <xdr:row>100</xdr:row>
                    <xdr:rowOff>533400</xdr:rowOff>
                  </to>
                </anchor>
              </controlPr>
            </control>
          </mc:Choice>
        </mc:AlternateContent>
        <mc:AlternateContent xmlns:mc="http://schemas.openxmlformats.org/markup-compatibility/2006">
          <mc:Choice Requires="x14">
            <control shapeId="2155" r:id="rId97" name="Check Box 107">
              <controlPr defaultSize="0" autoFill="0" autoLine="0" autoPict="0">
                <anchor moveWithCells="1">
                  <from>
                    <xdr:col>4</xdr:col>
                    <xdr:colOff>281940</xdr:colOff>
                    <xdr:row>101</xdr:row>
                    <xdr:rowOff>198120</xdr:rowOff>
                  </from>
                  <to>
                    <xdr:col>4</xdr:col>
                    <xdr:colOff>518160</xdr:colOff>
                    <xdr:row>101</xdr:row>
                    <xdr:rowOff>533400</xdr:rowOff>
                  </to>
                </anchor>
              </controlPr>
            </control>
          </mc:Choice>
        </mc:AlternateContent>
        <mc:AlternateContent xmlns:mc="http://schemas.openxmlformats.org/markup-compatibility/2006">
          <mc:Choice Requires="x14">
            <control shapeId="2156" r:id="rId98" name="Check Box 108">
              <controlPr defaultSize="0" autoFill="0" autoLine="0" autoPict="0">
                <anchor moveWithCells="1">
                  <from>
                    <xdr:col>4</xdr:col>
                    <xdr:colOff>281940</xdr:colOff>
                    <xdr:row>101</xdr:row>
                    <xdr:rowOff>198120</xdr:rowOff>
                  </from>
                  <to>
                    <xdr:col>4</xdr:col>
                    <xdr:colOff>518160</xdr:colOff>
                    <xdr:row>101</xdr:row>
                    <xdr:rowOff>533400</xdr:rowOff>
                  </to>
                </anchor>
              </controlPr>
            </control>
          </mc:Choice>
        </mc:AlternateContent>
        <mc:AlternateContent xmlns:mc="http://schemas.openxmlformats.org/markup-compatibility/2006">
          <mc:Choice Requires="x14">
            <control shapeId="2157" r:id="rId99" name="Check Box 109">
              <controlPr defaultSize="0" autoFill="0" autoLine="0" autoPict="0">
                <anchor moveWithCells="1">
                  <from>
                    <xdr:col>4</xdr:col>
                    <xdr:colOff>281940</xdr:colOff>
                    <xdr:row>102</xdr:row>
                    <xdr:rowOff>198120</xdr:rowOff>
                  </from>
                  <to>
                    <xdr:col>4</xdr:col>
                    <xdr:colOff>518160</xdr:colOff>
                    <xdr:row>102</xdr:row>
                    <xdr:rowOff>533400</xdr:rowOff>
                  </to>
                </anchor>
              </controlPr>
            </control>
          </mc:Choice>
        </mc:AlternateContent>
        <mc:AlternateContent xmlns:mc="http://schemas.openxmlformats.org/markup-compatibility/2006">
          <mc:Choice Requires="x14">
            <control shapeId="2158" r:id="rId100" name="Check Box 110">
              <controlPr defaultSize="0" autoFill="0" autoLine="0" autoPict="0">
                <anchor moveWithCells="1">
                  <from>
                    <xdr:col>4</xdr:col>
                    <xdr:colOff>281940</xdr:colOff>
                    <xdr:row>103</xdr:row>
                    <xdr:rowOff>198120</xdr:rowOff>
                  </from>
                  <to>
                    <xdr:col>4</xdr:col>
                    <xdr:colOff>518160</xdr:colOff>
                    <xdr:row>103</xdr:row>
                    <xdr:rowOff>533400</xdr:rowOff>
                  </to>
                </anchor>
              </controlPr>
            </control>
          </mc:Choice>
        </mc:AlternateContent>
        <mc:AlternateContent xmlns:mc="http://schemas.openxmlformats.org/markup-compatibility/2006">
          <mc:Choice Requires="x14">
            <control shapeId="2159" r:id="rId101" name="Check Box 111">
              <controlPr defaultSize="0" autoFill="0" autoLine="0" autoPict="0">
                <anchor moveWithCells="1">
                  <from>
                    <xdr:col>4</xdr:col>
                    <xdr:colOff>281940</xdr:colOff>
                    <xdr:row>105</xdr:row>
                    <xdr:rowOff>198120</xdr:rowOff>
                  </from>
                  <to>
                    <xdr:col>4</xdr:col>
                    <xdr:colOff>518160</xdr:colOff>
                    <xdr:row>105</xdr:row>
                    <xdr:rowOff>533400</xdr:rowOff>
                  </to>
                </anchor>
              </controlPr>
            </control>
          </mc:Choice>
        </mc:AlternateContent>
        <mc:AlternateContent xmlns:mc="http://schemas.openxmlformats.org/markup-compatibility/2006">
          <mc:Choice Requires="x14">
            <control shapeId="2160" r:id="rId102" name="Check Box 112">
              <controlPr defaultSize="0" autoFill="0" autoLine="0" autoPict="0">
                <anchor moveWithCells="1">
                  <from>
                    <xdr:col>4</xdr:col>
                    <xdr:colOff>281940</xdr:colOff>
                    <xdr:row>105</xdr:row>
                    <xdr:rowOff>198120</xdr:rowOff>
                  </from>
                  <to>
                    <xdr:col>4</xdr:col>
                    <xdr:colOff>518160</xdr:colOff>
                    <xdr:row>105</xdr:row>
                    <xdr:rowOff>533400</xdr:rowOff>
                  </to>
                </anchor>
              </controlPr>
            </control>
          </mc:Choice>
        </mc:AlternateContent>
        <mc:AlternateContent xmlns:mc="http://schemas.openxmlformats.org/markup-compatibility/2006">
          <mc:Choice Requires="x14">
            <control shapeId="2161" r:id="rId103" name="Check Box 113">
              <controlPr defaultSize="0" autoFill="0" autoLine="0" autoPict="0">
                <anchor moveWithCells="1">
                  <from>
                    <xdr:col>4</xdr:col>
                    <xdr:colOff>281940</xdr:colOff>
                    <xdr:row>106</xdr:row>
                    <xdr:rowOff>198120</xdr:rowOff>
                  </from>
                  <to>
                    <xdr:col>4</xdr:col>
                    <xdr:colOff>518160</xdr:colOff>
                    <xdr:row>106</xdr:row>
                    <xdr:rowOff>533400</xdr:rowOff>
                  </to>
                </anchor>
              </controlPr>
            </control>
          </mc:Choice>
        </mc:AlternateContent>
        <mc:AlternateContent xmlns:mc="http://schemas.openxmlformats.org/markup-compatibility/2006">
          <mc:Choice Requires="x14">
            <control shapeId="2162" r:id="rId104" name="Check Box 114">
              <controlPr defaultSize="0" autoFill="0" autoLine="0" autoPict="0">
                <anchor moveWithCells="1">
                  <from>
                    <xdr:col>4</xdr:col>
                    <xdr:colOff>281940</xdr:colOff>
                    <xdr:row>107</xdr:row>
                    <xdr:rowOff>198120</xdr:rowOff>
                  </from>
                  <to>
                    <xdr:col>4</xdr:col>
                    <xdr:colOff>518160</xdr:colOff>
                    <xdr:row>107</xdr:row>
                    <xdr:rowOff>533400</xdr:rowOff>
                  </to>
                </anchor>
              </controlPr>
            </control>
          </mc:Choice>
        </mc:AlternateContent>
        <mc:AlternateContent xmlns:mc="http://schemas.openxmlformats.org/markup-compatibility/2006">
          <mc:Choice Requires="x14">
            <control shapeId="2163" r:id="rId105" name="Check Box 115">
              <controlPr defaultSize="0" autoFill="0" autoLine="0" autoPict="0">
                <anchor moveWithCells="1">
                  <from>
                    <xdr:col>4</xdr:col>
                    <xdr:colOff>281940</xdr:colOff>
                    <xdr:row>107</xdr:row>
                    <xdr:rowOff>198120</xdr:rowOff>
                  </from>
                  <to>
                    <xdr:col>4</xdr:col>
                    <xdr:colOff>518160</xdr:colOff>
                    <xdr:row>107</xdr:row>
                    <xdr:rowOff>533400</xdr:rowOff>
                  </to>
                </anchor>
              </controlPr>
            </control>
          </mc:Choice>
        </mc:AlternateContent>
        <mc:AlternateContent xmlns:mc="http://schemas.openxmlformats.org/markup-compatibility/2006">
          <mc:Choice Requires="x14">
            <control shapeId="2164" r:id="rId106" name="Check Box 116">
              <controlPr defaultSize="0" autoFill="0" autoLine="0" autoPict="0">
                <anchor moveWithCells="1">
                  <from>
                    <xdr:col>4</xdr:col>
                    <xdr:colOff>281940</xdr:colOff>
                    <xdr:row>108</xdr:row>
                    <xdr:rowOff>198120</xdr:rowOff>
                  </from>
                  <to>
                    <xdr:col>4</xdr:col>
                    <xdr:colOff>518160</xdr:colOff>
                    <xdr:row>108</xdr:row>
                    <xdr:rowOff>533400</xdr:rowOff>
                  </to>
                </anchor>
              </controlPr>
            </control>
          </mc:Choice>
        </mc:AlternateContent>
        <mc:AlternateContent xmlns:mc="http://schemas.openxmlformats.org/markup-compatibility/2006">
          <mc:Choice Requires="x14">
            <control shapeId="2165" r:id="rId107" name="Check Box 117">
              <controlPr defaultSize="0" autoFill="0" autoLine="0" autoPict="0">
                <anchor moveWithCells="1">
                  <from>
                    <xdr:col>4</xdr:col>
                    <xdr:colOff>281940</xdr:colOff>
                    <xdr:row>109</xdr:row>
                    <xdr:rowOff>198120</xdr:rowOff>
                  </from>
                  <to>
                    <xdr:col>4</xdr:col>
                    <xdr:colOff>518160</xdr:colOff>
                    <xdr:row>109</xdr:row>
                    <xdr:rowOff>533400</xdr:rowOff>
                  </to>
                </anchor>
              </controlPr>
            </control>
          </mc:Choice>
        </mc:AlternateContent>
        <mc:AlternateContent xmlns:mc="http://schemas.openxmlformats.org/markup-compatibility/2006">
          <mc:Choice Requires="x14">
            <control shapeId="2166" r:id="rId108" name="Check Box 118">
              <controlPr defaultSize="0" autoFill="0" autoLine="0" autoPict="0">
                <anchor moveWithCells="1">
                  <from>
                    <xdr:col>4</xdr:col>
                    <xdr:colOff>281940</xdr:colOff>
                    <xdr:row>109</xdr:row>
                    <xdr:rowOff>198120</xdr:rowOff>
                  </from>
                  <to>
                    <xdr:col>4</xdr:col>
                    <xdr:colOff>518160</xdr:colOff>
                    <xdr:row>109</xdr:row>
                    <xdr:rowOff>533400</xdr:rowOff>
                  </to>
                </anchor>
              </controlPr>
            </control>
          </mc:Choice>
        </mc:AlternateContent>
        <mc:AlternateContent xmlns:mc="http://schemas.openxmlformats.org/markup-compatibility/2006">
          <mc:Choice Requires="x14">
            <control shapeId="2167" r:id="rId109" name="Check Box 119">
              <controlPr defaultSize="0" autoFill="0" autoLine="0" autoPict="0">
                <anchor moveWithCells="1">
                  <from>
                    <xdr:col>4</xdr:col>
                    <xdr:colOff>281940</xdr:colOff>
                    <xdr:row>110</xdr:row>
                    <xdr:rowOff>198120</xdr:rowOff>
                  </from>
                  <to>
                    <xdr:col>4</xdr:col>
                    <xdr:colOff>518160</xdr:colOff>
                    <xdr:row>110</xdr:row>
                    <xdr:rowOff>533400</xdr:rowOff>
                  </to>
                </anchor>
              </controlPr>
            </control>
          </mc:Choice>
        </mc:AlternateContent>
        <mc:AlternateContent xmlns:mc="http://schemas.openxmlformats.org/markup-compatibility/2006">
          <mc:Choice Requires="x14">
            <control shapeId="2168" r:id="rId110" name="Check Box 120">
              <controlPr defaultSize="0" autoFill="0" autoLine="0" autoPict="0">
                <anchor moveWithCells="1">
                  <from>
                    <xdr:col>4</xdr:col>
                    <xdr:colOff>281940</xdr:colOff>
                    <xdr:row>111</xdr:row>
                    <xdr:rowOff>198120</xdr:rowOff>
                  </from>
                  <to>
                    <xdr:col>4</xdr:col>
                    <xdr:colOff>518160</xdr:colOff>
                    <xdr:row>111</xdr:row>
                    <xdr:rowOff>533400</xdr:rowOff>
                  </to>
                </anchor>
              </controlPr>
            </control>
          </mc:Choice>
        </mc:AlternateContent>
        <mc:AlternateContent xmlns:mc="http://schemas.openxmlformats.org/markup-compatibility/2006">
          <mc:Choice Requires="x14">
            <control shapeId="2169" r:id="rId111" name="Check Box 121">
              <controlPr defaultSize="0" autoFill="0" autoLine="0" autoPict="0">
                <anchor moveWithCells="1">
                  <from>
                    <xdr:col>4</xdr:col>
                    <xdr:colOff>281940</xdr:colOff>
                    <xdr:row>112</xdr:row>
                    <xdr:rowOff>198120</xdr:rowOff>
                  </from>
                  <to>
                    <xdr:col>4</xdr:col>
                    <xdr:colOff>518160</xdr:colOff>
                    <xdr:row>112</xdr:row>
                    <xdr:rowOff>533400</xdr:rowOff>
                  </to>
                </anchor>
              </controlPr>
            </control>
          </mc:Choice>
        </mc:AlternateContent>
        <mc:AlternateContent xmlns:mc="http://schemas.openxmlformats.org/markup-compatibility/2006">
          <mc:Choice Requires="x14">
            <control shapeId="2170" r:id="rId112" name="Check Box 122">
              <controlPr defaultSize="0" autoFill="0" autoLine="0" autoPict="0">
                <anchor moveWithCells="1">
                  <from>
                    <xdr:col>4</xdr:col>
                    <xdr:colOff>281940</xdr:colOff>
                    <xdr:row>113</xdr:row>
                    <xdr:rowOff>198120</xdr:rowOff>
                  </from>
                  <to>
                    <xdr:col>4</xdr:col>
                    <xdr:colOff>518160</xdr:colOff>
                    <xdr:row>113</xdr:row>
                    <xdr:rowOff>533400</xdr:rowOff>
                  </to>
                </anchor>
              </controlPr>
            </control>
          </mc:Choice>
        </mc:AlternateContent>
        <mc:AlternateContent xmlns:mc="http://schemas.openxmlformats.org/markup-compatibility/2006">
          <mc:Choice Requires="x14">
            <control shapeId="2171" r:id="rId113" name="Check Box 123">
              <controlPr defaultSize="0" autoFill="0" autoLine="0" autoPict="0">
                <anchor moveWithCells="1">
                  <from>
                    <xdr:col>4</xdr:col>
                    <xdr:colOff>281940</xdr:colOff>
                    <xdr:row>116</xdr:row>
                    <xdr:rowOff>198120</xdr:rowOff>
                  </from>
                  <to>
                    <xdr:col>4</xdr:col>
                    <xdr:colOff>518160</xdr:colOff>
                    <xdr:row>116</xdr:row>
                    <xdr:rowOff>533400</xdr:rowOff>
                  </to>
                </anchor>
              </controlPr>
            </control>
          </mc:Choice>
        </mc:AlternateContent>
        <mc:AlternateContent xmlns:mc="http://schemas.openxmlformats.org/markup-compatibility/2006">
          <mc:Choice Requires="x14">
            <control shapeId="2172" r:id="rId114" name="Check Box 124">
              <controlPr defaultSize="0" autoFill="0" autoLine="0" autoPict="0">
                <anchor moveWithCells="1">
                  <from>
                    <xdr:col>4</xdr:col>
                    <xdr:colOff>281940</xdr:colOff>
                    <xdr:row>116</xdr:row>
                    <xdr:rowOff>198120</xdr:rowOff>
                  </from>
                  <to>
                    <xdr:col>4</xdr:col>
                    <xdr:colOff>518160</xdr:colOff>
                    <xdr:row>116</xdr:row>
                    <xdr:rowOff>533400</xdr:rowOff>
                  </to>
                </anchor>
              </controlPr>
            </control>
          </mc:Choice>
        </mc:AlternateContent>
        <mc:AlternateContent xmlns:mc="http://schemas.openxmlformats.org/markup-compatibility/2006">
          <mc:Choice Requires="x14">
            <control shapeId="2173" r:id="rId115" name="Check Box 125">
              <controlPr defaultSize="0" autoFill="0" autoLine="0" autoPict="0">
                <anchor moveWithCells="1">
                  <from>
                    <xdr:col>4</xdr:col>
                    <xdr:colOff>281940</xdr:colOff>
                    <xdr:row>117</xdr:row>
                    <xdr:rowOff>198120</xdr:rowOff>
                  </from>
                  <to>
                    <xdr:col>4</xdr:col>
                    <xdr:colOff>518160</xdr:colOff>
                    <xdr:row>117</xdr:row>
                    <xdr:rowOff>533400</xdr:rowOff>
                  </to>
                </anchor>
              </controlPr>
            </control>
          </mc:Choice>
        </mc:AlternateContent>
        <mc:AlternateContent xmlns:mc="http://schemas.openxmlformats.org/markup-compatibility/2006">
          <mc:Choice Requires="x14">
            <control shapeId="2174" r:id="rId116" name="Check Box 126">
              <controlPr defaultSize="0" autoFill="0" autoLine="0" autoPict="0">
                <anchor moveWithCells="1">
                  <from>
                    <xdr:col>4</xdr:col>
                    <xdr:colOff>281940</xdr:colOff>
                    <xdr:row>118</xdr:row>
                    <xdr:rowOff>198120</xdr:rowOff>
                  </from>
                  <to>
                    <xdr:col>4</xdr:col>
                    <xdr:colOff>518160</xdr:colOff>
                    <xdr:row>118</xdr:row>
                    <xdr:rowOff>533400</xdr:rowOff>
                  </to>
                </anchor>
              </controlPr>
            </control>
          </mc:Choice>
        </mc:AlternateContent>
        <mc:AlternateContent xmlns:mc="http://schemas.openxmlformats.org/markup-compatibility/2006">
          <mc:Choice Requires="x14">
            <control shapeId="2175" r:id="rId117" name="Check Box 127">
              <controlPr defaultSize="0" autoFill="0" autoLine="0" autoPict="0">
                <anchor moveWithCells="1">
                  <from>
                    <xdr:col>4</xdr:col>
                    <xdr:colOff>281940</xdr:colOff>
                    <xdr:row>118</xdr:row>
                    <xdr:rowOff>198120</xdr:rowOff>
                  </from>
                  <to>
                    <xdr:col>4</xdr:col>
                    <xdr:colOff>518160</xdr:colOff>
                    <xdr:row>118</xdr:row>
                    <xdr:rowOff>533400</xdr:rowOff>
                  </to>
                </anchor>
              </controlPr>
            </control>
          </mc:Choice>
        </mc:AlternateContent>
        <mc:AlternateContent xmlns:mc="http://schemas.openxmlformats.org/markup-compatibility/2006">
          <mc:Choice Requires="x14">
            <control shapeId="2176" r:id="rId118" name="Check Box 128">
              <controlPr defaultSize="0" autoFill="0" autoLine="0" autoPict="0">
                <anchor moveWithCells="1">
                  <from>
                    <xdr:col>4</xdr:col>
                    <xdr:colOff>281940</xdr:colOff>
                    <xdr:row>120</xdr:row>
                    <xdr:rowOff>198120</xdr:rowOff>
                  </from>
                  <to>
                    <xdr:col>4</xdr:col>
                    <xdr:colOff>525780</xdr:colOff>
                    <xdr:row>120</xdr:row>
                    <xdr:rowOff>533400</xdr:rowOff>
                  </to>
                </anchor>
              </controlPr>
            </control>
          </mc:Choice>
        </mc:AlternateContent>
        <mc:AlternateContent xmlns:mc="http://schemas.openxmlformats.org/markup-compatibility/2006">
          <mc:Choice Requires="x14">
            <control shapeId="2177" r:id="rId119" name="Check Box 129">
              <controlPr defaultSize="0" autoFill="0" autoLine="0" autoPict="0">
                <anchor moveWithCells="1">
                  <from>
                    <xdr:col>4</xdr:col>
                    <xdr:colOff>281940</xdr:colOff>
                    <xdr:row>120</xdr:row>
                    <xdr:rowOff>198120</xdr:rowOff>
                  </from>
                  <to>
                    <xdr:col>4</xdr:col>
                    <xdr:colOff>525780</xdr:colOff>
                    <xdr:row>120</xdr:row>
                    <xdr:rowOff>533400</xdr:rowOff>
                  </to>
                </anchor>
              </controlPr>
            </control>
          </mc:Choice>
        </mc:AlternateContent>
        <mc:AlternateContent xmlns:mc="http://schemas.openxmlformats.org/markup-compatibility/2006">
          <mc:Choice Requires="x14">
            <control shapeId="2178" r:id="rId120" name="Check Box 130">
              <controlPr defaultSize="0" autoFill="0" autoLine="0" autoPict="0">
                <anchor moveWithCells="1">
                  <from>
                    <xdr:col>4</xdr:col>
                    <xdr:colOff>281940</xdr:colOff>
                    <xdr:row>121</xdr:row>
                    <xdr:rowOff>198120</xdr:rowOff>
                  </from>
                  <to>
                    <xdr:col>4</xdr:col>
                    <xdr:colOff>525780</xdr:colOff>
                    <xdr:row>121</xdr:row>
                    <xdr:rowOff>533400</xdr:rowOff>
                  </to>
                </anchor>
              </controlPr>
            </control>
          </mc:Choice>
        </mc:AlternateContent>
        <mc:AlternateContent xmlns:mc="http://schemas.openxmlformats.org/markup-compatibility/2006">
          <mc:Choice Requires="x14">
            <control shapeId="2179" r:id="rId121" name="Check Box 131">
              <controlPr defaultSize="0" autoFill="0" autoLine="0" autoPict="0">
                <anchor moveWithCells="1">
                  <from>
                    <xdr:col>4</xdr:col>
                    <xdr:colOff>281940</xdr:colOff>
                    <xdr:row>122</xdr:row>
                    <xdr:rowOff>198120</xdr:rowOff>
                  </from>
                  <to>
                    <xdr:col>4</xdr:col>
                    <xdr:colOff>525780</xdr:colOff>
                    <xdr:row>122</xdr:row>
                    <xdr:rowOff>533400</xdr:rowOff>
                  </to>
                </anchor>
              </controlPr>
            </control>
          </mc:Choice>
        </mc:AlternateContent>
        <mc:AlternateContent xmlns:mc="http://schemas.openxmlformats.org/markup-compatibility/2006">
          <mc:Choice Requires="x14">
            <control shapeId="2180" r:id="rId122" name="Check Box 132">
              <controlPr defaultSize="0" autoFill="0" autoLine="0" autoPict="0">
                <anchor moveWithCells="1">
                  <from>
                    <xdr:col>4</xdr:col>
                    <xdr:colOff>281940</xdr:colOff>
                    <xdr:row>122</xdr:row>
                    <xdr:rowOff>198120</xdr:rowOff>
                  </from>
                  <to>
                    <xdr:col>4</xdr:col>
                    <xdr:colOff>525780</xdr:colOff>
                    <xdr:row>122</xdr:row>
                    <xdr:rowOff>533400</xdr:rowOff>
                  </to>
                </anchor>
              </controlPr>
            </control>
          </mc:Choice>
        </mc:AlternateContent>
        <mc:AlternateContent xmlns:mc="http://schemas.openxmlformats.org/markup-compatibility/2006">
          <mc:Choice Requires="x14">
            <control shapeId="2181" r:id="rId123" name="Check Box 133">
              <controlPr defaultSize="0" autoFill="0" autoLine="0" autoPict="0">
                <anchor moveWithCells="1">
                  <from>
                    <xdr:col>4</xdr:col>
                    <xdr:colOff>281940</xdr:colOff>
                    <xdr:row>124</xdr:row>
                    <xdr:rowOff>198120</xdr:rowOff>
                  </from>
                  <to>
                    <xdr:col>4</xdr:col>
                    <xdr:colOff>518160</xdr:colOff>
                    <xdr:row>124</xdr:row>
                    <xdr:rowOff>533400</xdr:rowOff>
                  </to>
                </anchor>
              </controlPr>
            </control>
          </mc:Choice>
        </mc:AlternateContent>
        <mc:AlternateContent xmlns:mc="http://schemas.openxmlformats.org/markup-compatibility/2006">
          <mc:Choice Requires="x14">
            <control shapeId="2182" r:id="rId124" name="Check Box 134">
              <controlPr defaultSize="0" autoFill="0" autoLine="0" autoPict="0">
                <anchor moveWithCells="1">
                  <from>
                    <xdr:col>4</xdr:col>
                    <xdr:colOff>281940</xdr:colOff>
                    <xdr:row>124</xdr:row>
                    <xdr:rowOff>198120</xdr:rowOff>
                  </from>
                  <to>
                    <xdr:col>4</xdr:col>
                    <xdr:colOff>518160</xdr:colOff>
                    <xdr:row>124</xdr:row>
                    <xdr:rowOff>533400</xdr:rowOff>
                  </to>
                </anchor>
              </controlPr>
            </control>
          </mc:Choice>
        </mc:AlternateContent>
        <mc:AlternateContent xmlns:mc="http://schemas.openxmlformats.org/markup-compatibility/2006">
          <mc:Choice Requires="x14">
            <control shapeId="2183" r:id="rId125" name="Check Box 135">
              <controlPr defaultSize="0" autoFill="0" autoLine="0" autoPict="0">
                <anchor moveWithCells="1">
                  <from>
                    <xdr:col>4</xdr:col>
                    <xdr:colOff>281940</xdr:colOff>
                    <xdr:row>125</xdr:row>
                    <xdr:rowOff>198120</xdr:rowOff>
                  </from>
                  <to>
                    <xdr:col>4</xdr:col>
                    <xdr:colOff>518160</xdr:colOff>
                    <xdr:row>125</xdr:row>
                    <xdr:rowOff>533400</xdr:rowOff>
                  </to>
                </anchor>
              </controlPr>
            </control>
          </mc:Choice>
        </mc:AlternateContent>
        <mc:AlternateContent xmlns:mc="http://schemas.openxmlformats.org/markup-compatibility/2006">
          <mc:Choice Requires="x14">
            <control shapeId="2184" r:id="rId126" name="Check Box 136">
              <controlPr defaultSize="0" autoFill="0" autoLine="0" autoPict="0">
                <anchor moveWithCells="1">
                  <from>
                    <xdr:col>4</xdr:col>
                    <xdr:colOff>281940</xdr:colOff>
                    <xdr:row>126</xdr:row>
                    <xdr:rowOff>198120</xdr:rowOff>
                  </from>
                  <to>
                    <xdr:col>4</xdr:col>
                    <xdr:colOff>518160</xdr:colOff>
                    <xdr:row>126</xdr:row>
                    <xdr:rowOff>533400</xdr:rowOff>
                  </to>
                </anchor>
              </controlPr>
            </control>
          </mc:Choice>
        </mc:AlternateContent>
        <mc:AlternateContent xmlns:mc="http://schemas.openxmlformats.org/markup-compatibility/2006">
          <mc:Choice Requires="x14">
            <control shapeId="2185" r:id="rId127" name="Check Box 137">
              <controlPr defaultSize="0" autoFill="0" autoLine="0" autoPict="0">
                <anchor moveWithCells="1">
                  <from>
                    <xdr:col>4</xdr:col>
                    <xdr:colOff>281940</xdr:colOff>
                    <xdr:row>126</xdr:row>
                    <xdr:rowOff>198120</xdr:rowOff>
                  </from>
                  <to>
                    <xdr:col>4</xdr:col>
                    <xdr:colOff>518160</xdr:colOff>
                    <xdr:row>126</xdr:row>
                    <xdr:rowOff>533400</xdr:rowOff>
                  </to>
                </anchor>
              </controlPr>
            </control>
          </mc:Choice>
        </mc:AlternateContent>
        <mc:AlternateContent xmlns:mc="http://schemas.openxmlformats.org/markup-compatibility/2006">
          <mc:Choice Requires="x14">
            <control shapeId="2186" r:id="rId128" name="Check Box 138">
              <controlPr defaultSize="0" autoFill="0" autoLine="0" autoPict="0">
                <anchor moveWithCells="1">
                  <from>
                    <xdr:col>4</xdr:col>
                    <xdr:colOff>281940</xdr:colOff>
                    <xdr:row>128</xdr:row>
                    <xdr:rowOff>198120</xdr:rowOff>
                  </from>
                  <to>
                    <xdr:col>4</xdr:col>
                    <xdr:colOff>518160</xdr:colOff>
                    <xdr:row>128</xdr:row>
                    <xdr:rowOff>533400</xdr:rowOff>
                  </to>
                </anchor>
              </controlPr>
            </control>
          </mc:Choice>
        </mc:AlternateContent>
        <mc:AlternateContent xmlns:mc="http://schemas.openxmlformats.org/markup-compatibility/2006">
          <mc:Choice Requires="x14">
            <control shapeId="2187" r:id="rId129" name="Check Box 139">
              <controlPr defaultSize="0" autoFill="0" autoLine="0" autoPict="0">
                <anchor moveWithCells="1">
                  <from>
                    <xdr:col>4</xdr:col>
                    <xdr:colOff>281940</xdr:colOff>
                    <xdr:row>128</xdr:row>
                    <xdr:rowOff>198120</xdr:rowOff>
                  </from>
                  <to>
                    <xdr:col>4</xdr:col>
                    <xdr:colOff>518160</xdr:colOff>
                    <xdr:row>128</xdr:row>
                    <xdr:rowOff>533400</xdr:rowOff>
                  </to>
                </anchor>
              </controlPr>
            </control>
          </mc:Choice>
        </mc:AlternateContent>
        <mc:AlternateContent xmlns:mc="http://schemas.openxmlformats.org/markup-compatibility/2006">
          <mc:Choice Requires="x14">
            <control shapeId="2188" r:id="rId130" name="Check Box 140">
              <controlPr defaultSize="0" autoFill="0" autoLine="0" autoPict="0">
                <anchor moveWithCells="1">
                  <from>
                    <xdr:col>4</xdr:col>
                    <xdr:colOff>281940</xdr:colOff>
                    <xdr:row>129</xdr:row>
                    <xdr:rowOff>198120</xdr:rowOff>
                  </from>
                  <to>
                    <xdr:col>4</xdr:col>
                    <xdr:colOff>518160</xdr:colOff>
                    <xdr:row>129</xdr:row>
                    <xdr:rowOff>533400</xdr:rowOff>
                  </to>
                </anchor>
              </controlPr>
            </control>
          </mc:Choice>
        </mc:AlternateContent>
        <mc:AlternateContent xmlns:mc="http://schemas.openxmlformats.org/markup-compatibility/2006">
          <mc:Choice Requires="x14">
            <control shapeId="2189" r:id="rId131" name="Check Box 141">
              <controlPr defaultSize="0" autoFill="0" autoLine="0" autoPict="0">
                <anchor moveWithCells="1">
                  <from>
                    <xdr:col>4</xdr:col>
                    <xdr:colOff>281940</xdr:colOff>
                    <xdr:row>130</xdr:row>
                    <xdr:rowOff>198120</xdr:rowOff>
                  </from>
                  <to>
                    <xdr:col>4</xdr:col>
                    <xdr:colOff>518160</xdr:colOff>
                    <xdr:row>130</xdr:row>
                    <xdr:rowOff>533400</xdr:rowOff>
                  </to>
                </anchor>
              </controlPr>
            </control>
          </mc:Choice>
        </mc:AlternateContent>
        <mc:AlternateContent xmlns:mc="http://schemas.openxmlformats.org/markup-compatibility/2006">
          <mc:Choice Requires="x14">
            <control shapeId="2190" r:id="rId132" name="Check Box 142">
              <controlPr defaultSize="0" autoFill="0" autoLine="0" autoPict="0">
                <anchor moveWithCells="1">
                  <from>
                    <xdr:col>4</xdr:col>
                    <xdr:colOff>281940</xdr:colOff>
                    <xdr:row>130</xdr:row>
                    <xdr:rowOff>198120</xdr:rowOff>
                  </from>
                  <to>
                    <xdr:col>4</xdr:col>
                    <xdr:colOff>518160</xdr:colOff>
                    <xdr:row>130</xdr:row>
                    <xdr:rowOff>533400</xdr:rowOff>
                  </to>
                </anchor>
              </controlPr>
            </control>
          </mc:Choice>
        </mc:AlternateContent>
        <mc:AlternateContent xmlns:mc="http://schemas.openxmlformats.org/markup-compatibility/2006">
          <mc:Choice Requires="x14">
            <control shapeId="2191" r:id="rId133" name="Check Box 143">
              <controlPr defaultSize="0" autoFill="0" autoLine="0" autoPict="0">
                <anchor moveWithCells="1">
                  <from>
                    <xdr:col>4</xdr:col>
                    <xdr:colOff>281940</xdr:colOff>
                    <xdr:row>132</xdr:row>
                    <xdr:rowOff>198120</xdr:rowOff>
                  </from>
                  <to>
                    <xdr:col>4</xdr:col>
                    <xdr:colOff>518160</xdr:colOff>
                    <xdr:row>132</xdr:row>
                    <xdr:rowOff>533400</xdr:rowOff>
                  </to>
                </anchor>
              </controlPr>
            </control>
          </mc:Choice>
        </mc:AlternateContent>
        <mc:AlternateContent xmlns:mc="http://schemas.openxmlformats.org/markup-compatibility/2006">
          <mc:Choice Requires="x14">
            <control shapeId="2192" r:id="rId134" name="Check Box 144">
              <controlPr defaultSize="0" autoFill="0" autoLine="0" autoPict="0">
                <anchor moveWithCells="1">
                  <from>
                    <xdr:col>4</xdr:col>
                    <xdr:colOff>281940</xdr:colOff>
                    <xdr:row>132</xdr:row>
                    <xdr:rowOff>198120</xdr:rowOff>
                  </from>
                  <to>
                    <xdr:col>4</xdr:col>
                    <xdr:colOff>518160</xdr:colOff>
                    <xdr:row>132</xdr:row>
                    <xdr:rowOff>533400</xdr:rowOff>
                  </to>
                </anchor>
              </controlPr>
            </control>
          </mc:Choice>
        </mc:AlternateContent>
        <mc:AlternateContent xmlns:mc="http://schemas.openxmlformats.org/markup-compatibility/2006">
          <mc:Choice Requires="x14">
            <control shapeId="2193" r:id="rId135" name="Check Box 145">
              <controlPr defaultSize="0" autoFill="0" autoLine="0" autoPict="0">
                <anchor moveWithCells="1">
                  <from>
                    <xdr:col>4</xdr:col>
                    <xdr:colOff>281940</xdr:colOff>
                    <xdr:row>133</xdr:row>
                    <xdr:rowOff>198120</xdr:rowOff>
                  </from>
                  <to>
                    <xdr:col>4</xdr:col>
                    <xdr:colOff>518160</xdr:colOff>
                    <xdr:row>133</xdr:row>
                    <xdr:rowOff>533400</xdr:rowOff>
                  </to>
                </anchor>
              </controlPr>
            </control>
          </mc:Choice>
        </mc:AlternateContent>
        <mc:AlternateContent xmlns:mc="http://schemas.openxmlformats.org/markup-compatibility/2006">
          <mc:Choice Requires="x14">
            <control shapeId="2194" r:id="rId136" name="Check Box 146">
              <controlPr defaultSize="0" autoFill="0" autoLine="0" autoPict="0">
                <anchor moveWithCells="1">
                  <from>
                    <xdr:col>4</xdr:col>
                    <xdr:colOff>281940</xdr:colOff>
                    <xdr:row>134</xdr:row>
                    <xdr:rowOff>198120</xdr:rowOff>
                  </from>
                  <to>
                    <xdr:col>4</xdr:col>
                    <xdr:colOff>518160</xdr:colOff>
                    <xdr:row>134</xdr:row>
                    <xdr:rowOff>533400</xdr:rowOff>
                  </to>
                </anchor>
              </controlPr>
            </control>
          </mc:Choice>
        </mc:AlternateContent>
        <mc:AlternateContent xmlns:mc="http://schemas.openxmlformats.org/markup-compatibility/2006">
          <mc:Choice Requires="x14">
            <control shapeId="2195" r:id="rId137" name="Check Box 147">
              <controlPr defaultSize="0" autoFill="0" autoLine="0" autoPict="0">
                <anchor moveWithCells="1">
                  <from>
                    <xdr:col>4</xdr:col>
                    <xdr:colOff>281940</xdr:colOff>
                    <xdr:row>134</xdr:row>
                    <xdr:rowOff>198120</xdr:rowOff>
                  </from>
                  <to>
                    <xdr:col>4</xdr:col>
                    <xdr:colOff>518160</xdr:colOff>
                    <xdr:row>134</xdr:row>
                    <xdr:rowOff>533400</xdr:rowOff>
                  </to>
                </anchor>
              </controlPr>
            </control>
          </mc:Choice>
        </mc:AlternateContent>
        <mc:AlternateContent xmlns:mc="http://schemas.openxmlformats.org/markup-compatibility/2006">
          <mc:Choice Requires="x14">
            <control shapeId="2196" r:id="rId138" name="Check Box 148">
              <controlPr defaultSize="0" autoFill="0" autoLine="0" autoPict="0">
                <anchor moveWithCells="1">
                  <from>
                    <xdr:col>4</xdr:col>
                    <xdr:colOff>281940</xdr:colOff>
                    <xdr:row>135</xdr:row>
                    <xdr:rowOff>198120</xdr:rowOff>
                  </from>
                  <to>
                    <xdr:col>4</xdr:col>
                    <xdr:colOff>518160</xdr:colOff>
                    <xdr:row>135</xdr:row>
                    <xdr:rowOff>533400</xdr:rowOff>
                  </to>
                </anchor>
              </controlPr>
            </control>
          </mc:Choice>
        </mc:AlternateContent>
        <mc:AlternateContent xmlns:mc="http://schemas.openxmlformats.org/markup-compatibility/2006">
          <mc:Choice Requires="x14">
            <control shapeId="2197" r:id="rId139" name="Check Box 149">
              <controlPr defaultSize="0" autoFill="0" autoLine="0" autoPict="0">
                <anchor moveWithCells="1">
                  <from>
                    <xdr:col>4</xdr:col>
                    <xdr:colOff>281940</xdr:colOff>
                    <xdr:row>135</xdr:row>
                    <xdr:rowOff>198120</xdr:rowOff>
                  </from>
                  <to>
                    <xdr:col>4</xdr:col>
                    <xdr:colOff>518160</xdr:colOff>
                    <xdr:row>135</xdr:row>
                    <xdr:rowOff>533400</xdr:rowOff>
                  </to>
                </anchor>
              </controlPr>
            </control>
          </mc:Choice>
        </mc:AlternateContent>
        <mc:AlternateContent xmlns:mc="http://schemas.openxmlformats.org/markup-compatibility/2006">
          <mc:Choice Requires="x14">
            <control shapeId="2198" r:id="rId140" name="Check Box 150">
              <controlPr defaultSize="0" autoFill="0" autoLine="0" autoPict="0">
                <anchor moveWithCells="1">
                  <from>
                    <xdr:col>4</xdr:col>
                    <xdr:colOff>281940</xdr:colOff>
                    <xdr:row>137</xdr:row>
                    <xdr:rowOff>198120</xdr:rowOff>
                  </from>
                  <to>
                    <xdr:col>4</xdr:col>
                    <xdr:colOff>518160</xdr:colOff>
                    <xdr:row>137</xdr:row>
                    <xdr:rowOff>533400</xdr:rowOff>
                  </to>
                </anchor>
              </controlPr>
            </control>
          </mc:Choice>
        </mc:AlternateContent>
        <mc:AlternateContent xmlns:mc="http://schemas.openxmlformats.org/markup-compatibility/2006">
          <mc:Choice Requires="x14">
            <control shapeId="2199" r:id="rId141" name="Check Box 151">
              <controlPr defaultSize="0" autoFill="0" autoLine="0" autoPict="0">
                <anchor moveWithCells="1">
                  <from>
                    <xdr:col>4</xdr:col>
                    <xdr:colOff>281940</xdr:colOff>
                    <xdr:row>137</xdr:row>
                    <xdr:rowOff>198120</xdr:rowOff>
                  </from>
                  <to>
                    <xdr:col>4</xdr:col>
                    <xdr:colOff>518160</xdr:colOff>
                    <xdr:row>137</xdr:row>
                    <xdr:rowOff>533400</xdr:rowOff>
                  </to>
                </anchor>
              </controlPr>
            </control>
          </mc:Choice>
        </mc:AlternateContent>
        <mc:AlternateContent xmlns:mc="http://schemas.openxmlformats.org/markup-compatibility/2006">
          <mc:Choice Requires="x14">
            <control shapeId="2200" r:id="rId142" name="Check Box 152">
              <controlPr defaultSize="0" autoFill="0" autoLine="0" autoPict="0">
                <anchor moveWithCells="1">
                  <from>
                    <xdr:col>4</xdr:col>
                    <xdr:colOff>281940</xdr:colOff>
                    <xdr:row>138</xdr:row>
                    <xdr:rowOff>198120</xdr:rowOff>
                  </from>
                  <to>
                    <xdr:col>4</xdr:col>
                    <xdr:colOff>518160</xdr:colOff>
                    <xdr:row>138</xdr:row>
                    <xdr:rowOff>533400</xdr:rowOff>
                  </to>
                </anchor>
              </controlPr>
            </control>
          </mc:Choice>
        </mc:AlternateContent>
        <mc:AlternateContent xmlns:mc="http://schemas.openxmlformats.org/markup-compatibility/2006">
          <mc:Choice Requires="x14">
            <control shapeId="2201" r:id="rId143" name="Check Box 153">
              <controlPr defaultSize="0" autoFill="0" autoLine="0" autoPict="0">
                <anchor moveWithCells="1">
                  <from>
                    <xdr:col>4</xdr:col>
                    <xdr:colOff>281940</xdr:colOff>
                    <xdr:row>139</xdr:row>
                    <xdr:rowOff>198120</xdr:rowOff>
                  </from>
                  <to>
                    <xdr:col>4</xdr:col>
                    <xdr:colOff>518160</xdr:colOff>
                    <xdr:row>139</xdr:row>
                    <xdr:rowOff>533400</xdr:rowOff>
                  </to>
                </anchor>
              </controlPr>
            </control>
          </mc:Choice>
        </mc:AlternateContent>
        <mc:AlternateContent xmlns:mc="http://schemas.openxmlformats.org/markup-compatibility/2006">
          <mc:Choice Requires="x14">
            <control shapeId="2202" r:id="rId144" name="Check Box 154">
              <controlPr defaultSize="0" autoFill="0" autoLine="0" autoPict="0">
                <anchor moveWithCells="1">
                  <from>
                    <xdr:col>4</xdr:col>
                    <xdr:colOff>281940</xdr:colOff>
                    <xdr:row>139</xdr:row>
                    <xdr:rowOff>198120</xdr:rowOff>
                  </from>
                  <to>
                    <xdr:col>4</xdr:col>
                    <xdr:colOff>518160</xdr:colOff>
                    <xdr:row>139</xdr:row>
                    <xdr:rowOff>533400</xdr:rowOff>
                  </to>
                </anchor>
              </controlPr>
            </control>
          </mc:Choice>
        </mc:AlternateContent>
        <mc:AlternateContent xmlns:mc="http://schemas.openxmlformats.org/markup-compatibility/2006">
          <mc:Choice Requires="x14">
            <control shapeId="2203" r:id="rId145" name="Check Box 155">
              <controlPr defaultSize="0" autoFill="0" autoLine="0" autoPict="0">
                <anchor moveWithCells="1">
                  <from>
                    <xdr:col>4</xdr:col>
                    <xdr:colOff>281940</xdr:colOff>
                    <xdr:row>140</xdr:row>
                    <xdr:rowOff>198120</xdr:rowOff>
                  </from>
                  <to>
                    <xdr:col>4</xdr:col>
                    <xdr:colOff>518160</xdr:colOff>
                    <xdr:row>140</xdr:row>
                    <xdr:rowOff>533400</xdr:rowOff>
                  </to>
                </anchor>
              </controlPr>
            </control>
          </mc:Choice>
        </mc:AlternateContent>
        <mc:AlternateContent xmlns:mc="http://schemas.openxmlformats.org/markup-compatibility/2006">
          <mc:Choice Requires="x14">
            <control shapeId="2204" r:id="rId146" name="Check Box 156">
              <controlPr defaultSize="0" autoFill="0" autoLine="0" autoPict="0">
                <anchor moveWithCells="1">
                  <from>
                    <xdr:col>4</xdr:col>
                    <xdr:colOff>281940</xdr:colOff>
                    <xdr:row>140</xdr:row>
                    <xdr:rowOff>198120</xdr:rowOff>
                  </from>
                  <to>
                    <xdr:col>4</xdr:col>
                    <xdr:colOff>518160</xdr:colOff>
                    <xdr:row>140</xdr:row>
                    <xdr:rowOff>533400</xdr:rowOff>
                  </to>
                </anchor>
              </controlPr>
            </control>
          </mc:Choice>
        </mc:AlternateContent>
        <mc:AlternateContent xmlns:mc="http://schemas.openxmlformats.org/markup-compatibility/2006">
          <mc:Choice Requires="x14">
            <control shapeId="2205" r:id="rId147" name="Check Box 157">
              <controlPr defaultSize="0" autoFill="0" autoLine="0" autoPict="0">
                <anchor moveWithCells="1">
                  <from>
                    <xdr:col>4</xdr:col>
                    <xdr:colOff>281940</xdr:colOff>
                    <xdr:row>142</xdr:row>
                    <xdr:rowOff>198120</xdr:rowOff>
                  </from>
                  <to>
                    <xdr:col>4</xdr:col>
                    <xdr:colOff>518160</xdr:colOff>
                    <xdr:row>142</xdr:row>
                    <xdr:rowOff>533400</xdr:rowOff>
                  </to>
                </anchor>
              </controlPr>
            </control>
          </mc:Choice>
        </mc:AlternateContent>
        <mc:AlternateContent xmlns:mc="http://schemas.openxmlformats.org/markup-compatibility/2006">
          <mc:Choice Requires="x14">
            <control shapeId="2206" r:id="rId148" name="Check Box 158">
              <controlPr defaultSize="0" autoFill="0" autoLine="0" autoPict="0">
                <anchor moveWithCells="1">
                  <from>
                    <xdr:col>4</xdr:col>
                    <xdr:colOff>281940</xdr:colOff>
                    <xdr:row>142</xdr:row>
                    <xdr:rowOff>198120</xdr:rowOff>
                  </from>
                  <to>
                    <xdr:col>4</xdr:col>
                    <xdr:colOff>518160</xdr:colOff>
                    <xdr:row>142</xdr:row>
                    <xdr:rowOff>533400</xdr:rowOff>
                  </to>
                </anchor>
              </controlPr>
            </control>
          </mc:Choice>
        </mc:AlternateContent>
        <mc:AlternateContent xmlns:mc="http://schemas.openxmlformats.org/markup-compatibility/2006">
          <mc:Choice Requires="x14">
            <control shapeId="2207" r:id="rId149" name="Check Box 159">
              <controlPr defaultSize="0" autoFill="0" autoLine="0" autoPict="0">
                <anchor moveWithCells="1">
                  <from>
                    <xdr:col>4</xdr:col>
                    <xdr:colOff>281940</xdr:colOff>
                    <xdr:row>143</xdr:row>
                    <xdr:rowOff>198120</xdr:rowOff>
                  </from>
                  <to>
                    <xdr:col>4</xdr:col>
                    <xdr:colOff>518160</xdr:colOff>
                    <xdr:row>143</xdr:row>
                    <xdr:rowOff>533400</xdr:rowOff>
                  </to>
                </anchor>
              </controlPr>
            </control>
          </mc:Choice>
        </mc:AlternateContent>
        <mc:AlternateContent xmlns:mc="http://schemas.openxmlformats.org/markup-compatibility/2006">
          <mc:Choice Requires="x14">
            <control shapeId="2208" r:id="rId150" name="Check Box 160">
              <controlPr defaultSize="0" autoFill="0" autoLine="0" autoPict="0">
                <anchor moveWithCells="1">
                  <from>
                    <xdr:col>4</xdr:col>
                    <xdr:colOff>281940</xdr:colOff>
                    <xdr:row>146</xdr:row>
                    <xdr:rowOff>198120</xdr:rowOff>
                  </from>
                  <to>
                    <xdr:col>4</xdr:col>
                    <xdr:colOff>518160</xdr:colOff>
                    <xdr:row>146</xdr:row>
                    <xdr:rowOff>533400</xdr:rowOff>
                  </to>
                </anchor>
              </controlPr>
            </control>
          </mc:Choice>
        </mc:AlternateContent>
        <mc:AlternateContent xmlns:mc="http://schemas.openxmlformats.org/markup-compatibility/2006">
          <mc:Choice Requires="x14">
            <control shapeId="2209" r:id="rId151" name="Check Box 161">
              <controlPr defaultSize="0" autoFill="0" autoLine="0" autoPict="0">
                <anchor moveWithCells="1">
                  <from>
                    <xdr:col>4</xdr:col>
                    <xdr:colOff>281940</xdr:colOff>
                    <xdr:row>146</xdr:row>
                    <xdr:rowOff>198120</xdr:rowOff>
                  </from>
                  <to>
                    <xdr:col>4</xdr:col>
                    <xdr:colOff>518160</xdr:colOff>
                    <xdr:row>146</xdr:row>
                    <xdr:rowOff>533400</xdr:rowOff>
                  </to>
                </anchor>
              </controlPr>
            </control>
          </mc:Choice>
        </mc:AlternateContent>
        <mc:AlternateContent xmlns:mc="http://schemas.openxmlformats.org/markup-compatibility/2006">
          <mc:Choice Requires="x14">
            <control shapeId="2210" r:id="rId152" name="Check Box 162">
              <controlPr defaultSize="0" autoFill="0" autoLine="0" autoPict="0">
                <anchor moveWithCells="1">
                  <from>
                    <xdr:col>4</xdr:col>
                    <xdr:colOff>281940</xdr:colOff>
                    <xdr:row>147</xdr:row>
                    <xdr:rowOff>198120</xdr:rowOff>
                  </from>
                  <to>
                    <xdr:col>4</xdr:col>
                    <xdr:colOff>518160</xdr:colOff>
                    <xdr:row>147</xdr:row>
                    <xdr:rowOff>533400</xdr:rowOff>
                  </to>
                </anchor>
              </controlPr>
            </control>
          </mc:Choice>
        </mc:AlternateContent>
        <mc:AlternateContent xmlns:mc="http://schemas.openxmlformats.org/markup-compatibility/2006">
          <mc:Choice Requires="x14">
            <control shapeId="2211" r:id="rId153" name="Check Box 163">
              <controlPr defaultSize="0" autoFill="0" autoLine="0" autoPict="0">
                <anchor moveWithCells="1">
                  <from>
                    <xdr:col>4</xdr:col>
                    <xdr:colOff>281940</xdr:colOff>
                    <xdr:row>148</xdr:row>
                    <xdr:rowOff>198120</xdr:rowOff>
                  </from>
                  <to>
                    <xdr:col>4</xdr:col>
                    <xdr:colOff>518160</xdr:colOff>
                    <xdr:row>148</xdr:row>
                    <xdr:rowOff>533400</xdr:rowOff>
                  </to>
                </anchor>
              </controlPr>
            </control>
          </mc:Choice>
        </mc:AlternateContent>
        <mc:AlternateContent xmlns:mc="http://schemas.openxmlformats.org/markup-compatibility/2006">
          <mc:Choice Requires="x14">
            <control shapeId="2212" r:id="rId154" name="Check Box 164">
              <controlPr defaultSize="0" autoFill="0" autoLine="0" autoPict="0">
                <anchor moveWithCells="1">
                  <from>
                    <xdr:col>4</xdr:col>
                    <xdr:colOff>281940</xdr:colOff>
                    <xdr:row>148</xdr:row>
                    <xdr:rowOff>198120</xdr:rowOff>
                  </from>
                  <to>
                    <xdr:col>4</xdr:col>
                    <xdr:colOff>518160</xdr:colOff>
                    <xdr:row>148</xdr:row>
                    <xdr:rowOff>533400</xdr:rowOff>
                  </to>
                </anchor>
              </controlPr>
            </control>
          </mc:Choice>
        </mc:AlternateContent>
        <mc:AlternateContent xmlns:mc="http://schemas.openxmlformats.org/markup-compatibility/2006">
          <mc:Choice Requires="x14">
            <control shapeId="2213" r:id="rId155" name="Check Box 165">
              <controlPr defaultSize="0" autoFill="0" autoLine="0" autoPict="0">
                <anchor moveWithCells="1">
                  <from>
                    <xdr:col>4</xdr:col>
                    <xdr:colOff>281940</xdr:colOff>
                    <xdr:row>149</xdr:row>
                    <xdr:rowOff>198120</xdr:rowOff>
                  </from>
                  <to>
                    <xdr:col>4</xdr:col>
                    <xdr:colOff>518160</xdr:colOff>
                    <xdr:row>149</xdr:row>
                    <xdr:rowOff>533400</xdr:rowOff>
                  </to>
                </anchor>
              </controlPr>
            </control>
          </mc:Choice>
        </mc:AlternateContent>
        <mc:AlternateContent xmlns:mc="http://schemas.openxmlformats.org/markup-compatibility/2006">
          <mc:Choice Requires="x14">
            <control shapeId="2214" r:id="rId156" name="Check Box 166">
              <controlPr defaultSize="0" autoFill="0" autoLine="0" autoPict="0">
                <anchor moveWithCells="1">
                  <from>
                    <xdr:col>4</xdr:col>
                    <xdr:colOff>281940</xdr:colOff>
                    <xdr:row>150</xdr:row>
                    <xdr:rowOff>198120</xdr:rowOff>
                  </from>
                  <to>
                    <xdr:col>4</xdr:col>
                    <xdr:colOff>518160</xdr:colOff>
                    <xdr:row>150</xdr:row>
                    <xdr:rowOff>533400</xdr:rowOff>
                  </to>
                </anchor>
              </controlPr>
            </control>
          </mc:Choice>
        </mc:AlternateContent>
        <mc:AlternateContent xmlns:mc="http://schemas.openxmlformats.org/markup-compatibility/2006">
          <mc:Choice Requires="x14">
            <control shapeId="2215" r:id="rId157" name="Check Box 167">
              <controlPr defaultSize="0" autoFill="0" autoLine="0" autoPict="0">
                <anchor moveWithCells="1">
                  <from>
                    <xdr:col>4</xdr:col>
                    <xdr:colOff>281940</xdr:colOff>
                    <xdr:row>150</xdr:row>
                    <xdr:rowOff>198120</xdr:rowOff>
                  </from>
                  <to>
                    <xdr:col>4</xdr:col>
                    <xdr:colOff>518160</xdr:colOff>
                    <xdr:row>150</xdr:row>
                    <xdr:rowOff>533400</xdr:rowOff>
                  </to>
                </anchor>
              </controlPr>
            </control>
          </mc:Choice>
        </mc:AlternateContent>
        <mc:AlternateContent xmlns:mc="http://schemas.openxmlformats.org/markup-compatibility/2006">
          <mc:Choice Requires="x14">
            <control shapeId="2217" r:id="rId158" name="Check Box 169">
              <controlPr defaultSize="0" autoFill="0" autoLine="0" autoPict="0">
                <anchor moveWithCells="1">
                  <from>
                    <xdr:col>4</xdr:col>
                    <xdr:colOff>281940</xdr:colOff>
                    <xdr:row>152</xdr:row>
                    <xdr:rowOff>198120</xdr:rowOff>
                  </from>
                  <to>
                    <xdr:col>4</xdr:col>
                    <xdr:colOff>518160</xdr:colOff>
                    <xdr:row>152</xdr:row>
                    <xdr:rowOff>533400</xdr:rowOff>
                  </to>
                </anchor>
              </controlPr>
            </control>
          </mc:Choice>
        </mc:AlternateContent>
        <mc:AlternateContent xmlns:mc="http://schemas.openxmlformats.org/markup-compatibility/2006">
          <mc:Choice Requires="x14">
            <control shapeId="2218" r:id="rId159" name="Check Box 170">
              <controlPr defaultSize="0" autoFill="0" autoLine="0" autoPict="0">
                <anchor moveWithCells="1">
                  <from>
                    <xdr:col>4</xdr:col>
                    <xdr:colOff>281940</xdr:colOff>
                    <xdr:row>152</xdr:row>
                    <xdr:rowOff>198120</xdr:rowOff>
                  </from>
                  <to>
                    <xdr:col>4</xdr:col>
                    <xdr:colOff>518160</xdr:colOff>
                    <xdr:row>152</xdr:row>
                    <xdr:rowOff>533400</xdr:rowOff>
                  </to>
                </anchor>
              </controlPr>
            </control>
          </mc:Choice>
        </mc:AlternateContent>
        <mc:AlternateContent xmlns:mc="http://schemas.openxmlformats.org/markup-compatibility/2006">
          <mc:Choice Requires="x14">
            <control shapeId="2219" r:id="rId160" name="Check Box 171">
              <controlPr defaultSize="0" autoFill="0" autoLine="0" autoPict="0">
                <anchor moveWithCells="1">
                  <from>
                    <xdr:col>4</xdr:col>
                    <xdr:colOff>281940</xdr:colOff>
                    <xdr:row>153</xdr:row>
                    <xdr:rowOff>198120</xdr:rowOff>
                  </from>
                  <to>
                    <xdr:col>4</xdr:col>
                    <xdr:colOff>518160</xdr:colOff>
                    <xdr:row>153</xdr:row>
                    <xdr:rowOff>533400</xdr:rowOff>
                  </to>
                </anchor>
              </controlPr>
            </control>
          </mc:Choice>
        </mc:AlternateContent>
        <mc:AlternateContent xmlns:mc="http://schemas.openxmlformats.org/markup-compatibility/2006">
          <mc:Choice Requires="x14">
            <control shapeId="2220" r:id="rId161" name="Check Box 172">
              <controlPr defaultSize="0" autoFill="0" autoLine="0" autoPict="0">
                <anchor moveWithCells="1">
                  <from>
                    <xdr:col>4</xdr:col>
                    <xdr:colOff>281940</xdr:colOff>
                    <xdr:row>154</xdr:row>
                    <xdr:rowOff>198120</xdr:rowOff>
                  </from>
                  <to>
                    <xdr:col>4</xdr:col>
                    <xdr:colOff>518160</xdr:colOff>
                    <xdr:row>154</xdr:row>
                    <xdr:rowOff>533400</xdr:rowOff>
                  </to>
                </anchor>
              </controlPr>
            </control>
          </mc:Choice>
        </mc:AlternateContent>
        <mc:AlternateContent xmlns:mc="http://schemas.openxmlformats.org/markup-compatibility/2006">
          <mc:Choice Requires="x14">
            <control shapeId="2221" r:id="rId162" name="Check Box 173">
              <controlPr defaultSize="0" autoFill="0" autoLine="0" autoPict="0">
                <anchor moveWithCells="1">
                  <from>
                    <xdr:col>4</xdr:col>
                    <xdr:colOff>281940</xdr:colOff>
                    <xdr:row>154</xdr:row>
                    <xdr:rowOff>198120</xdr:rowOff>
                  </from>
                  <to>
                    <xdr:col>4</xdr:col>
                    <xdr:colOff>518160</xdr:colOff>
                    <xdr:row>154</xdr:row>
                    <xdr:rowOff>533400</xdr:rowOff>
                  </to>
                </anchor>
              </controlPr>
            </control>
          </mc:Choice>
        </mc:AlternateContent>
        <mc:AlternateContent xmlns:mc="http://schemas.openxmlformats.org/markup-compatibility/2006">
          <mc:Choice Requires="x14">
            <control shapeId="2222" r:id="rId163" name="Check Box 174">
              <controlPr defaultSize="0" autoFill="0" autoLine="0" autoPict="0">
                <anchor moveWithCells="1">
                  <from>
                    <xdr:col>4</xdr:col>
                    <xdr:colOff>281940</xdr:colOff>
                    <xdr:row>155</xdr:row>
                    <xdr:rowOff>198120</xdr:rowOff>
                  </from>
                  <to>
                    <xdr:col>4</xdr:col>
                    <xdr:colOff>518160</xdr:colOff>
                    <xdr:row>155</xdr:row>
                    <xdr:rowOff>533400</xdr:rowOff>
                  </to>
                </anchor>
              </controlPr>
            </control>
          </mc:Choice>
        </mc:AlternateContent>
        <mc:AlternateContent xmlns:mc="http://schemas.openxmlformats.org/markup-compatibility/2006">
          <mc:Choice Requires="x14">
            <control shapeId="2223" r:id="rId164" name="Check Box 175">
              <controlPr defaultSize="0" autoFill="0" autoLine="0" autoPict="0">
                <anchor moveWithCells="1">
                  <from>
                    <xdr:col>4</xdr:col>
                    <xdr:colOff>281940</xdr:colOff>
                    <xdr:row>156</xdr:row>
                    <xdr:rowOff>198120</xdr:rowOff>
                  </from>
                  <to>
                    <xdr:col>4</xdr:col>
                    <xdr:colOff>518160</xdr:colOff>
                    <xdr:row>156</xdr:row>
                    <xdr:rowOff>533400</xdr:rowOff>
                  </to>
                </anchor>
              </controlPr>
            </control>
          </mc:Choice>
        </mc:AlternateContent>
        <mc:AlternateContent xmlns:mc="http://schemas.openxmlformats.org/markup-compatibility/2006">
          <mc:Choice Requires="x14">
            <control shapeId="2224" r:id="rId165" name="Check Box 176">
              <controlPr defaultSize="0" autoFill="0" autoLine="0" autoPict="0">
                <anchor moveWithCells="1">
                  <from>
                    <xdr:col>4</xdr:col>
                    <xdr:colOff>281940</xdr:colOff>
                    <xdr:row>156</xdr:row>
                    <xdr:rowOff>198120</xdr:rowOff>
                  </from>
                  <to>
                    <xdr:col>4</xdr:col>
                    <xdr:colOff>518160</xdr:colOff>
                    <xdr:row>156</xdr:row>
                    <xdr:rowOff>533400</xdr:rowOff>
                  </to>
                </anchor>
              </controlPr>
            </control>
          </mc:Choice>
        </mc:AlternateContent>
        <mc:AlternateContent xmlns:mc="http://schemas.openxmlformats.org/markup-compatibility/2006">
          <mc:Choice Requires="x14">
            <control shapeId="2225" r:id="rId166" name="Check Box 177">
              <controlPr defaultSize="0" autoFill="0" autoLine="0" autoPict="0">
                <anchor moveWithCells="1">
                  <from>
                    <xdr:col>4</xdr:col>
                    <xdr:colOff>281940</xdr:colOff>
                    <xdr:row>158</xdr:row>
                    <xdr:rowOff>198120</xdr:rowOff>
                  </from>
                  <to>
                    <xdr:col>4</xdr:col>
                    <xdr:colOff>518160</xdr:colOff>
                    <xdr:row>158</xdr:row>
                    <xdr:rowOff>533400</xdr:rowOff>
                  </to>
                </anchor>
              </controlPr>
            </control>
          </mc:Choice>
        </mc:AlternateContent>
        <mc:AlternateContent xmlns:mc="http://schemas.openxmlformats.org/markup-compatibility/2006">
          <mc:Choice Requires="x14">
            <control shapeId="2226" r:id="rId167" name="Check Box 178">
              <controlPr defaultSize="0" autoFill="0" autoLine="0" autoPict="0">
                <anchor moveWithCells="1">
                  <from>
                    <xdr:col>4</xdr:col>
                    <xdr:colOff>281940</xdr:colOff>
                    <xdr:row>158</xdr:row>
                    <xdr:rowOff>198120</xdr:rowOff>
                  </from>
                  <to>
                    <xdr:col>4</xdr:col>
                    <xdr:colOff>518160</xdr:colOff>
                    <xdr:row>158</xdr:row>
                    <xdr:rowOff>533400</xdr:rowOff>
                  </to>
                </anchor>
              </controlPr>
            </control>
          </mc:Choice>
        </mc:AlternateContent>
        <mc:AlternateContent xmlns:mc="http://schemas.openxmlformats.org/markup-compatibility/2006">
          <mc:Choice Requires="x14">
            <control shapeId="2227" r:id="rId168" name="Check Box 179">
              <controlPr defaultSize="0" autoFill="0" autoLine="0" autoPict="0">
                <anchor moveWithCells="1">
                  <from>
                    <xdr:col>4</xdr:col>
                    <xdr:colOff>281940</xdr:colOff>
                    <xdr:row>159</xdr:row>
                    <xdr:rowOff>198120</xdr:rowOff>
                  </from>
                  <to>
                    <xdr:col>4</xdr:col>
                    <xdr:colOff>518160</xdr:colOff>
                    <xdr:row>159</xdr:row>
                    <xdr:rowOff>533400</xdr:rowOff>
                  </to>
                </anchor>
              </controlPr>
            </control>
          </mc:Choice>
        </mc:AlternateContent>
        <mc:AlternateContent xmlns:mc="http://schemas.openxmlformats.org/markup-compatibility/2006">
          <mc:Choice Requires="x14">
            <control shapeId="2228" r:id="rId169" name="Check Box 180">
              <controlPr defaultSize="0" autoFill="0" autoLine="0" autoPict="0">
                <anchor moveWithCells="1">
                  <from>
                    <xdr:col>4</xdr:col>
                    <xdr:colOff>281940</xdr:colOff>
                    <xdr:row>160</xdr:row>
                    <xdr:rowOff>198120</xdr:rowOff>
                  </from>
                  <to>
                    <xdr:col>4</xdr:col>
                    <xdr:colOff>518160</xdr:colOff>
                    <xdr:row>160</xdr:row>
                    <xdr:rowOff>533400</xdr:rowOff>
                  </to>
                </anchor>
              </controlPr>
            </control>
          </mc:Choice>
        </mc:AlternateContent>
        <mc:AlternateContent xmlns:mc="http://schemas.openxmlformats.org/markup-compatibility/2006">
          <mc:Choice Requires="x14">
            <control shapeId="2229" r:id="rId170" name="Check Box 181">
              <controlPr defaultSize="0" autoFill="0" autoLine="0" autoPict="0">
                <anchor moveWithCells="1">
                  <from>
                    <xdr:col>4</xdr:col>
                    <xdr:colOff>281940</xdr:colOff>
                    <xdr:row>160</xdr:row>
                    <xdr:rowOff>198120</xdr:rowOff>
                  </from>
                  <to>
                    <xdr:col>4</xdr:col>
                    <xdr:colOff>518160</xdr:colOff>
                    <xdr:row>160</xdr:row>
                    <xdr:rowOff>533400</xdr:rowOff>
                  </to>
                </anchor>
              </controlPr>
            </control>
          </mc:Choice>
        </mc:AlternateContent>
        <mc:AlternateContent xmlns:mc="http://schemas.openxmlformats.org/markup-compatibility/2006">
          <mc:Choice Requires="x14">
            <control shapeId="2230" r:id="rId171" name="Check Box 182">
              <controlPr defaultSize="0" autoFill="0" autoLine="0" autoPict="0">
                <anchor moveWithCells="1">
                  <from>
                    <xdr:col>4</xdr:col>
                    <xdr:colOff>281940</xdr:colOff>
                    <xdr:row>161</xdr:row>
                    <xdr:rowOff>198120</xdr:rowOff>
                  </from>
                  <to>
                    <xdr:col>4</xdr:col>
                    <xdr:colOff>518160</xdr:colOff>
                    <xdr:row>161</xdr:row>
                    <xdr:rowOff>533400</xdr:rowOff>
                  </to>
                </anchor>
              </controlPr>
            </control>
          </mc:Choice>
        </mc:AlternateContent>
        <mc:AlternateContent xmlns:mc="http://schemas.openxmlformats.org/markup-compatibility/2006">
          <mc:Choice Requires="x14">
            <control shapeId="2231" r:id="rId172" name="Check Box 183">
              <controlPr defaultSize="0" autoFill="0" autoLine="0" autoPict="0">
                <anchor moveWithCells="1">
                  <from>
                    <xdr:col>4</xdr:col>
                    <xdr:colOff>281940</xdr:colOff>
                    <xdr:row>162</xdr:row>
                    <xdr:rowOff>198120</xdr:rowOff>
                  </from>
                  <to>
                    <xdr:col>4</xdr:col>
                    <xdr:colOff>518160</xdr:colOff>
                    <xdr:row>162</xdr:row>
                    <xdr:rowOff>533400</xdr:rowOff>
                  </to>
                </anchor>
              </controlPr>
            </control>
          </mc:Choice>
        </mc:AlternateContent>
        <mc:AlternateContent xmlns:mc="http://schemas.openxmlformats.org/markup-compatibility/2006">
          <mc:Choice Requires="x14">
            <control shapeId="2232" r:id="rId173" name="Check Box 184">
              <controlPr defaultSize="0" autoFill="0" autoLine="0" autoPict="0">
                <anchor moveWithCells="1">
                  <from>
                    <xdr:col>4</xdr:col>
                    <xdr:colOff>281940</xdr:colOff>
                    <xdr:row>162</xdr:row>
                    <xdr:rowOff>198120</xdr:rowOff>
                  </from>
                  <to>
                    <xdr:col>4</xdr:col>
                    <xdr:colOff>518160</xdr:colOff>
                    <xdr:row>162</xdr:row>
                    <xdr:rowOff>533400</xdr:rowOff>
                  </to>
                </anchor>
              </controlPr>
            </control>
          </mc:Choice>
        </mc:AlternateContent>
        <mc:AlternateContent xmlns:mc="http://schemas.openxmlformats.org/markup-compatibility/2006">
          <mc:Choice Requires="x14">
            <control shapeId="2233" r:id="rId174" name="Check Box 185">
              <controlPr defaultSize="0" autoFill="0" autoLine="0" autoPict="0">
                <anchor moveWithCells="1">
                  <from>
                    <xdr:col>4</xdr:col>
                    <xdr:colOff>281940</xdr:colOff>
                    <xdr:row>164</xdr:row>
                    <xdr:rowOff>198120</xdr:rowOff>
                  </from>
                  <to>
                    <xdr:col>4</xdr:col>
                    <xdr:colOff>518160</xdr:colOff>
                    <xdr:row>164</xdr:row>
                    <xdr:rowOff>533400</xdr:rowOff>
                  </to>
                </anchor>
              </controlPr>
            </control>
          </mc:Choice>
        </mc:AlternateContent>
        <mc:AlternateContent xmlns:mc="http://schemas.openxmlformats.org/markup-compatibility/2006">
          <mc:Choice Requires="x14">
            <control shapeId="2234" r:id="rId175" name="Check Box 186">
              <controlPr defaultSize="0" autoFill="0" autoLine="0" autoPict="0">
                <anchor moveWithCells="1">
                  <from>
                    <xdr:col>4</xdr:col>
                    <xdr:colOff>281940</xdr:colOff>
                    <xdr:row>164</xdr:row>
                    <xdr:rowOff>198120</xdr:rowOff>
                  </from>
                  <to>
                    <xdr:col>4</xdr:col>
                    <xdr:colOff>518160</xdr:colOff>
                    <xdr:row>164</xdr:row>
                    <xdr:rowOff>533400</xdr:rowOff>
                  </to>
                </anchor>
              </controlPr>
            </control>
          </mc:Choice>
        </mc:AlternateContent>
        <mc:AlternateContent xmlns:mc="http://schemas.openxmlformats.org/markup-compatibility/2006">
          <mc:Choice Requires="x14">
            <control shapeId="2235" r:id="rId176" name="Check Box 187">
              <controlPr defaultSize="0" autoFill="0" autoLine="0" autoPict="0">
                <anchor moveWithCells="1">
                  <from>
                    <xdr:col>4</xdr:col>
                    <xdr:colOff>281940</xdr:colOff>
                    <xdr:row>165</xdr:row>
                    <xdr:rowOff>198120</xdr:rowOff>
                  </from>
                  <to>
                    <xdr:col>4</xdr:col>
                    <xdr:colOff>518160</xdr:colOff>
                    <xdr:row>165</xdr:row>
                    <xdr:rowOff>533400</xdr:rowOff>
                  </to>
                </anchor>
              </controlPr>
            </control>
          </mc:Choice>
        </mc:AlternateContent>
        <mc:AlternateContent xmlns:mc="http://schemas.openxmlformats.org/markup-compatibility/2006">
          <mc:Choice Requires="x14">
            <control shapeId="2236" r:id="rId177" name="Check Box 188">
              <controlPr defaultSize="0" autoFill="0" autoLine="0" autoPict="0">
                <anchor moveWithCells="1">
                  <from>
                    <xdr:col>4</xdr:col>
                    <xdr:colOff>281940</xdr:colOff>
                    <xdr:row>166</xdr:row>
                    <xdr:rowOff>198120</xdr:rowOff>
                  </from>
                  <to>
                    <xdr:col>4</xdr:col>
                    <xdr:colOff>518160</xdr:colOff>
                    <xdr:row>166</xdr:row>
                    <xdr:rowOff>533400</xdr:rowOff>
                  </to>
                </anchor>
              </controlPr>
            </control>
          </mc:Choice>
        </mc:AlternateContent>
        <mc:AlternateContent xmlns:mc="http://schemas.openxmlformats.org/markup-compatibility/2006">
          <mc:Choice Requires="x14">
            <control shapeId="2237" r:id="rId178" name="Check Box 189">
              <controlPr defaultSize="0" autoFill="0" autoLine="0" autoPict="0">
                <anchor moveWithCells="1">
                  <from>
                    <xdr:col>4</xdr:col>
                    <xdr:colOff>281940</xdr:colOff>
                    <xdr:row>166</xdr:row>
                    <xdr:rowOff>198120</xdr:rowOff>
                  </from>
                  <to>
                    <xdr:col>4</xdr:col>
                    <xdr:colOff>518160</xdr:colOff>
                    <xdr:row>166</xdr:row>
                    <xdr:rowOff>533400</xdr:rowOff>
                  </to>
                </anchor>
              </controlPr>
            </control>
          </mc:Choice>
        </mc:AlternateContent>
        <mc:AlternateContent xmlns:mc="http://schemas.openxmlformats.org/markup-compatibility/2006">
          <mc:Choice Requires="x14">
            <control shapeId="2238" r:id="rId179" name="Check Box 190">
              <controlPr defaultSize="0" autoFill="0" autoLine="0" autoPict="0">
                <anchor moveWithCells="1">
                  <from>
                    <xdr:col>4</xdr:col>
                    <xdr:colOff>281940</xdr:colOff>
                    <xdr:row>167</xdr:row>
                    <xdr:rowOff>198120</xdr:rowOff>
                  </from>
                  <to>
                    <xdr:col>4</xdr:col>
                    <xdr:colOff>518160</xdr:colOff>
                    <xdr:row>167</xdr:row>
                    <xdr:rowOff>533400</xdr:rowOff>
                  </to>
                </anchor>
              </controlPr>
            </control>
          </mc:Choice>
        </mc:AlternateContent>
        <mc:AlternateContent xmlns:mc="http://schemas.openxmlformats.org/markup-compatibility/2006">
          <mc:Choice Requires="x14">
            <control shapeId="2239" r:id="rId180" name="Check Box 191">
              <controlPr defaultSize="0" autoFill="0" autoLine="0" autoPict="0">
                <anchor moveWithCells="1">
                  <from>
                    <xdr:col>4</xdr:col>
                    <xdr:colOff>281940</xdr:colOff>
                    <xdr:row>169</xdr:row>
                    <xdr:rowOff>198120</xdr:rowOff>
                  </from>
                  <to>
                    <xdr:col>4</xdr:col>
                    <xdr:colOff>518160</xdr:colOff>
                    <xdr:row>169</xdr:row>
                    <xdr:rowOff>533400</xdr:rowOff>
                  </to>
                </anchor>
              </controlPr>
            </control>
          </mc:Choice>
        </mc:AlternateContent>
        <mc:AlternateContent xmlns:mc="http://schemas.openxmlformats.org/markup-compatibility/2006">
          <mc:Choice Requires="x14">
            <control shapeId="2240" r:id="rId181" name="Check Box 192">
              <controlPr defaultSize="0" autoFill="0" autoLine="0" autoPict="0">
                <anchor moveWithCells="1">
                  <from>
                    <xdr:col>4</xdr:col>
                    <xdr:colOff>281940</xdr:colOff>
                    <xdr:row>169</xdr:row>
                    <xdr:rowOff>198120</xdr:rowOff>
                  </from>
                  <to>
                    <xdr:col>4</xdr:col>
                    <xdr:colOff>518160</xdr:colOff>
                    <xdr:row>169</xdr:row>
                    <xdr:rowOff>533400</xdr:rowOff>
                  </to>
                </anchor>
              </controlPr>
            </control>
          </mc:Choice>
        </mc:AlternateContent>
        <mc:AlternateContent xmlns:mc="http://schemas.openxmlformats.org/markup-compatibility/2006">
          <mc:Choice Requires="x14">
            <control shapeId="2241" r:id="rId182" name="Check Box 193">
              <controlPr defaultSize="0" autoFill="0" autoLine="0" autoPict="0">
                <anchor moveWithCells="1">
                  <from>
                    <xdr:col>4</xdr:col>
                    <xdr:colOff>281940</xdr:colOff>
                    <xdr:row>170</xdr:row>
                    <xdr:rowOff>198120</xdr:rowOff>
                  </from>
                  <to>
                    <xdr:col>4</xdr:col>
                    <xdr:colOff>518160</xdr:colOff>
                    <xdr:row>170</xdr:row>
                    <xdr:rowOff>533400</xdr:rowOff>
                  </to>
                </anchor>
              </controlPr>
            </control>
          </mc:Choice>
        </mc:AlternateContent>
        <mc:AlternateContent xmlns:mc="http://schemas.openxmlformats.org/markup-compatibility/2006">
          <mc:Choice Requires="x14">
            <control shapeId="2242" r:id="rId183" name="Check Box 194">
              <controlPr defaultSize="0" autoFill="0" autoLine="0" autoPict="0">
                <anchor moveWithCells="1">
                  <from>
                    <xdr:col>4</xdr:col>
                    <xdr:colOff>281940</xdr:colOff>
                    <xdr:row>172</xdr:row>
                    <xdr:rowOff>198120</xdr:rowOff>
                  </from>
                  <to>
                    <xdr:col>4</xdr:col>
                    <xdr:colOff>518160</xdr:colOff>
                    <xdr:row>172</xdr:row>
                    <xdr:rowOff>533400</xdr:rowOff>
                  </to>
                </anchor>
              </controlPr>
            </control>
          </mc:Choice>
        </mc:AlternateContent>
        <mc:AlternateContent xmlns:mc="http://schemas.openxmlformats.org/markup-compatibility/2006">
          <mc:Choice Requires="x14">
            <control shapeId="2243" r:id="rId184" name="Check Box 195">
              <controlPr defaultSize="0" autoFill="0" autoLine="0" autoPict="0">
                <anchor moveWithCells="1">
                  <from>
                    <xdr:col>4</xdr:col>
                    <xdr:colOff>281940</xdr:colOff>
                    <xdr:row>172</xdr:row>
                    <xdr:rowOff>198120</xdr:rowOff>
                  </from>
                  <to>
                    <xdr:col>4</xdr:col>
                    <xdr:colOff>518160</xdr:colOff>
                    <xdr:row>172</xdr:row>
                    <xdr:rowOff>533400</xdr:rowOff>
                  </to>
                </anchor>
              </controlPr>
            </control>
          </mc:Choice>
        </mc:AlternateContent>
        <mc:AlternateContent xmlns:mc="http://schemas.openxmlformats.org/markup-compatibility/2006">
          <mc:Choice Requires="x14">
            <control shapeId="2244" r:id="rId185" name="Check Box 196">
              <controlPr defaultSize="0" autoFill="0" autoLine="0" autoPict="0">
                <anchor moveWithCells="1">
                  <from>
                    <xdr:col>4</xdr:col>
                    <xdr:colOff>281940</xdr:colOff>
                    <xdr:row>173</xdr:row>
                    <xdr:rowOff>198120</xdr:rowOff>
                  </from>
                  <to>
                    <xdr:col>4</xdr:col>
                    <xdr:colOff>518160</xdr:colOff>
                    <xdr:row>173</xdr:row>
                    <xdr:rowOff>533400</xdr:rowOff>
                  </to>
                </anchor>
              </controlPr>
            </control>
          </mc:Choice>
        </mc:AlternateContent>
        <mc:AlternateContent xmlns:mc="http://schemas.openxmlformats.org/markup-compatibility/2006">
          <mc:Choice Requires="x14">
            <control shapeId="2245" r:id="rId186" name="Check Box 197">
              <controlPr defaultSize="0" autoFill="0" autoLine="0" autoPict="0">
                <anchor moveWithCells="1">
                  <from>
                    <xdr:col>4</xdr:col>
                    <xdr:colOff>281940</xdr:colOff>
                    <xdr:row>174</xdr:row>
                    <xdr:rowOff>198120</xdr:rowOff>
                  </from>
                  <to>
                    <xdr:col>4</xdr:col>
                    <xdr:colOff>518160</xdr:colOff>
                    <xdr:row>174</xdr:row>
                    <xdr:rowOff>533400</xdr:rowOff>
                  </to>
                </anchor>
              </controlPr>
            </control>
          </mc:Choice>
        </mc:AlternateContent>
        <mc:AlternateContent xmlns:mc="http://schemas.openxmlformats.org/markup-compatibility/2006">
          <mc:Choice Requires="x14">
            <control shapeId="2246" r:id="rId187" name="Check Box 198">
              <controlPr defaultSize="0" autoFill="0" autoLine="0" autoPict="0">
                <anchor moveWithCells="1">
                  <from>
                    <xdr:col>4</xdr:col>
                    <xdr:colOff>281940</xdr:colOff>
                    <xdr:row>174</xdr:row>
                    <xdr:rowOff>198120</xdr:rowOff>
                  </from>
                  <to>
                    <xdr:col>4</xdr:col>
                    <xdr:colOff>518160</xdr:colOff>
                    <xdr:row>174</xdr:row>
                    <xdr:rowOff>533400</xdr:rowOff>
                  </to>
                </anchor>
              </controlPr>
            </control>
          </mc:Choice>
        </mc:AlternateContent>
        <mc:AlternateContent xmlns:mc="http://schemas.openxmlformats.org/markup-compatibility/2006">
          <mc:Choice Requires="x14">
            <control shapeId="2247" r:id="rId188" name="Check Box 199">
              <controlPr defaultSize="0" autoFill="0" autoLine="0" autoPict="0">
                <anchor moveWithCells="1">
                  <from>
                    <xdr:col>4</xdr:col>
                    <xdr:colOff>281940</xdr:colOff>
                    <xdr:row>176</xdr:row>
                    <xdr:rowOff>198120</xdr:rowOff>
                  </from>
                  <to>
                    <xdr:col>4</xdr:col>
                    <xdr:colOff>518160</xdr:colOff>
                    <xdr:row>176</xdr:row>
                    <xdr:rowOff>533400</xdr:rowOff>
                  </to>
                </anchor>
              </controlPr>
            </control>
          </mc:Choice>
        </mc:AlternateContent>
        <mc:AlternateContent xmlns:mc="http://schemas.openxmlformats.org/markup-compatibility/2006">
          <mc:Choice Requires="x14">
            <control shapeId="2248" r:id="rId189" name="Check Box 200">
              <controlPr defaultSize="0" autoFill="0" autoLine="0" autoPict="0">
                <anchor moveWithCells="1">
                  <from>
                    <xdr:col>4</xdr:col>
                    <xdr:colOff>281940</xdr:colOff>
                    <xdr:row>176</xdr:row>
                    <xdr:rowOff>198120</xdr:rowOff>
                  </from>
                  <to>
                    <xdr:col>4</xdr:col>
                    <xdr:colOff>518160</xdr:colOff>
                    <xdr:row>176</xdr:row>
                    <xdr:rowOff>533400</xdr:rowOff>
                  </to>
                </anchor>
              </controlPr>
            </control>
          </mc:Choice>
        </mc:AlternateContent>
        <mc:AlternateContent xmlns:mc="http://schemas.openxmlformats.org/markup-compatibility/2006">
          <mc:Choice Requires="x14">
            <control shapeId="2249" r:id="rId190" name="Check Box 201">
              <controlPr defaultSize="0" autoFill="0" autoLine="0" autoPict="0">
                <anchor moveWithCells="1">
                  <from>
                    <xdr:col>4</xdr:col>
                    <xdr:colOff>281940</xdr:colOff>
                    <xdr:row>177</xdr:row>
                    <xdr:rowOff>198120</xdr:rowOff>
                  </from>
                  <to>
                    <xdr:col>4</xdr:col>
                    <xdr:colOff>518160</xdr:colOff>
                    <xdr:row>177</xdr:row>
                    <xdr:rowOff>533400</xdr:rowOff>
                  </to>
                </anchor>
              </controlPr>
            </control>
          </mc:Choice>
        </mc:AlternateContent>
        <mc:AlternateContent xmlns:mc="http://schemas.openxmlformats.org/markup-compatibility/2006">
          <mc:Choice Requires="x14">
            <control shapeId="2250" r:id="rId191" name="Check Box 202">
              <controlPr defaultSize="0" autoFill="0" autoLine="0" autoPict="0">
                <anchor moveWithCells="1">
                  <from>
                    <xdr:col>4</xdr:col>
                    <xdr:colOff>281940</xdr:colOff>
                    <xdr:row>178</xdr:row>
                    <xdr:rowOff>198120</xdr:rowOff>
                  </from>
                  <to>
                    <xdr:col>4</xdr:col>
                    <xdr:colOff>518160</xdr:colOff>
                    <xdr:row>178</xdr:row>
                    <xdr:rowOff>533400</xdr:rowOff>
                  </to>
                </anchor>
              </controlPr>
            </control>
          </mc:Choice>
        </mc:AlternateContent>
        <mc:AlternateContent xmlns:mc="http://schemas.openxmlformats.org/markup-compatibility/2006">
          <mc:Choice Requires="x14">
            <control shapeId="2251" r:id="rId192" name="Check Box 203">
              <controlPr defaultSize="0" autoFill="0" autoLine="0" autoPict="0">
                <anchor moveWithCells="1">
                  <from>
                    <xdr:col>4</xdr:col>
                    <xdr:colOff>281940</xdr:colOff>
                    <xdr:row>178</xdr:row>
                    <xdr:rowOff>198120</xdr:rowOff>
                  </from>
                  <to>
                    <xdr:col>4</xdr:col>
                    <xdr:colOff>518160</xdr:colOff>
                    <xdr:row>178</xdr:row>
                    <xdr:rowOff>533400</xdr:rowOff>
                  </to>
                </anchor>
              </controlPr>
            </control>
          </mc:Choice>
        </mc:AlternateContent>
        <mc:AlternateContent xmlns:mc="http://schemas.openxmlformats.org/markup-compatibility/2006">
          <mc:Choice Requires="x14">
            <control shapeId="2252" r:id="rId193" name="Check Box 204">
              <controlPr defaultSize="0" autoFill="0" autoLine="0" autoPict="0">
                <anchor moveWithCells="1">
                  <from>
                    <xdr:col>4</xdr:col>
                    <xdr:colOff>281940</xdr:colOff>
                    <xdr:row>180</xdr:row>
                    <xdr:rowOff>198120</xdr:rowOff>
                  </from>
                  <to>
                    <xdr:col>4</xdr:col>
                    <xdr:colOff>518160</xdr:colOff>
                    <xdr:row>180</xdr:row>
                    <xdr:rowOff>533400</xdr:rowOff>
                  </to>
                </anchor>
              </controlPr>
            </control>
          </mc:Choice>
        </mc:AlternateContent>
        <mc:AlternateContent xmlns:mc="http://schemas.openxmlformats.org/markup-compatibility/2006">
          <mc:Choice Requires="x14">
            <control shapeId="2253" r:id="rId194" name="Check Box 205">
              <controlPr defaultSize="0" autoFill="0" autoLine="0" autoPict="0">
                <anchor moveWithCells="1">
                  <from>
                    <xdr:col>4</xdr:col>
                    <xdr:colOff>281940</xdr:colOff>
                    <xdr:row>180</xdr:row>
                    <xdr:rowOff>198120</xdr:rowOff>
                  </from>
                  <to>
                    <xdr:col>4</xdr:col>
                    <xdr:colOff>518160</xdr:colOff>
                    <xdr:row>180</xdr:row>
                    <xdr:rowOff>533400</xdr:rowOff>
                  </to>
                </anchor>
              </controlPr>
            </control>
          </mc:Choice>
        </mc:AlternateContent>
        <mc:AlternateContent xmlns:mc="http://schemas.openxmlformats.org/markup-compatibility/2006">
          <mc:Choice Requires="x14">
            <control shapeId="2254" r:id="rId195" name="Check Box 206">
              <controlPr defaultSize="0" autoFill="0" autoLine="0" autoPict="0">
                <anchor moveWithCells="1">
                  <from>
                    <xdr:col>4</xdr:col>
                    <xdr:colOff>281940</xdr:colOff>
                    <xdr:row>181</xdr:row>
                    <xdr:rowOff>198120</xdr:rowOff>
                  </from>
                  <to>
                    <xdr:col>4</xdr:col>
                    <xdr:colOff>518160</xdr:colOff>
                    <xdr:row>181</xdr:row>
                    <xdr:rowOff>533400</xdr:rowOff>
                  </to>
                </anchor>
              </controlPr>
            </control>
          </mc:Choice>
        </mc:AlternateContent>
        <mc:AlternateContent xmlns:mc="http://schemas.openxmlformats.org/markup-compatibility/2006">
          <mc:Choice Requires="x14">
            <control shapeId="2255" r:id="rId196" name="Check Box 207">
              <controlPr defaultSize="0" autoFill="0" autoLine="0" autoPict="0">
                <anchor moveWithCells="1">
                  <from>
                    <xdr:col>4</xdr:col>
                    <xdr:colOff>281940</xdr:colOff>
                    <xdr:row>182</xdr:row>
                    <xdr:rowOff>198120</xdr:rowOff>
                  </from>
                  <to>
                    <xdr:col>4</xdr:col>
                    <xdr:colOff>518160</xdr:colOff>
                    <xdr:row>182</xdr:row>
                    <xdr:rowOff>533400</xdr:rowOff>
                  </to>
                </anchor>
              </controlPr>
            </control>
          </mc:Choice>
        </mc:AlternateContent>
        <mc:AlternateContent xmlns:mc="http://schemas.openxmlformats.org/markup-compatibility/2006">
          <mc:Choice Requires="x14">
            <control shapeId="2256" r:id="rId197" name="Check Box 208">
              <controlPr defaultSize="0" autoFill="0" autoLine="0" autoPict="0">
                <anchor moveWithCells="1">
                  <from>
                    <xdr:col>4</xdr:col>
                    <xdr:colOff>281940</xdr:colOff>
                    <xdr:row>182</xdr:row>
                    <xdr:rowOff>198120</xdr:rowOff>
                  </from>
                  <to>
                    <xdr:col>4</xdr:col>
                    <xdr:colOff>518160</xdr:colOff>
                    <xdr:row>182</xdr:row>
                    <xdr:rowOff>533400</xdr:rowOff>
                  </to>
                </anchor>
              </controlPr>
            </control>
          </mc:Choice>
        </mc:AlternateContent>
        <mc:AlternateContent xmlns:mc="http://schemas.openxmlformats.org/markup-compatibility/2006">
          <mc:Choice Requires="x14">
            <control shapeId="2257" r:id="rId198" name="Check Box 209">
              <controlPr defaultSize="0" autoFill="0" autoLine="0" autoPict="0">
                <anchor moveWithCells="1">
                  <from>
                    <xdr:col>4</xdr:col>
                    <xdr:colOff>281940</xdr:colOff>
                    <xdr:row>187</xdr:row>
                    <xdr:rowOff>198120</xdr:rowOff>
                  </from>
                  <to>
                    <xdr:col>4</xdr:col>
                    <xdr:colOff>518160</xdr:colOff>
                    <xdr:row>187</xdr:row>
                    <xdr:rowOff>533400</xdr:rowOff>
                  </to>
                </anchor>
              </controlPr>
            </control>
          </mc:Choice>
        </mc:AlternateContent>
        <mc:AlternateContent xmlns:mc="http://schemas.openxmlformats.org/markup-compatibility/2006">
          <mc:Choice Requires="x14">
            <control shapeId="2258" r:id="rId199" name="Check Box 210">
              <controlPr defaultSize="0" autoFill="0" autoLine="0" autoPict="0">
                <anchor moveWithCells="1">
                  <from>
                    <xdr:col>4</xdr:col>
                    <xdr:colOff>281940</xdr:colOff>
                    <xdr:row>187</xdr:row>
                    <xdr:rowOff>198120</xdr:rowOff>
                  </from>
                  <to>
                    <xdr:col>4</xdr:col>
                    <xdr:colOff>518160</xdr:colOff>
                    <xdr:row>187</xdr:row>
                    <xdr:rowOff>533400</xdr:rowOff>
                  </to>
                </anchor>
              </controlPr>
            </control>
          </mc:Choice>
        </mc:AlternateContent>
        <mc:AlternateContent xmlns:mc="http://schemas.openxmlformats.org/markup-compatibility/2006">
          <mc:Choice Requires="x14">
            <control shapeId="2259" r:id="rId200" name="Check Box 211">
              <controlPr defaultSize="0" autoFill="0" autoLine="0" autoPict="0">
                <anchor moveWithCells="1">
                  <from>
                    <xdr:col>4</xdr:col>
                    <xdr:colOff>281940</xdr:colOff>
                    <xdr:row>188</xdr:row>
                    <xdr:rowOff>198120</xdr:rowOff>
                  </from>
                  <to>
                    <xdr:col>4</xdr:col>
                    <xdr:colOff>518160</xdr:colOff>
                    <xdr:row>188</xdr:row>
                    <xdr:rowOff>533400</xdr:rowOff>
                  </to>
                </anchor>
              </controlPr>
            </control>
          </mc:Choice>
        </mc:AlternateContent>
        <mc:AlternateContent xmlns:mc="http://schemas.openxmlformats.org/markup-compatibility/2006">
          <mc:Choice Requires="x14">
            <control shapeId="2260" r:id="rId201" name="Check Box 212">
              <controlPr defaultSize="0" autoFill="0" autoLine="0" autoPict="0">
                <anchor moveWithCells="1">
                  <from>
                    <xdr:col>4</xdr:col>
                    <xdr:colOff>281940</xdr:colOff>
                    <xdr:row>189</xdr:row>
                    <xdr:rowOff>198120</xdr:rowOff>
                  </from>
                  <to>
                    <xdr:col>4</xdr:col>
                    <xdr:colOff>518160</xdr:colOff>
                    <xdr:row>189</xdr:row>
                    <xdr:rowOff>533400</xdr:rowOff>
                  </to>
                </anchor>
              </controlPr>
            </control>
          </mc:Choice>
        </mc:AlternateContent>
        <mc:AlternateContent xmlns:mc="http://schemas.openxmlformats.org/markup-compatibility/2006">
          <mc:Choice Requires="x14">
            <control shapeId="2261" r:id="rId202" name="Check Box 213">
              <controlPr defaultSize="0" autoFill="0" autoLine="0" autoPict="0">
                <anchor moveWithCells="1">
                  <from>
                    <xdr:col>4</xdr:col>
                    <xdr:colOff>281940</xdr:colOff>
                    <xdr:row>189</xdr:row>
                    <xdr:rowOff>198120</xdr:rowOff>
                  </from>
                  <to>
                    <xdr:col>4</xdr:col>
                    <xdr:colOff>518160</xdr:colOff>
                    <xdr:row>189</xdr:row>
                    <xdr:rowOff>533400</xdr:rowOff>
                  </to>
                </anchor>
              </controlPr>
            </control>
          </mc:Choice>
        </mc:AlternateContent>
        <mc:AlternateContent xmlns:mc="http://schemas.openxmlformats.org/markup-compatibility/2006">
          <mc:Choice Requires="x14">
            <control shapeId="2262" r:id="rId203" name="Check Box 214">
              <controlPr defaultSize="0" autoFill="0" autoLine="0" autoPict="0">
                <anchor moveWithCells="1">
                  <from>
                    <xdr:col>4</xdr:col>
                    <xdr:colOff>281940</xdr:colOff>
                    <xdr:row>190</xdr:row>
                    <xdr:rowOff>198120</xdr:rowOff>
                  </from>
                  <to>
                    <xdr:col>4</xdr:col>
                    <xdr:colOff>518160</xdr:colOff>
                    <xdr:row>190</xdr:row>
                    <xdr:rowOff>533400</xdr:rowOff>
                  </to>
                </anchor>
              </controlPr>
            </control>
          </mc:Choice>
        </mc:AlternateContent>
        <mc:AlternateContent xmlns:mc="http://schemas.openxmlformats.org/markup-compatibility/2006">
          <mc:Choice Requires="x14">
            <control shapeId="2263" r:id="rId204" name="Check Box 215">
              <controlPr defaultSize="0" autoFill="0" autoLine="0" autoPict="0">
                <anchor moveWithCells="1">
                  <from>
                    <xdr:col>4</xdr:col>
                    <xdr:colOff>281940</xdr:colOff>
                    <xdr:row>192</xdr:row>
                    <xdr:rowOff>198120</xdr:rowOff>
                  </from>
                  <to>
                    <xdr:col>4</xdr:col>
                    <xdr:colOff>518160</xdr:colOff>
                    <xdr:row>192</xdr:row>
                    <xdr:rowOff>533400</xdr:rowOff>
                  </to>
                </anchor>
              </controlPr>
            </control>
          </mc:Choice>
        </mc:AlternateContent>
        <mc:AlternateContent xmlns:mc="http://schemas.openxmlformats.org/markup-compatibility/2006">
          <mc:Choice Requires="x14">
            <control shapeId="2264" r:id="rId205" name="Check Box 216">
              <controlPr defaultSize="0" autoFill="0" autoLine="0" autoPict="0">
                <anchor moveWithCells="1">
                  <from>
                    <xdr:col>4</xdr:col>
                    <xdr:colOff>281940</xdr:colOff>
                    <xdr:row>192</xdr:row>
                    <xdr:rowOff>198120</xdr:rowOff>
                  </from>
                  <to>
                    <xdr:col>4</xdr:col>
                    <xdr:colOff>518160</xdr:colOff>
                    <xdr:row>192</xdr:row>
                    <xdr:rowOff>533400</xdr:rowOff>
                  </to>
                </anchor>
              </controlPr>
            </control>
          </mc:Choice>
        </mc:AlternateContent>
        <mc:AlternateContent xmlns:mc="http://schemas.openxmlformats.org/markup-compatibility/2006">
          <mc:Choice Requires="x14">
            <control shapeId="2265" r:id="rId206" name="Check Box 217">
              <controlPr defaultSize="0" autoFill="0" autoLine="0" autoPict="0">
                <anchor moveWithCells="1">
                  <from>
                    <xdr:col>4</xdr:col>
                    <xdr:colOff>281940</xdr:colOff>
                    <xdr:row>193</xdr:row>
                    <xdr:rowOff>198120</xdr:rowOff>
                  </from>
                  <to>
                    <xdr:col>4</xdr:col>
                    <xdr:colOff>518160</xdr:colOff>
                    <xdr:row>193</xdr:row>
                    <xdr:rowOff>533400</xdr:rowOff>
                  </to>
                </anchor>
              </controlPr>
            </control>
          </mc:Choice>
        </mc:AlternateContent>
        <mc:AlternateContent xmlns:mc="http://schemas.openxmlformats.org/markup-compatibility/2006">
          <mc:Choice Requires="x14">
            <control shapeId="2266" r:id="rId207" name="Check Box 218">
              <controlPr defaultSize="0" autoFill="0" autoLine="0" autoPict="0">
                <anchor moveWithCells="1">
                  <from>
                    <xdr:col>4</xdr:col>
                    <xdr:colOff>281940</xdr:colOff>
                    <xdr:row>194</xdr:row>
                    <xdr:rowOff>198120</xdr:rowOff>
                  </from>
                  <to>
                    <xdr:col>4</xdr:col>
                    <xdr:colOff>518160</xdr:colOff>
                    <xdr:row>194</xdr:row>
                    <xdr:rowOff>533400</xdr:rowOff>
                  </to>
                </anchor>
              </controlPr>
            </control>
          </mc:Choice>
        </mc:AlternateContent>
        <mc:AlternateContent xmlns:mc="http://schemas.openxmlformats.org/markup-compatibility/2006">
          <mc:Choice Requires="x14">
            <control shapeId="2267" r:id="rId208" name="Check Box 219">
              <controlPr defaultSize="0" autoFill="0" autoLine="0" autoPict="0">
                <anchor moveWithCells="1">
                  <from>
                    <xdr:col>4</xdr:col>
                    <xdr:colOff>281940</xdr:colOff>
                    <xdr:row>194</xdr:row>
                    <xdr:rowOff>198120</xdr:rowOff>
                  </from>
                  <to>
                    <xdr:col>4</xdr:col>
                    <xdr:colOff>518160</xdr:colOff>
                    <xdr:row>194</xdr:row>
                    <xdr:rowOff>533400</xdr:rowOff>
                  </to>
                </anchor>
              </controlPr>
            </control>
          </mc:Choice>
        </mc:AlternateContent>
        <mc:AlternateContent xmlns:mc="http://schemas.openxmlformats.org/markup-compatibility/2006">
          <mc:Choice Requires="x14">
            <control shapeId="2268" r:id="rId209" name="Check Box 220">
              <controlPr defaultSize="0" autoFill="0" autoLine="0" autoPict="0">
                <anchor moveWithCells="1">
                  <from>
                    <xdr:col>4</xdr:col>
                    <xdr:colOff>281940</xdr:colOff>
                    <xdr:row>195</xdr:row>
                    <xdr:rowOff>198120</xdr:rowOff>
                  </from>
                  <to>
                    <xdr:col>4</xdr:col>
                    <xdr:colOff>518160</xdr:colOff>
                    <xdr:row>195</xdr:row>
                    <xdr:rowOff>533400</xdr:rowOff>
                  </to>
                </anchor>
              </controlPr>
            </control>
          </mc:Choice>
        </mc:AlternateContent>
        <mc:AlternateContent xmlns:mc="http://schemas.openxmlformats.org/markup-compatibility/2006">
          <mc:Choice Requires="x14">
            <control shapeId="2269" r:id="rId210" name="Check Box 221">
              <controlPr defaultSize="0" autoFill="0" autoLine="0" autoPict="0">
                <anchor moveWithCells="1">
                  <from>
                    <xdr:col>4</xdr:col>
                    <xdr:colOff>281940</xdr:colOff>
                    <xdr:row>196</xdr:row>
                    <xdr:rowOff>198120</xdr:rowOff>
                  </from>
                  <to>
                    <xdr:col>4</xdr:col>
                    <xdr:colOff>518160</xdr:colOff>
                    <xdr:row>196</xdr:row>
                    <xdr:rowOff>533400</xdr:rowOff>
                  </to>
                </anchor>
              </controlPr>
            </control>
          </mc:Choice>
        </mc:AlternateContent>
        <mc:AlternateContent xmlns:mc="http://schemas.openxmlformats.org/markup-compatibility/2006">
          <mc:Choice Requires="x14">
            <control shapeId="2270" r:id="rId211" name="Check Box 222">
              <controlPr defaultSize="0" autoFill="0" autoLine="0" autoPict="0">
                <anchor moveWithCells="1">
                  <from>
                    <xdr:col>4</xdr:col>
                    <xdr:colOff>281940</xdr:colOff>
                    <xdr:row>196</xdr:row>
                    <xdr:rowOff>198120</xdr:rowOff>
                  </from>
                  <to>
                    <xdr:col>4</xdr:col>
                    <xdr:colOff>518160</xdr:colOff>
                    <xdr:row>196</xdr:row>
                    <xdr:rowOff>533400</xdr:rowOff>
                  </to>
                </anchor>
              </controlPr>
            </control>
          </mc:Choice>
        </mc:AlternateContent>
        <mc:AlternateContent xmlns:mc="http://schemas.openxmlformats.org/markup-compatibility/2006">
          <mc:Choice Requires="x14">
            <control shapeId="2271" r:id="rId212" name="Check Box 223">
              <controlPr defaultSize="0" autoFill="0" autoLine="0" autoPict="0">
                <anchor moveWithCells="1">
                  <from>
                    <xdr:col>4</xdr:col>
                    <xdr:colOff>281940</xdr:colOff>
                    <xdr:row>197</xdr:row>
                    <xdr:rowOff>198120</xdr:rowOff>
                  </from>
                  <to>
                    <xdr:col>4</xdr:col>
                    <xdr:colOff>518160</xdr:colOff>
                    <xdr:row>197</xdr:row>
                    <xdr:rowOff>533400</xdr:rowOff>
                  </to>
                </anchor>
              </controlPr>
            </control>
          </mc:Choice>
        </mc:AlternateContent>
        <mc:AlternateContent xmlns:mc="http://schemas.openxmlformats.org/markup-compatibility/2006">
          <mc:Choice Requires="x14">
            <control shapeId="2272" r:id="rId213" name="Check Box 224">
              <controlPr defaultSize="0" autoFill="0" autoLine="0" autoPict="0">
                <anchor moveWithCells="1">
                  <from>
                    <xdr:col>4</xdr:col>
                    <xdr:colOff>281940</xdr:colOff>
                    <xdr:row>198</xdr:row>
                    <xdr:rowOff>198120</xdr:rowOff>
                  </from>
                  <to>
                    <xdr:col>4</xdr:col>
                    <xdr:colOff>518160</xdr:colOff>
                    <xdr:row>198</xdr:row>
                    <xdr:rowOff>533400</xdr:rowOff>
                  </to>
                </anchor>
              </controlPr>
            </control>
          </mc:Choice>
        </mc:AlternateContent>
        <mc:AlternateContent xmlns:mc="http://schemas.openxmlformats.org/markup-compatibility/2006">
          <mc:Choice Requires="x14">
            <control shapeId="2273" r:id="rId214" name="Check Box 225">
              <controlPr defaultSize="0" autoFill="0" autoLine="0" autoPict="0">
                <anchor moveWithCells="1">
                  <from>
                    <xdr:col>4</xdr:col>
                    <xdr:colOff>281940</xdr:colOff>
                    <xdr:row>198</xdr:row>
                    <xdr:rowOff>198120</xdr:rowOff>
                  </from>
                  <to>
                    <xdr:col>4</xdr:col>
                    <xdr:colOff>518160</xdr:colOff>
                    <xdr:row>198</xdr:row>
                    <xdr:rowOff>533400</xdr:rowOff>
                  </to>
                </anchor>
              </controlPr>
            </control>
          </mc:Choice>
        </mc:AlternateContent>
        <mc:AlternateContent xmlns:mc="http://schemas.openxmlformats.org/markup-compatibility/2006">
          <mc:Choice Requires="x14">
            <control shapeId="2274" r:id="rId215" name="Check Box 226">
              <controlPr defaultSize="0" autoFill="0" autoLine="0" autoPict="0">
                <anchor moveWithCells="1">
                  <from>
                    <xdr:col>4</xdr:col>
                    <xdr:colOff>281940</xdr:colOff>
                    <xdr:row>199</xdr:row>
                    <xdr:rowOff>198120</xdr:rowOff>
                  </from>
                  <to>
                    <xdr:col>4</xdr:col>
                    <xdr:colOff>518160</xdr:colOff>
                    <xdr:row>199</xdr:row>
                    <xdr:rowOff>533400</xdr:rowOff>
                  </to>
                </anchor>
              </controlPr>
            </control>
          </mc:Choice>
        </mc:AlternateContent>
        <mc:AlternateContent xmlns:mc="http://schemas.openxmlformats.org/markup-compatibility/2006">
          <mc:Choice Requires="x14">
            <control shapeId="2275" r:id="rId216" name="Check Box 227">
              <controlPr defaultSize="0" autoFill="0" autoLine="0" autoPict="0">
                <anchor moveWithCells="1">
                  <from>
                    <xdr:col>4</xdr:col>
                    <xdr:colOff>281940</xdr:colOff>
                    <xdr:row>201</xdr:row>
                    <xdr:rowOff>198120</xdr:rowOff>
                  </from>
                  <to>
                    <xdr:col>4</xdr:col>
                    <xdr:colOff>518160</xdr:colOff>
                    <xdr:row>201</xdr:row>
                    <xdr:rowOff>533400</xdr:rowOff>
                  </to>
                </anchor>
              </controlPr>
            </control>
          </mc:Choice>
        </mc:AlternateContent>
        <mc:AlternateContent xmlns:mc="http://schemas.openxmlformats.org/markup-compatibility/2006">
          <mc:Choice Requires="x14">
            <control shapeId="2276" r:id="rId217" name="Check Box 228">
              <controlPr defaultSize="0" autoFill="0" autoLine="0" autoPict="0">
                <anchor moveWithCells="1">
                  <from>
                    <xdr:col>4</xdr:col>
                    <xdr:colOff>281940</xdr:colOff>
                    <xdr:row>201</xdr:row>
                    <xdr:rowOff>198120</xdr:rowOff>
                  </from>
                  <to>
                    <xdr:col>4</xdr:col>
                    <xdr:colOff>518160</xdr:colOff>
                    <xdr:row>201</xdr:row>
                    <xdr:rowOff>533400</xdr:rowOff>
                  </to>
                </anchor>
              </controlPr>
            </control>
          </mc:Choice>
        </mc:AlternateContent>
        <mc:AlternateContent xmlns:mc="http://schemas.openxmlformats.org/markup-compatibility/2006">
          <mc:Choice Requires="x14">
            <control shapeId="2277" r:id="rId218" name="Check Box 229">
              <controlPr defaultSize="0" autoFill="0" autoLine="0" autoPict="0">
                <anchor moveWithCells="1">
                  <from>
                    <xdr:col>4</xdr:col>
                    <xdr:colOff>281940</xdr:colOff>
                    <xdr:row>202</xdr:row>
                    <xdr:rowOff>198120</xdr:rowOff>
                  </from>
                  <to>
                    <xdr:col>4</xdr:col>
                    <xdr:colOff>518160</xdr:colOff>
                    <xdr:row>202</xdr:row>
                    <xdr:rowOff>533400</xdr:rowOff>
                  </to>
                </anchor>
              </controlPr>
            </control>
          </mc:Choice>
        </mc:AlternateContent>
        <mc:AlternateContent xmlns:mc="http://schemas.openxmlformats.org/markup-compatibility/2006">
          <mc:Choice Requires="x14">
            <control shapeId="2278" r:id="rId219" name="Check Box 230">
              <controlPr defaultSize="0" autoFill="0" autoLine="0" autoPict="0">
                <anchor moveWithCells="1">
                  <from>
                    <xdr:col>4</xdr:col>
                    <xdr:colOff>281940</xdr:colOff>
                    <xdr:row>203</xdr:row>
                    <xdr:rowOff>198120</xdr:rowOff>
                  </from>
                  <to>
                    <xdr:col>4</xdr:col>
                    <xdr:colOff>518160</xdr:colOff>
                    <xdr:row>203</xdr:row>
                    <xdr:rowOff>533400</xdr:rowOff>
                  </to>
                </anchor>
              </controlPr>
            </control>
          </mc:Choice>
        </mc:AlternateContent>
        <mc:AlternateContent xmlns:mc="http://schemas.openxmlformats.org/markup-compatibility/2006">
          <mc:Choice Requires="x14">
            <control shapeId="2279" r:id="rId220" name="Check Box 231">
              <controlPr defaultSize="0" autoFill="0" autoLine="0" autoPict="0">
                <anchor moveWithCells="1">
                  <from>
                    <xdr:col>4</xdr:col>
                    <xdr:colOff>281940</xdr:colOff>
                    <xdr:row>203</xdr:row>
                    <xdr:rowOff>198120</xdr:rowOff>
                  </from>
                  <to>
                    <xdr:col>4</xdr:col>
                    <xdr:colOff>518160</xdr:colOff>
                    <xdr:row>203</xdr:row>
                    <xdr:rowOff>533400</xdr:rowOff>
                  </to>
                </anchor>
              </controlPr>
            </control>
          </mc:Choice>
        </mc:AlternateContent>
        <mc:AlternateContent xmlns:mc="http://schemas.openxmlformats.org/markup-compatibility/2006">
          <mc:Choice Requires="x14">
            <control shapeId="2280" r:id="rId221" name="Check Box 232">
              <controlPr defaultSize="0" autoFill="0" autoLine="0" autoPict="0">
                <anchor moveWithCells="1">
                  <from>
                    <xdr:col>4</xdr:col>
                    <xdr:colOff>281940</xdr:colOff>
                    <xdr:row>204</xdr:row>
                    <xdr:rowOff>198120</xdr:rowOff>
                  </from>
                  <to>
                    <xdr:col>4</xdr:col>
                    <xdr:colOff>518160</xdr:colOff>
                    <xdr:row>204</xdr:row>
                    <xdr:rowOff>533400</xdr:rowOff>
                  </to>
                </anchor>
              </controlPr>
            </control>
          </mc:Choice>
        </mc:AlternateContent>
        <mc:AlternateContent xmlns:mc="http://schemas.openxmlformats.org/markup-compatibility/2006">
          <mc:Choice Requires="x14">
            <control shapeId="2281" r:id="rId222" name="Check Box 233">
              <controlPr defaultSize="0" autoFill="0" autoLine="0" autoPict="0">
                <anchor moveWithCells="1">
                  <from>
                    <xdr:col>4</xdr:col>
                    <xdr:colOff>281940</xdr:colOff>
                    <xdr:row>205</xdr:row>
                    <xdr:rowOff>198120</xdr:rowOff>
                  </from>
                  <to>
                    <xdr:col>4</xdr:col>
                    <xdr:colOff>518160</xdr:colOff>
                    <xdr:row>205</xdr:row>
                    <xdr:rowOff>533400</xdr:rowOff>
                  </to>
                </anchor>
              </controlPr>
            </control>
          </mc:Choice>
        </mc:AlternateContent>
        <mc:AlternateContent xmlns:mc="http://schemas.openxmlformats.org/markup-compatibility/2006">
          <mc:Choice Requires="x14">
            <control shapeId="2282" r:id="rId223" name="Check Box 234">
              <controlPr defaultSize="0" autoFill="0" autoLine="0" autoPict="0">
                <anchor moveWithCells="1">
                  <from>
                    <xdr:col>4</xdr:col>
                    <xdr:colOff>281940</xdr:colOff>
                    <xdr:row>205</xdr:row>
                    <xdr:rowOff>198120</xdr:rowOff>
                  </from>
                  <to>
                    <xdr:col>4</xdr:col>
                    <xdr:colOff>518160</xdr:colOff>
                    <xdr:row>205</xdr:row>
                    <xdr:rowOff>533400</xdr:rowOff>
                  </to>
                </anchor>
              </controlPr>
            </control>
          </mc:Choice>
        </mc:AlternateContent>
        <mc:AlternateContent xmlns:mc="http://schemas.openxmlformats.org/markup-compatibility/2006">
          <mc:Choice Requires="x14">
            <control shapeId="2283" r:id="rId224" name="Check Box 235">
              <controlPr defaultSize="0" autoFill="0" autoLine="0" autoPict="0">
                <anchor moveWithCells="1">
                  <from>
                    <xdr:col>4</xdr:col>
                    <xdr:colOff>281940</xdr:colOff>
                    <xdr:row>206</xdr:row>
                    <xdr:rowOff>198120</xdr:rowOff>
                  </from>
                  <to>
                    <xdr:col>4</xdr:col>
                    <xdr:colOff>518160</xdr:colOff>
                    <xdr:row>206</xdr:row>
                    <xdr:rowOff>533400</xdr:rowOff>
                  </to>
                </anchor>
              </controlPr>
            </control>
          </mc:Choice>
        </mc:AlternateContent>
        <mc:AlternateContent xmlns:mc="http://schemas.openxmlformats.org/markup-compatibility/2006">
          <mc:Choice Requires="x14">
            <control shapeId="2284" r:id="rId225" name="Check Box 236">
              <controlPr defaultSize="0" autoFill="0" autoLine="0" autoPict="0">
                <anchor moveWithCells="1">
                  <from>
                    <xdr:col>4</xdr:col>
                    <xdr:colOff>281940</xdr:colOff>
                    <xdr:row>208</xdr:row>
                    <xdr:rowOff>198120</xdr:rowOff>
                  </from>
                  <to>
                    <xdr:col>4</xdr:col>
                    <xdr:colOff>518160</xdr:colOff>
                    <xdr:row>208</xdr:row>
                    <xdr:rowOff>533400</xdr:rowOff>
                  </to>
                </anchor>
              </controlPr>
            </control>
          </mc:Choice>
        </mc:AlternateContent>
        <mc:AlternateContent xmlns:mc="http://schemas.openxmlformats.org/markup-compatibility/2006">
          <mc:Choice Requires="x14">
            <control shapeId="2285" r:id="rId226" name="Check Box 237">
              <controlPr defaultSize="0" autoFill="0" autoLine="0" autoPict="0">
                <anchor moveWithCells="1">
                  <from>
                    <xdr:col>4</xdr:col>
                    <xdr:colOff>281940</xdr:colOff>
                    <xdr:row>208</xdr:row>
                    <xdr:rowOff>198120</xdr:rowOff>
                  </from>
                  <to>
                    <xdr:col>4</xdr:col>
                    <xdr:colOff>518160</xdr:colOff>
                    <xdr:row>208</xdr:row>
                    <xdr:rowOff>533400</xdr:rowOff>
                  </to>
                </anchor>
              </controlPr>
            </control>
          </mc:Choice>
        </mc:AlternateContent>
        <mc:AlternateContent xmlns:mc="http://schemas.openxmlformats.org/markup-compatibility/2006">
          <mc:Choice Requires="x14">
            <control shapeId="2286" r:id="rId227" name="Check Box 238">
              <controlPr defaultSize="0" autoFill="0" autoLine="0" autoPict="0">
                <anchor moveWithCells="1">
                  <from>
                    <xdr:col>4</xdr:col>
                    <xdr:colOff>281940</xdr:colOff>
                    <xdr:row>209</xdr:row>
                    <xdr:rowOff>198120</xdr:rowOff>
                  </from>
                  <to>
                    <xdr:col>4</xdr:col>
                    <xdr:colOff>518160</xdr:colOff>
                    <xdr:row>209</xdr:row>
                    <xdr:rowOff>533400</xdr:rowOff>
                  </to>
                </anchor>
              </controlPr>
            </control>
          </mc:Choice>
        </mc:AlternateContent>
        <mc:AlternateContent xmlns:mc="http://schemas.openxmlformats.org/markup-compatibility/2006">
          <mc:Choice Requires="x14">
            <control shapeId="2287" r:id="rId228" name="Check Box 239">
              <controlPr defaultSize="0" autoFill="0" autoLine="0" autoPict="0">
                <anchor moveWithCells="1">
                  <from>
                    <xdr:col>4</xdr:col>
                    <xdr:colOff>281940</xdr:colOff>
                    <xdr:row>210</xdr:row>
                    <xdr:rowOff>198120</xdr:rowOff>
                  </from>
                  <to>
                    <xdr:col>4</xdr:col>
                    <xdr:colOff>518160</xdr:colOff>
                    <xdr:row>210</xdr:row>
                    <xdr:rowOff>533400</xdr:rowOff>
                  </to>
                </anchor>
              </controlPr>
            </control>
          </mc:Choice>
        </mc:AlternateContent>
        <mc:AlternateContent xmlns:mc="http://schemas.openxmlformats.org/markup-compatibility/2006">
          <mc:Choice Requires="x14">
            <control shapeId="2288" r:id="rId229" name="Check Box 240">
              <controlPr defaultSize="0" autoFill="0" autoLine="0" autoPict="0">
                <anchor moveWithCells="1">
                  <from>
                    <xdr:col>4</xdr:col>
                    <xdr:colOff>281940</xdr:colOff>
                    <xdr:row>210</xdr:row>
                    <xdr:rowOff>198120</xdr:rowOff>
                  </from>
                  <to>
                    <xdr:col>4</xdr:col>
                    <xdr:colOff>518160</xdr:colOff>
                    <xdr:row>210</xdr:row>
                    <xdr:rowOff>533400</xdr:rowOff>
                  </to>
                </anchor>
              </controlPr>
            </control>
          </mc:Choice>
        </mc:AlternateContent>
        <mc:AlternateContent xmlns:mc="http://schemas.openxmlformats.org/markup-compatibility/2006">
          <mc:Choice Requires="x14">
            <control shapeId="2289" r:id="rId230" name="Check Box 241">
              <controlPr defaultSize="0" autoFill="0" autoLine="0" autoPict="0">
                <anchor moveWithCells="1">
                  <from>
                    <xdr:col>4</xdr:col>
                    <xdr:colOff>281940</xdr:colOff>
                    <xdr:row>211</xdr:row>
                    <xdr:rowOff>198120</xdr:rowOff>
                  </from>
                  <to>
                    <xdr:col>4</xdr:col>
                    <xdr:colOff>518160</xdr:colOff>
                    <xdr:row>211</xdr:row>
                    <xdr:rowOff>533400</xdr:rowOff>
                  </to>
                </anchor>
              </controlPr>
            </control>
          </mc:Choice>
        </mc:AlternateContent>
        <mc:AlternateContent xmlns:mc="http://schemas.openxmlformats.org/markup-compatibility/2006">
          <mc:Choice Requires="x14">
            <control shapeId="2290" r:id="rId231" name="Check Box 242">
              <controlPr defaultSize="0" autoFill="0" autoLine="0" autoPict="0">
                <anchor moveWithCells="1">
                  <from>
                    <xdr:col>4</xdr:col>
                    <xdr:colOff>281940</xdr:colOff>
                    <xdr:row>212</xdr:row>
                    <xdr:rowOff>198120</xdr:rowOff>
                  </from>
                  <to>
                    <xdr:col>4</xdr:col>
                    <xdr:colOff>518160</xdr:colOff>
                    <xdr:row>212</xdr:row>
                    <xdr:rowOff>533400</xdr:rowOff>
                  </to>
                </anchor>
              </controlPr>
            </control>
          </mc:Choice>
        </mc:AlternateContent>
        <mc:AlternateContent xmlns:mc="http://schemas.openxmlformats.org/markup-compatibility/2006">
          <mc:Choice Requires="x14">
            <control shapeId="2291" r:id="rId232" name="Check Box 243">
              <controlPr defaultSize="0" autoFill="0" autoLine="0" autoPict="0">
                <anchor moveWithCells="1">
                  <from>
                    <xdr:col>4</xdr:col>
                    <xdr:colOff>281940</xdr:colOff>
                    <xdr:row>212</xdr:row>
                    <xdr:rowOff>198120</xdr:rowOff>
                  </from>
                  <to>
                    <xdr:col>4</xdr:col>
                    <xdr:colOff>518160</xdr:colOff>
                    <xdr:row>212</xdr:row>
                    <xdr:rowOff>533400</xdr:rowOff>
                  </to>
                </anchor>
              </controlPr>
            </control>
          </mc:Choice>
        </mc:AlternateContent>
        <mc:AlternateContent xmlns:mc="http://schemas.openxmlformats.org/markup-compatibility/2006">
          <mc:Choice Requires="x14">
            <control shapeId="2292" r:id="rId233" name="Check Box 244">
              <controlPr defaultSize="0" autoFill="0" autoLine="0" autoPict="0">
                <anchor moveWithCells="1">
                  <from>
                    <xdr:col>4</xdr:col>
                    <xdr:colOff>281940</xdr:colOff>
                    <xdr:row>215</xdr:row>
                    <xdr:rowOff>198120</xdr:rowOff>
                  </from>
                  <to>
                    <xdr:col>4</xdr:col>
                    <xdr:colOff>518160</xdr:colOff>
                    <xdr:row>215</xdr:row>
                    <xdr:rowOff>533400</xdr:rowOff>
                  </to>
                </anchor>
              </controlPr>
            </control>
          </mc:Choice>
        </mc:AlternateContent>
        <mc:AlternateContent xmlns:mc="http://schemas.openxmlformats.org/markup-compatibility/2006">
          <mc:Choice Requires="x14">
            <control shapeId="2293" r:id="rId234" name="Check Box 245">
              <controlPr defaultSize="0" autoFill="0" autoLine="0" autoPict="0">
                <anchor moveWithCells="1">
                  <from>
                    <xdr:col>4</xdr:col>
                    <xdr:colOff>281940</xdr:colOff>
                    <xdr:row>215</xdr:row>
                    <xdr:rowOff>198120</xdr:rowOff>
                  </from>
                  <to>
                    <xdr:col>4</xdr:col>
                    <xdr:colOff>518160</xdr:colOff>
                    <xdr:row>215</xdr:row>
                    <xdr:rowOff>533400</xdr:rowOff>
                  </to>
                </anchor>
              </controlPr>
            </control>
          </mc:Choice>
        </mc:AlternateContent>
        <mc:AlternateContent xmlns:mc="http://schemas.openxmlformats.org/markup-compatibility/2006">
          <mc:Choice Requires="x14">
            <control shapeId="2294" r:id="rId235" name="Check Box 246">
              <controlPr defaultSize="0" autoFill="0" autoLine="0" autoPict="0">
                <anchor moveWithCells="1">
                  <from>
                    <xdr:col>4</xdr:col>
                    <xdr:colOff>281940</xdr:colOff>
                    <xdr:row>216</xdr:row>
                    <xdr:rowOff>198120</xdr:rowOff>
                  </from>
                  <to>
                    <xdr:col>4</xdr:col>
                    <xdr:colOff>518160</xdr:colOff>
                    <xdr:row>216</xdr:row>
                    <xdr:rowOff>533400</xdr:rowOff>
                  </to>
                </anchor>
              </controlPr>
            </control>
          </mc:Choice>
        </mc:AlternateContent>
        <mc:AlternateContent xmlns:mc="http://schemas.openxmlformats.org/markup-compatibility/2006">
          <mc:Choice Requires="x14">
            <control shapeId="2295" r:id="rId236" name="Check Box 247">
              <controlPr defaultSize="0" autoFill="0" autoLine="0" autoPict="0">
                <anchor moveWithCells="1">
                  <from>
                    <xdr:col>4</xdr:col>
                    <xdr:colOff>281940</xdr:colOff>
                    <xdr:row>217</xdr:row>
                    <xdr:rowOff>198120</xdr:rowOff>
                  </from>
                  <to>
                    <xdr:col>4</xdr:col>
                    <xdr:colOff>518160</xdr:colOff>
                    <xdr:row>217</xdr:row>
                    <xdr:rowOff>533400</xdr:rowOff>
                  </to>
                </anchor>
              </controlPr>
            </control>
          </mc:Choice>
        </mc:AlternateContent>
        <mc:AlternateContent xmlns:mc="http://schemas.openxmlformats.org/markup-compatibility/2006">
          <mc:Choice Requires="x14">
            <control shapeId="2296" r:id="rId237" name="Check Box 248">
              <controlPr defaultSize="0" autoFill="0" autoLine="0" autoPict="0">
                <anchor moveWithCells="1">
                  <from>
                    <xdr:col>4</xdr:col>
                    <xdr:colOff>281940</xdr:colOff>
                    <xdr:row>217</xdr:row>
                    <xdr:rowOff>198120</xdr:rowOff>
                  </from>
                  <to>
                    <xdr:col>4</xdr:col>
                    <xdr:colOff>518160</xdr:colOff>
                    <xdr:row>217</xdr:row>
                    <xdr:rowOff>533400</xdr:rowOff>
                  </to>
                </anchor>
              </controlPr>
            </control>
          </mc:Choice>
        </mc:AlternateContent>
        <mc:AlternateContent xmlns:mc="http://schemas.openxmlformats.org/markup-compatibility/2006">
          <mc:Choice Requires="x14">
            <control shapeId="2297" r:id="rId238" name="Check Box 249">
              <controlPr defaultSize="0" autoFill="0" autoLine="0" autoPict="0">
                <anchor moveWithCells="1">
                  <from>
                    <xdr:col>4</xdr:col>
                    <xdr:colOff>281940</xdr:colOff>
                    <xdr:row>218</xdr:row>
                    <xdr:rowOff>198120</xdr:rowOff>
                  </from>
                  <to>
                    <xdr:col>4</xdr:col>
                    <xdr:colOff>518160</xdr:colOff>
                    <xdr:row>218</xdr:row>
                    <xdr:rowOff>533400</xdr:rowOff>
                  </to>
                </anchor>
              </controlPr>
            </control>
          </mc:Choice>
        </mc:AlternateContent>
        <mc:AlternateContent xmlns:mc="http://schemas.openxmlformats.org/markup-compatibility/2006">
          <mc:Choice Requires="x14">
            <control shapeId="2298" r:id="rId239" name="Check Box 250">
              <controlPr defaultSize="0" autoFill="0" autoLine="0" autoPict="0">
                <anchor moveWithCells="1">
                  <from>
                    <xdr:col>4</xdr:col>
                    <xdr:colOff>281940</xdr:colOff>
                    <xdr:row>219</xdr:row>
                    <xdr:rowOff>198120</xdr:rowOff>
                  </from>
                  <to>
                    <xdr:col>4</xdr:col>
                    <xdr:colOff>518160</xdr:colOff>
                    <xdr:row>219</xdr:row>
                    <xdr:rowOff>533400</xdr:rowOff>
                  </to>
                </anchor>
              </controlPr>
            </control>
          </mc:Choice>
        </mc:AlternateContent>
        <mc:AlternateContent xmlns:mc="http://schemas.openxmlformats.org/markup-compatibility/2006">
          <mc:Choice Requires="x14">
            <control shapeId="2299" r:id="rId240" name="Check Box 251">
              <controlPr defaultSize="0" autoFill="0" autoLine="0" autoPict="0">
                <anchor moveWithCells="1">
                  <from>
                    <xdr:col>4</xdr:col>
                    <xdr:colOff>281940</xdr:colOff>
                    <xdr:row>219</xdr:row>
                    <xdr:rowOff>198120</xdr:rowOff>
                  </from>
                  <to>
                    <xdr:col>4</xdr:col>
                    <xdr:colOff>518160</xdr:colOff>
                    <xdr:row>219</xdr:row>
                    <xdr:rowOff>533400</xdr:rowOff>
                  </to>
                </anchor>
              </controlPr>
            </control>
          </mc:Choice>
        </mc:AlternateContent>
        <mc:AlternateContent xmlns:mc="http://schemas.openxmlformats.org/markup-compatibility/2006">
          <mc:Choice Requires="x14">
            <control shapeId="2300" r:id="rId241" name="Check Box 252">
              <controlPr defaultSize="0" autoFill="0" autoLine="0" autoPict="0">
                <anchor moveWithCells="1">
                  <from>
                    <xdr:col>4</xdr:col>
                    <xdr:colOff>281940</xdr:colOff>
                    <xdr:row>220</xdr:row>
                    <xdr:rowOff>198120</xdr:rowOff>
                  </from>
                  <to>
                    <xdr:col>4</xdr:col>
                    <xdr:colOff>518160</xdr:colOff>
                    <xdr:row>220</xdr:row>
                    <xdr:rowOff>533400</xdr:rowOff>
                  </to>
                </anchor>
              </controlPr>
            </control>
          </mc:Choice>
        </mc:AlternateContent>
        <mc:AlternateContent xmlns:mc="http://schemas.openxmlformats.org/markup-compatibility/2006">
          <mc:Choice Requires="x14">
            <control shapeId="2301" r:id="rId242" name="Check Box 253">
              <controlPr defaultSize="0" autoFill="0" autoLine="0" autoPict="0">
                <anchor moveWithCells="1">
                  <from>
                    <xdr:col>4</xdr:col>
                    <xdr:colOff>281940</xdr:colOff>
                    <xdr:row>221</xdr:row>
                    <xdr:rowOff>198120</xdr:rowOff>
                  </from>
                  <to>
                    <xdr:col>4</xdr:col>
                    <xdr:colOff>518160</xdr:colOff>
                    <xdr:row>221</xdr:row>
                    <xdr:rowOff>533400</xdr:rowOff>
                  </to>
                </anchor>
              </controlPr>
            </control>
          </mc:Choice>
        </mc:AlternateContent>
        <mc:AlternateContent xmlns:mc="http://schemas.openxmlformats.org/markup-compatibility/2006">
          <mc:Choice Requires="x14">
            <control shapeId="2302" r:id="rId243" name="Check Box 254">
              <controlPr defaultSize="0" autoFill="0" autoLine="0" autoPict="0">
                <anchor moveWithCells="1">
                  <from>
                    <xdr:col>4</xdr:col>
                    <xdr:colOff>281940</xdr:colOff>
                    <xdr:row>221</xdr:row>
                    <xdr:rowOff>198120</xdr:rowOff>
                  </from>
                  <to>
                    <xdr:col>4</xdr:col>
                    <xdr:colOff>518160</xdr:colOff>
                    <xdr:row>221</xdr:row>
                    <xdr:rowOff>533400</xdr:rowOff>
                  </to>
                </anchor>
              </controlPr>
            </control>
          </mc:Choice>
        </mc:AlternateContent>
        <mc:AlternateContent xmlns:mc="http://schemas.openxmlformats.org/markup-compatibility/2006">
          <mc:Choice Requires="x14">
            <control shapeId="2303" r:id="rId244" name="Check Box 255">
              <controlPr defaultSize="0" autoFill="0" autoLine="0" autoPict="0">
                <anchor moveWithCells="1">
                  <from>
                    <xdr:col>4</xdr:col>
                    <xdr:colOff>281940</xdr:colOff>
                    <xdr:row>222</xdr:row>
                    <xdr:rowOff>198120</xdr:rowOff>
                  </from>
                  <to>
                    <xdr:col>4</xdr:col>
                    <xdr:colOff>518160</xdr:colOff>
                    <xdr:row>222</xdr:row>
                    <xdr:rowOff>533400</xdr:rowOff>
                  </to>
                </anchor>
              </controlPr>
            </control>
          </mc:Choice>
        </mc:AlternateContent>
        <mc:AlternateContent xmlns:mc="http://schemas.openxmlformats.org/markup-compatibility/2006">
          <mc:Choice Requires="x14">
            <control shapeId="2304" r:id="rId245" name="Check Box 256">
              <controlPr defaultSize="0" autoFill="0" autoLine="0" autoPict="0">
                <anchor moveWithCells="1">
                  <from>
                    <xdr:col>4</xdr:col>
                    <xdr:colOff>281940</xdr:colOff>
                    <xdr:row>223</xdr:row>
                    <xdr:rowOff>198120</xdr:rowOff>
                  </from>
                  <to>
                    <xdr:col>4</xdr:col>
                    <xdr:colOff>518160</xdr:colOff>
                    <xdr:row>223</xdr:row>
                    <xdr:rowOff>533400</xdr:rowOff>
                  </to>
                </anchor>
              </controlPr>
            </control>
          </mc:Choice>
        </mc:AlternateContent>
        <mc:AlternateContent xmlns:mc="http://schemas.openxmlformats.org/markup-compatibility/2006">
          <mc:Choice Requires="x14">
            <control shapeId="2305" r:id="rId246" name="Check Box 257">
              <controlPr defaultSize="0" autoFill="0" autoLine="0" autoPict="0">
                <anchor moveWithCells="1">
                  <from>
                    <xdr:col>4</xdr:col>
                    <xdr:colOff>281940</xdr:colOff>
                    <xdr:row>223</xdr:row>
                    <xdr:rowOff>198120</xdr:rowOff>
                  </from>
                  <to>
                    <xdr:col>4</xdr:col>
                    <xdr:colOff>518160</xdr:colOff>
                    <xdr:row>223</xdr:row>
                    <xdr:rowOff>533400</xdr:rowOff>
                  </to>
                </anchor>
              </controlPr>
            </control>
          </mc:Choice>
        </mc:AlternateContent>
        <mc:AlternateContent xmlns:mc="http://schemas.openxmlformats.org/markup-compatibility/2006">
          <mc:Choice Requires="x14">
            <control shapeId="2306" r:id="rId247" name="Check Box 258">
              <controlPr defaultSize="0" autoFill="0" autoLine="0" autoPict="0">
                <anchor moveWithCells="1">
                  <from>
                    <xdr:col>4</xdr:col>
                    <xdr:colOff>281940</xdr:colOff>
                    <xdr:row>224</xdr:row>
                    <xdr:rowOff>198120</xdr:rowOff>
                  </from>
                  <to>
                    <xdr:col>4</xdr:col>
                    <xdr:colOff>518160</xdr:colOff>
                    <xdr:row>224</xdr:row>
                    <xdr:rowOff>533400</xdr:rowOff>
                  </to>
                </anchor>
              </controlPr>
            </control>
          </mc:Choice>
        </mc:AlternateContent>
        <mc:AlternateContent xmlns:mc="http://schemas.openxmlformats.org/markup-compatibility/2006">
          <mc:Choice Requires="x14">
            <control shapeId="2307" r:id="rId248" name="Check Box 259">
              <controlPr defaultSize="0" autoFill="0" autoLine="0" autoPict="0">
                <anchor moveWithCells="1">
                  <from>
                    <xdr:col>4</xdr:col>
                    <xdr:colOff>281940</xdr:colOff>
                    <xdr:row>225</xdr:row>
                    <xdr:rowOff>198120</xdr:rowOff>
                  </from>
                  <to>
                    <xdr:col>4</xdr:col>
                    <xdr:colOff>518160</xdr:colOff>
                    <xdr:row>225</xdr:row>
                    <xdr:rowOff>533400</xdr:rowOff>
                  </to>
                </anchor>
              </controlPr>
            </control>
          </mc:Choice>
        </mc:AlternateContent>
        <mc:AlternateContent xmlns:mc="http://schemas.openxmlformats.org/markup-compatibility/2006">
          <mc:Choice Requires="x14">
            <control shapeId="2308" r:id="rId249" name="Check Box 260">
              <controlPr defaultSize="0" autoFill="0" autoLine="0" autoPict="0">
                <anchor moveWithCells="1">
                  <from>
                    <xdr:col>4</xdr:col>
                    <xdr:colOff>281940</xdr:colOff>
                    <xdr:row>225</xdr:row>
                    <xdr:rowOff>198120</xdr:rowOff>
                  </from>
                  <to>
                    <xdr:col>4</xdr:col>
                    <xdr:colOff>518160</xdr:colOff>
                    <xdr:row>225</xdr:row>
                    <xdr:rowOff>533400</xdr:rowOff>
                  </to>
                </anchor>
              </controlPr>
            </control>
          </mc:Choice>
        </mc:AlternateContent>
        <mc:AlternateContent xmlns:mc="http://schemas.openxmlformats.org/markup-compatibility/2006">
          <mc:Choice Requires="x14">
            <control shapeId="2309" r:id="rId250" name="Check Box 261">
              <controlPr defaultSize="0" autoFill="0" autoLine="0" autoPict="0">
                <anchor moveWithCells="1">
                  <from>
                    <xdr:col>4</xdr:col>
                    <xdr:colOff>281940</xdr:colOff>
                    <xdr:row>226</xdr:row>
                    <xdr:rowOff>198120</xdr:rowOff>
                  </from>
                  <to>
                    <xdr:col>4</xdr:col>
                    <xdr:colOff>518160</xdr:colOff>
                    <xdr:row>226</xdr:row>
                    <xdr:rowOff>533400</xdr:rowOff>
                  </to>
                </anchor>
              </controlPr>
            </control>
          </mc:Choice>
        </mc:AlternateContent>
        <mc:AlternateContent xmlns:mc="http://schemas.openxmlformats.org/markup-compatibility/2006">
          <mc:Choice Requires="x14">
            <control shapeId="2310" r:id="rId251" name="Check Box 262">
              <controlPr defaultSize="0" autoFill="0" autoLine="0" autoPict="0">
                <anchor moveWithCells="1">
                  <from>
                    <xdr:col>4</xdr:col>
                    <xdr:colOff>281940</xdr:colOff>
                    <xdr:row>228</xdr:row>
                    <xdr:rowOff>198120</xdr:rowOff>
                  </from>
                  <to>
                    <xdr:col>4</xdr:col>
                    <xdr:colOff>518160</xdr:colOff>
                    <xdr:row>228</xdr:row>
                    <xdr:rowOff>533400</xdr:rowOff>
                  </to>
                </anchor>
              </controlPr>
            </control>
          </mc:Choice>
        </mc:AlternateContent>
        <mc:AlternateContent xmlns:mc="http://schemas.openxmlformats.org/markup-compatibility/2006">
          <mc:Choice Requires="x14">
            <control shapeId="2311" r:id="rId252" name="Check Box 263">
              <controlPr defaultSize="0" autoFill="0" autoLine="0" autoPict="0">
                <anchor moveWithCells="1">
                  <from>
                    <xdr:col>4</xdr:col>
                    <xdr:colOff>281940</xdr:colOff>
                    <xdr:row>228</xdr:row>
                    <xdr:rowOff>198120</xdr:rowOff>
                  </from>
                  <to>
                    <xdr:col>4</xdr:col>
                    <xdr:colOff>518160</xdr:colOff>
                    <xdr:row>228</xdr:row>
                    <xdr:rowOff>533400</xdr:rowOff>
                  </to>
                </anchor>
              </controlPr>
            </control>
          </mc:Choice>
        </mc:AlternateContent>
        <mc:AlternateContent xmlns:mc="http://schemas.openxmlformats.org/markup-compatibility/2006">
          <mc:Choice Requires="x14">
            <control shapeId="2312" r:id="rId253" name="Check Box 264">
              <controlPr defaultSize="0" autoFill="0" autoLine="0" autoPict="0">
                <anchor moveWithCells="1">
                  <from>
                    <xdr:col>4</xdr:col>
                    <xdr:colOff>281940</xdr:colOff>
                    <xdr:row>229</xdr:row>
                    <xdr:rowOff>198120</xdr:rowOff>
                  </from>
                  <to>
                    <xdr:col>4</xdr:col>
                    <xdr:colOff>518160</xdr:colOff>
                    <xdr:row>229</xdr:row>
                    <xdr:rowOff>533400</xdr:rowOff>
                  </to>
                </anchor>
              </controlPr>
            </control>
          </mc:Choice>
        </mc:AlternateContent>
        <mc:AlternateContent xmlns:mc="http://schemas.openxmlformats.org/markup-compatibility/2006">
          <mc:Choice Requires="x14">
            <control shapeId="2313" r:id="rId254" name="Check Box 265">
              <controlPr defaultSize="0" autoFill="0" autoLine="0" autoPict="0">
                <anchor moveWithCells="1">
                  <from>
                    <xdr:col>4</xdr:col>
                    <xdr:colOff>281940</xdr:colOff>
                    <xdr:row>230</xdr:row>
                    <xdr:rowOff>198120</xdr:rowOff>
                  </from>
                  <to>
                    <xdr:col>4</xdr:col>
                    <xdr:colOff>518160</xdr:colOff>
                    <xdr:row>230</xdr:row>
                    <xdr:rowOff>533400</xdr:rowOff>
                  </to>
                </anchor>
              </controlPr>
            </control>
          </mc:Choice>
        </mc:AlternateContent>
        <mc:AlternateContent xmlns:mc="http://schemas.openxmlformats.org/markup-compatibility/2006">
          <mc:Choice Requires="x14">
            <control shapeId="2314" r:id="rId255" name="Check Box 266">
              <controlPr defaultSize="0" autoFill="0" autoLine="0" autoPict="0">
                <anchor moveWithCells="1">
                  <from>
                    <xdr:col>4</xdr:col>
                    <xdr:colOff>281940</xdr:colOff>
                    <xdr:row>230</xdr:row>
                    <xdr:rowOff>198120</xdr:rowOff>
                  </from>
                  <to>
                    <xdr:col>4</xdr:col>
                    <xdr:colOff>518160</xdr:colOff>
                    <xdr:row>230</xdr:row>
                    <xdr:rowOff>533400</xdr:rowOff>
                  </to>
                </anchor>
              </controlPr>
            </control>
          </mc:Choice>
        </mc:AlternateContent>
        <mc:AlternateContent xmlns:mc="http://schemas.openxmlformats.org/markup-compatibility/2006">
          <mc:Choice Requires="x14">
            <control shapeId="2315" r:id="rId256" name="Check Box 267">
              <controlPr defaultSize="0" autoFill="0" autoLine="0" autoPict="0">
                <anchor moveWithCells="1">
                  <from>
                    <xdr:col>4</xdr:col>
                    <xdr:colOff>281940</xdr:colOff>
                    <xdr:row>231</xdr:row>
                    <xdr:rowOff>198120</xdr:rowOff>
                  </from>
                  <to>
                    <xdr:col>4</xdr:col>
                    <xdr:colOff>518160</xdr:colOff>
                    <xdr:row>231</xdr:row>
                    <xdr:rowOff>533400</xdr:rowOff>
                  </to>
                </anchor>
              </controlPr>
            </control>
          </mc:Choice>
        </mc:AlternateContent>
        <mc:AlternateContent xmlns:mc="http://schemas.openxmlformats.org/markup-compatibility/2006">
          <mc:Choice Requires="x14">
            <control shapeId="2316" r:id="rId257" name="Check Box 268">
              <controlPr defaultSize="0" autoFill="0" autoLine="0" autoPict="0">
                <anchor moveWithCells="1">
                  <from>
                    <xdr:col>4</xdr:col>
                    <xdr:colOff>281940</xdr:colOff>
                    <xdr:row>232</xdr:row>
                    <xdr:rowOff>198120</xdr:rowOff>
                  </from>
                  <to>
                    <xdr:col>4</xdr:col>
                    <xdr:colOff>518160</xdr:colOff>
                    <xdr:row>232</xdr:row>
                    <xdr:rowOff>533400</xdr:rowOff>
                  </to>
                </anchor>
              </controlPr>
            </control>
          </mc:Choice>
        </mc:AlternateContent>
        <mc:AlternateContent xmlns:mc="http://schemas.openxmlformats.org/markup-compatibility/2006">
          <mc:Choice Requires="x14">
            <control shapeId="2317" r:id="rId258" name="Check Box 269">
              <controlPr defaultSize="0" autoFill="0" autoLine="0" autoPict="0">
                <anchor moveWithCells="1">
                  <from>
                    <xdr:col>4</xdr:col>
                    <xdr:colOff>281940</xdr:colOff>
                    <xdr:row>232</xdr:row>
                    <xdr:rowOff>198120</xdr:rowOff>
                  </from>
                  <to>
                    <xdr:col>4</xdr:col>
                    <xdr:colOff>518160</xdr:colOff>
                    <xdr:row>232</xdr:row>
                    <xdr:rowOff>533400</xdr:rowOff>
                  </to>
                </anchor>
              </controlPr>
            </control>
          </mc:Choice>
        </mc:AlternateContent>
        <mc:AlternateContent xmlns:mc="http://schemas.openxmlformats.org/markup-compatibility/2006">
          <mc:Choice Requires="x14">
            <control shapeId="2318" r:id="rId259" name="Check Box 270">
              <controlPr defaultSize="0" autoFill="0" autoLine="0" autoPict="0">
                <anchor moveWithCells="1">
                  <from>
                    <xdr:col>4</xdr:col>
                    <xdr:colOff>281940</xdr:colOff>
                    <xdr:row>233</xdr:row>
                    <xdr:rowOff>198120</xdr:rowOff>
                  </from>
                  <to>
                    <xdr:col>4</xdr:col>
                    <xdr:colOff>518160</xdr:colOff>
                    <xdr:row>233</xdr:row>
                    <xdr:rowOff>533400</xdr:rowOff>
                  </to>
                </anchor>
              </controlPr>
            </control>
          </mc:Choice>
        </mc:AlternateContent>
        <mc:AlternateContent xmlns:mc="http://schemas.openxmlformats.org/markup-compatibility/2006">
          <mc:Choice Requires="x14">
            <control shapeId="2319" r:id="rId260" name="Check Box 271">
              <controlPr defaultSize="0" autoFill="0" autoLine="0" autoPict="0">
                <anchor moveWithCells="1">
                  <from>
                    <xdr:col>4</xdr:col>
                    <xdr:colOff>281940</xdr:colOff>
                    <xdr:row>234</xdr:row>
                    <xdr:rowOff>198120</xdr:rowOff>
                  </from>
                  <to>
                    <xdr:col>4</xdr:col>
                    <xdr:colOff>518160</xdr:colOff>
                    <xdr:row>234</xdr:row>
                    <xdr:rowOff>533400</xdr:rowOff>
                  </to>
                </anchor>
              </controlPr>
            </control>
          </mc:Choice>
        </mc:AlternateContent>
        <mc:AlternateContent xmlns:mc="http://schemas.openxmlformats.org/markup-compatibility/2006">
          <mc:Choice Requires="x14">
            <control shapeId="2320" r:id="rId261" name="Check Box 272">
              <controlPr defaultSize="0" autoFill="0" autoLine="0" autoPict="0">
                <anchor moveWithCells="1">
                  <from>
                    <xdr:col>4</xdr:col>
                    <xdr:colOff>281940</xdr:colOff>
                    <xdr:row>234</xdr:row>
                    <xdr:rowOff>198120</xdr:rowOff>
                  </from>
                  <to>
                    <xdr:col>4</xdr:col>
                    <xdr:colOff>518160</xdr:colOff>
                    <xdr:row>234</xdr:row>
                    <xdr:rowOff>533400</xdr:rowOff>
                  </to>
                </anchor>
              </controlPr>
            </control>
          </mc:Choice>
        </mc:AlternateContent>
        <mc:AlternateContent xmlns:mc="http://schemas.openxmlformats.org/markup-compatibility/2006">
          <mc:Choice Requires="x14">
            <control shapeId="2321" r:id="rId262" name="Check Box 273">
              <controlPr defaultSize="0" autoFill="0" autoLine="0" autoPict="0">
                <anchor moveWithCells="1">
                  <from>
                    <xdr:col>4</xdr:col>
                    <xdr:colOff>281940</xdr:colOff>
                    <xdr:row>235</xdr:row>
                    <xdr:rowOff>198120</xdr:rowOff>
                  </from>
                  <to>
                    <xdr:col>4</xdr:col>
                    <xdr:colOff>518160</xdr:colOff>
                    <xdr:row>235</xdr:row>
                    <xdr:rowOff>533400</xdr:rowOff>
                  </to>
                </anchor>
              </controlPr>
            </control>
          </mc:Choice>
        </mc:AlternateContent>
        <mc:AlternateContent xmlns:mc="http://schemas.openxmlformats.org/markup-compatibility/2006">
          <mc:Choice Requires="x14">
            <control shapeId="2322" r:id="rId263" name="Check Box 274">
              <controlPr defaultSize="0" autoFill="0" autoLine="0" autoPict="0">
                <anchor moveWithCells="1">
                  <from>
                    <xdr:col>4</xdr:col>
                    <xdr:colOff>281940</xdr:colOff>
                    <xdr:row>236</xdr:row>
                    <xdr:rowOff>198120</xdr:rowOff>
                  </from>
                  <to>
                    <xdr:col>4</xdr:col>
                    <xdr:colOff>518160</xdr:colOff>
                    <xdr:row>236</xdr:row>
                    <xdr:rowOff>533400</xdr:rowOff>
                  </to>
                </anchor>
              </controlPr>
            </control>
          </mc:Choice>
        </mc:AlternateContent>
        <mc:AlternateContent xmlns:mc="http://schemas.openxmlformats.org/markup-compatibility/2006">
          <mc:Choice Requires="x14">
            <control shapeId="2323" r:id="rId264" name="Check Box 275">
              <controlPr defaultSize="0" autoFill="0" autoLine="0" autoPict="0">
                <anchor moveWithCells="1">
                  <from>
                    <xdr:col>4</xdr:col>
                    <xdr:colOff>281940</xdr:colOff>
                    <xdr:row>236</xdr:row>
                    <xdr:rowOff>198120</xdr:rowOff>
                  </from>
                  <to>
                    <xdr:col>4</xdr:col>
                    <xdr:colOff>518160</xdr:colOff>
                    <xdr:row>236</xdr:row>
                    <xdr:rowOff>533400</xdr:rowOff>
                  </to>
                </anchor>
              </controlPr>
            </control>
          </mc:Choice>
        </mc:AlternateContent>
        <mc:AlternateContent xmlns:mc="http://schemas.openxmlformats.org/markup-compatibility/2006">
          <mc:Choice Requires="x14">
            <control shapeId="2324" r:id="rId265" name="Check Box 276">
              <controlPr defaultSize="0" autoFill="0" autoLine="0" autoPict="0">
                <anchor moveWithCells="1">
                  <from>
                    <xdr:col>4</xdr:col>
                    <xdr:colOff>281940</xdr:colOff>
                    <xdr:row>237</xdr:row>
                    <xdr:rowOff>198120</xdr:rowOff>
                  </from>
                  <to>
                    <xdr:col>4</xdr:col>
                    <xdr:colOff>518160</xdr:colOff>
                    <xdr:row>237</xdr:row>
                    <xdr:rowOff>533400</xdr:rowOff>
                  </to>
                </anchor>
              </controlPr>
            </control>
          </mc:Choice>
        </mc:AlternateContent>
        <mc:AlternateContent xmlns:mc="http://schemas.openxmlformats.org/markup-compatibility/2006">
          <mc:Choice Requires="x14">
            <control shapeId="2325" r:id="rId266" name="Check Box 277">
              <controlPr defaultSize="0" autoFill="0" autoLine="0" autoPict="0">
                <anchor moveWithCells="1">
                  <from>
                    <xdr:col>4</xdr:col>
                    <xdr:colOff>281940</xdr:colOff>
                    <xdr:row>238</xdr:row>
                    <xdr:rowOff>198120</xdr:rowOff>
                  </from>
                  <to>
                    <xdr:col>4</xdr:col>
                    <xdr:colOff>518160</xdr:colOff>
                    <xdr:row>238</xdr:row>
                    <xdr:rowOff>533400</xdr:rowOff>
                  </to>
                </anchor>
              </controlPr>
            </control>
          </mc:Choice>
        </mc:AlternateContent>
        <mc:AlternateContent xmlns:mc="http://schemas.openxmlformats.org/markup-compatibility/2006">
          <mc:Choice Requires="x14">
            <control shapeId="2326" r:id="rId267" name="Check Box 278">
              <controlPr defaultSize="0" autoFill="0" autoLine="0" autoPict="0">
                <anchor moveWithCells="1">
                  <from>
                    <xdr:col>4</xdr:col>
                    <xdr:colOff>281940</xdr:colOff>
                    <xdr:row>238</xdr:row>
                    <xdr:rowOff>198120</xdr:rowOff>
                  </from>
                  <to>
                    <xdr:col>4</xdr:col>
                    <xdr:colOff>518160</xdr:colOff>
                    <xdr:row>238</xdr:row>
                    <xdr:rowOff>533400</xdr:rowOff>
                  </to>
                </anchor>
              </controlPr>
            </control>
          </mc:Choice>
        </mc:AlternateContent>
        <mc:AlternateContent xmlns:mc="http://schemas.openxmlformats.org/markup-compatibility/2006">
          <mc:Choice Requires="x14">
            <control shapeId="2327" r:id="rId268" name="Check Box 279">
              <controlPr defaultSize="0" autoFill="0" autoLine="0" autoPict="0">
                <anchor moveWithCells="1">
                  <from>
                    <xdr:col>4</xdr:col>
                    <xdr:colOff>281940</xdr:colOff>
                    <xdr:row>240</xdr:row>
                    <xdr:rowOff>198120</xdr:rowOff>
                  </from>
                  <to>
                    <xdr:col>4</xdr:col>
                    <xdr:colOff>518160</xdr:colOff>
                    <xdr:row>240</xdr:row>
                    <xdr:rowOff>533400</xdr:rowOff>
                  </to>
                </anchor>
              </controlPr>
            </control>
          </mc:Choice>
        </mc:AlternateContent>
        <mc:AlternateContent xmlns:mc="http://schemas.openxmlformats.org/markup-compatibility/2006">
          <mc:Choice Requires="x14">
            <control shapeId="2328" r:id="rId269" name="Check Box 280">
              <controlPr defaultSize="0" autoFill="0" autoLine="0" autoPict="0">
                <anchor moveWithCells="1">
                  <from>
                    <xdr:col>4</xdr:col>
                    <xdr:colOff>281940</xdr:colOff>
                    <xdr:row>240</xdr:row>
                    <xdr:rowOff>198120</xdr:rowOff>
                  </from>
                  <to>
                    <xdr:col>4</xdr:col>
                    <xdr:colOff>518160</xdr:colOff>
                    <xdr:row>240</xdr:row>
                    <xdr:rowOff>533400</xdr:rowOff>
                  </to>
                </anchor>
              </controlPr>
            </control>
          </mc:Choice>
        </mc:AlternateContent>
        <mc:AlternateContent xmlns:mc="http://schemas.openxmlformats.org/markup-compatibility/2006">
          <mc:Choice Requires="x14">
            <control shapeId="2329" r:id="rId270" name="Check Box 281">
              <controlPr defaultSize="0" autoFill="0" autoLine="0" autoPict="0">
                <anchor moveWithCells="1">
                  <from>
                    <xdr:col>4</xdr:col>
                    <xdr:colOff>281940</xdr:colOff>
                    <xdr:row>241</xdr:row>
                    <xdr:rowOff>198120</xdr:rowOff>
                  </from>
                  <to>
                    <xdr:col>4</xdr:col>
                    <xdr:colOff>518160</xdr:colOff>
                    <xdr:row>241</xdr:row>
                    <xdr:rowOff>533400</xdr:rowOff>
                  </to>
                </anchor>
              </controlPr>
            </control>
          </mc:Choice>
        </mc:AlternateContent>
        <mc:AlternateContent xmlns:mc="http://schemas.openxmlformats.org/markup-compatibility/2006">
          <mc:Choice Requires="x14">
            <control shapeId="2330" r:id="rId271" name="Check Box 282">
              <controlPr defaultSize="0" autoFill="0" autoLine="0" autoPict="0">
                <anchor moveWithCells="1">
                  <from>
                    <xdr:col>4</xdr:col>
                    <xdr:colOff>281940</xdr:colOff>
                    <xdr:row>242</xdr:row>
                    <xdr:rowOff>198120</xdr:rowOff>
                  </from>
                  <to>
                    <xdr:col>4</xdr:col>
                    <xdr:colOff>518160</xdr:colOff>
                    <xdr:row>242</xdr:row>
                    <xdr:rowOff>533400</xdr:rowOff>
                  </to>
                </anchor>
              </controlPr>
            </control>
          </mc:Choice>
        </mc:AlternateContent>
        <mc:AlternateContent xmlns:mc="http://schemas.openxmlformats.org/markup-compatibility/2006">
          <mc:Choice Requires="x14">
            <control shapeId="2331" r:id="rId272" name="Check Box 283">
              <controlPr defaultSize="0" autoFill="0" autoLine="0" autoPict="0">
                <anchor moveWithCells="1">
                  <from>
                    <xdr:col>4</xdr:col>
                    <xdr:colOff>281940</xdr:colOff>
                    <xdr:row>242</xdr:row>
                    <xdr:rowOff>198120</xdr:rowOff>
                  </from>
                  <to>
                    <xdr:col>4</xdr:col>
                    <xdr:colOff>518160</xdr:colOff>
                    <xdr:row>242</xdr:row>
                    <xdr:rowOff>533400</xdr:rowOff>
                  </to>
                </anchor>
              </controlPr>
            </control>
          </mc:Choice>
        </mc:AlternateContent>
        <mc:AlternateContent xmlns:mc="http://schemas.openxmlformats.org/markup-compatibility/2006">
          <mc:Choice Requires="x14">
            <control shapeId="2332" r:id="rId273" name="Check Box 284">
              <controlPr defaultSize="0" autoFill="0" autoLine="0" autoPict="0">
                <anchor moveWithCells="1">
                  <from>
                    <xdr:col>4</xdr:col>
                    <xdr:colOff>281940</xdr:colOff>
                    <xdr:row>243</xdr:row>
                    <xdr:rowOff>198120</xdr:rowOff>
                  </from>
                  <to>
                    <xdr:col>4</xdr:col>
                    <xdr:colOff>518160</xdr:colOff>
                    <xdr:row>243</xdr:row>
                    <xdr:rowOff>533400</xdr:rowOff>
                  </to>
                </anchor>
              </controlPr>
            </control>
          </mc:Choice>
        </mc:AlternateContent>
        <mc:AlternateContent xmlns:mc="http://schemas.openxmlformats.org/markup-compatibility/2006">
          <mc:Choice Requires="x14">
            <control shapeId="2333" r:id="rId274" name="Check Box 285">
              <controlPr defaultSize="0" autoFill="0" autoLine="0" autoPict="0">
                <anchor moveWithCells="1">
                  <from>
                    <xdr:col>4</xdr:col>
                    <xdr:colOff>281940</xdr:colOff>
                    <xdr:row>244</xdr:row>
                    <xdr:rowOff>198120</xdr:rowOff>
                  </from>
                  <to>
                    <xdr:col>4</xdr:col>
                    <xdr:colOff>518160</xdr:colOff>
                    <xdr:row>244</xdr:row>
                    <xdr:rowOff>533400</xdr:rowOff>
                  </to>
                </anchor>
              </controlPr>
            </control>
          </mc:Choice>
        </mc:AlternateContent>
        <mc:AlternateContent xmlns:mc="http://schemas.openxmlformats.org/markup-compatibility/2006">
          <mc:Choice Requires="x14">
            <control shapeId="2334" r:id="rId275" name="Check Box 286">
              <controlPr defaultSize="0" autoFill="0" autoLine="0" autoPict="0">
                <anchor moveWithCells="1">
                  <from>
                    <xdr:col>4</xdr:col>
                    <xdr:colOff>281940</xdr:colOff>
                    <xdr:row>244</xdr:row>
                    <xdr:rowOff>198120</xdr:rowOff>
                  </from>
                  <to>
                    <xdr:col>4</xdr:col>
                    <xdr:colOff>518160</xdr:colOff>
                    <xdr:row>244</xdr:row>
                    <xdr:rowOff>533400</xdr:rowOff>
                  </to>
                </anchor>
              </controlPr>
            </control>
          </mc:Choice>
        </mc:AlternateContent>
        <mc:AlternateContent xmlns:mc="http://schemas.openxmlformats.org/markup-compatibility/2006">
          <mc:Choice Requires="x14">
            <control shapeId="2335" r:id="rId276" name="Check Box 287">
              <controlPr defaultSize="0" autoFill="0" autoLine="0" autoPict="0">
                <anchor moveWithCells="1">
                  <from>
                    <xdr:col>4</xdr:col>
                    <xdr:colOff>281940</xdr:colOff>
                    <xdr:row>245</xdr:row>
                    <xdr:rowOff>198120</xdr:rowOff>
                  </from>
                  <to>
                    <xdr:col>4</xdr:col>
                    <xdr:colOff>518160</xdr:colOff>
                    <xdr:row>245</xdr:row>
                    <xdr:rowOff>533400</xdr:rowOff>
                  </to>
                </anchor>
              </controlPr>
            </control>
          </mc:Choice>
        </mc:AlternateContent>
        <mc:AlternateContent xmlns:mc="http://schemas.openxmlformats.org/markup-compatibility/2006">
          <mc:Choice Requires="x14">
            <control shapeId="2336" r:id="rId277" name="Check Box 288">
              <controlPr defaultSize="0" autoFill="0" autoLine="0" autoPict="0">
                <anchor moveWithCells="1">
                  <from>
                    <xdr:col>4</xdr:col>
                    <xdr:colOff>281940</xdr:colOff>
                    <xdr:row>246</xdr:row>
                    <xdr:rowOff>198120</xdr:rowOff>
                  </from>
                  <to>
                    <xdr:col>4</xdr:col>
                    <xdr:colOff>518160</xdr:colOff>
                    <xdr:row>246</xdr:row>
                    <xdr:rowOff>533400</xdr:rowOff>
                  </to>
                </anchor>
              </controlPr>
            </control>
          </mc:Choice>
        </mc:AlternateContent>
        <mc:AlternateContent xmlns:mc="http://schemas.openxmlformats.org/markup-compatibility/2006">
          <mc:Choice Requires="x14">
            <control shapeId="2337" r:id="rId278" name="Check Box 289">
              <controlPr defaultSize="0" autoFill="0" autoLine="0" autoPict="0">
                <anchor moveWithCells="1">
                  <from>
                    <xdr:col>4</xdr:col>
                    <xdr:colOff>281940</xdr:colOff>
                    <xdr:row>246</xdr:row>
                    <xdr:rowOff>198120</xdr:rowOff>
                  </from>
                  <to>
                    <xdr:col>4</xdr:col>
                    <xdr:colOff>518160</xdr:colOff>
                    <xdr:row>246</xdr:row>
                    <xdr:rowOff>533400</xdr:rowOff>
                  </to>
                </anchor>
              </controlPr>
            </control>
          </mc:Choice>
        </mc:AlternateContent>
        <mc:AlternateContent xmlns:mc="http://schemas.openxmlformats.org/markup-compatibility/2006">
          <mc:Choice Requires="x14">
            <control shapeId="2338" r:id="rId279" name="Check Box 290">
              <controlPr defaultSize="0" autoFill="0" autoLine="0" autoPict="0">
                <anchor moveWithCells="1">
                  <from>
                    <xdr:col>4</xdr:col>
                    <xdr:colOff>281940</xdr:colOff>
                    <xdr:row>248</xdr:row>
                    <xdr:rowOff>198120</xdr:rowOff>
                  </from>
                  <to>
                    <xdr:col>4</xdr:col>
                    <xdr:colOff>518160</xdr:colOff>
                    <xdr:row>248</xdr:row>
                    <xdr:rowOff>533400</xdr:rowOff>
                  </to>
                </anchor>
              </controlPr>
            </control>
          </mc:Choice>
        </mc:AlternateContent>
        <mc:AlternateContent xmlns:mc="http://schemas.openxmlformats.org/markup-compatibility/2006">
          <mc:Choice Requires="x14">
            <control shapeId="2339" r:id="rId280" name="Check Box 291">
              <controlPr defaultSize="0" autoFill="0" autoLine="0" autoPict="0">
                <anchor moveWithCells="1">
                  <from>
                    <xdr:col>4</xdr:col>
                    <xdr:colOff>281940</xdr:colOff>
                    <xdr:row>248</xdr:row>
                    <xdr:rowOff>198120</xdr:rowOff>
                  </from>
                  <to>
                    <xdr:col>4</xdr:col>
                    <xdr:colOff>518160</xdr:colOff>
                    <xdr:row>248</xdr:row>
                    <xdr:rowOff>533400</xdr:rowOff>
                  </to>
                </anchor>
              </controlPr>
            </control>
          </mc:Choice>
        </mc:AlternateContent>
        <mc:AlternateContent xmlns:mc="http://schemas.openxmlformats.org/markup-compatibility/2006">
          <mc:Choice Requires="x14">
            <control shapeId="2340" r:id="rId281" name="Check Box 292">
              <controlPr defaultSize="0" autoFill="0" autoLine="0" autoPict="0">
                <anchor moveWithCells="1">
                  <from>
                    <xdr:col>4</xdr:col>
                    <xdr:colOff>281940</xdr:colOff>
                    <xdr:row>249</xdr:row>
                    <xdr:rowOff>198120</xdr:rowOff>
                  </from>
                  <to>
                    <xdr:col>4</xdr:col>
                    <xdr:colOff>518160</xdr:colOff>
                    <xdr:row>249</xdr:row>
                    <xdr:rowOff>533400</xdr:rowOff>
                  </to>
                </anchor>
              </controlPr>
            </control>
          </mc:Choice>
        </mc:AlternateContent>
        <mc:AlternateContent xmlns:mc="http://schemas.openxmlformats.org/markup-compatibility/2006">
          <mc:Choice Requires="x14">
            <control shapeId="2341" r:id="rId282" name="Check Box 293">
              <controlPr defaultSize="0" autoFill="0" autoLine="0" autoPict="0">
                <anchor moveWithCells="1">
                  <from>
                    <xdr:col>4</xdr:col>
                    <xdr:colOff>281940</xdr:colOff>
                    <xdr:row>250</xdr:row>
                    <xdr:rowOff>198120</xdr:rowOff>
                  </from>
                  <to>
                    <xdr:col>4</xdr:col>
                    <xdr:colOff>518160</xdr:colOff>
                    <xdr:row>250</xdr:row>
                    <xdr:rowOff>533400</xdr:rowOff>
                  </to>
                </anchor>
              </controlPr>
            </control>
          </mc:Choice>
        </mc:AlternateContent>
        <mc:AlternateContent xmlns:mc="http://schemas.openxmlformats.org/markup-compatibility/2006">
          <mc:Choice Requires="x14">
            <control shapeId="2342" r:id="rId283" name="Check Box 294">
              <controlPr defaultSize="0" autoFill="0" autoLine="0" autoPict="0">
                <anchor moveWithCells="1">
                  <from>
                    <xdr:col>4</xdr:col>
                    <xdr:colOff>281940</xdr:colOff>
                    <xdr:row>250</xdr:row>
                    <xdr:rowOff>198120</xdr:rowOff>
                  </from>
                  <to>
                    <xdr:col>4</xdr:col>
                    <xdr:colOff>518160</xdr:colOff>
                    <xdr:row>250</xdr:row>
                    <xdr:rowOff>533400</xdr:rowOff>
                  </to>
                </anchor>
              </controlPr>
            </control>
          </mc:Choice>
        </mc:AlternateContent>
        <mc:AlternateContent xmlns:mc="http://schemas.openxmlformats.org/markup-compatibility/2006">
          <mc:Choice Requires="x14">
            <control shapeId="2343" r:id="rId284" name="Check Box 295">
              <controlPr defaultSize="0" autoFill="0" autoLine="0" autoPict="0">
                <anchor moveWithCells="1">
                  <from>
                    <xdr:col>4</xdr:col>
                    <xdr:colOff>281940</xdr:colOff>
                    <xdr:row>251</xdr:row>
                    <xdr:rowOff>198120</xdr:rowOff>
                  </from>
                  <to>
                    <xdr:col>4</xdr:col>
                    <xdr:colOff>518160</xdr:colOff>
                    <xdr:row>251</xdr:row>
                    <xdr:rowOff>533400</xdr:rowOff>
                  </to>
                </anchor>
              </controlPr>
            </control>
          </mc:Choice>
        </mc:AlternateContent>
        <mc:AlternateContent xmlns:mc="http://schemas.openxmlformats.org/markup-compatibility/2006">
          <mc:Choice Requires="x14">
            <control shapeId="2344" r:id="rId285" name="Check Box 296">
              <controlPr defaultSize="0" autoFill="0" autoLine="0" autoPict="0">
                <anchor moveWithCells="1">
                  <from>
                    <xdr:col>4</xdr:col>
                    <xdr:colOff>281940</xdr:colOff>
                    <xdr:row>252</xdr:row>
                    <xdr:rowOff>198120</xdr:rowOff>
                  </from>
                  <to>
                    <xdr:col>4</xdr:col>
                    <xdr:colOff>518160</xdr:colOff>
                    <xdr:row>252</xdr:row>
                    <xdr:rowOff>533400</xdr:rowOff>
                  </to>
                </anchor>
              </controlPr>
            </control>
          </mc:Choice>
        </mc:AlternateContent>
        <mc:AlternateContent xmlns:mc="http://schemas.openxmlformats.org/markup-compatibility/2006">
          <mc:Choice Requires="x14">
            <control shapeId="2345" r:id="rId286" name="Check Box 297">
              <controlPr defaultSize="0" autoFill="0" autoLine="0" autoPict="0">
                <anchor moveWithCells="1">
                  <from>
                    <xdr:col>4</xdr:col>
                    <xdr:colOff>281940</xdr:colOff>
                    <xdr:row>252</xdr:row>
                    <xdr:rowOff>198120</xdr:rowOff>
                  </from>
                  <to>
                    <xdr:col>4</xdr:col>
                    <xdr:colOff>518160</xdr:colOff>
                    <xdr:row>252</xdr:row>
                    <xdr:rowOff>533400</xdr:rowOff>
                  </to>
                </anchor>
              </controlPr>
            </control>
          </mc:Choice>
        </mc:AlternateContent>
        <mc:AlternateContent xmlns:mc="http://schemas.openxmlformats.org/markup-compatibility/2006">
          <mc:Choice Requires="x14">
            <control shapeId="2346" r:id="rId287" name="Check Box 298">
              <controlPr defaultSize="0" autoFill="0" autoLine="0" autoPict="0">
                <anchor moveWithCells="1">
                  <from>
                    <xdr:col>4</xdr:col>
                    <xdr:colOff>281940</xdr:colOff>
                    <xdr:row>253</xdr:row>
                    <xdr:rowOff>198120</xdr:rowOff>
                  </from>
                  <to>
                    <xdr:col>4</xdr:col>
                    <xdr:colOff>518160</xdr:colOff>
                    <xdr:row>253</xdr:row>
                    <xdr:rowOff>533400</xdr:rowOff>
                  </to>
                </anchor>
              </controlPr>
            </control>
          </mc:Choice>
        </mc:AlternateContent>
        <mc:AlternateContent xmlns:mc="http://schemas.openxmlformats.org/markup-compatibility/2006">
          <mc:Choice Requires="x14">
            <control shapeId="2347" r:id="rId288" name="Check Box 299">
              <controlPr defaultSize="0" autoFill="0" autoLine="0" autoPict="0">
                <anchor moveWithCells="1">
                  <from>
                    <xdr:col>4</xdr:col>
                    <xdr:colOff>281940</xdr:colOff>
                    <xdr:row>254</xdr:row>
                    <xdr:rowOff>198120</xdr:rowOff>
                  </from>
                  <to>
                    <xdr:col>4</xdr:col>
                    <xdr:colOff>518160</xdr:colOff>
                    <xdr:row>254</xdr:row>
                    <xdr:rowOff>533400</xdr:rowOff>
                  </to>
                </anchor>
              </controlPr>
            </control>
          </mc:Choice>
        </mc:AlternateContent>
        <mc:AlternateContent xmlns:mc="http://schemas.openxmlformats.org/markup-compatibility/2006">
          <mc:Choice Requires="x14">
            <control shapeId="2348" r:id="rId289" name="Check Box 300">
              <controlPr defaultSize="0" autoFill="0" autoLine="0" autoPict="0">
                <anchor moveWithCells="1">
                  <from>
                    <xdr:col>4</xdr:col>
                    <xdr:colOff>281940</xdr:colOff>
                    <xdr:row>254</xdr:row>
                    <xdr:rowOff>198120</xdr:rowOff>
                  </from>
                  <to>
                    <xdr:col>4</xdr:col>
                    <xdr:colOff>518160</xdr:colOff>
                    <xdr:row>254</xdr:row>
                    <xdr:rowOff>533400</xdr:rowOff>
                  </to>
                </anchor>
              </controlPr>
            </control>
          </mc:Choice>
        </mc:AlternateContent>
        <mc:AlternateContent xmlns:mc="http://schemas.openxmlformats.org/markup-compatibility/2006">
          <mc:Choice Requires="x14">
            <control shapeId="2349" r:id="rId290" name="Check Box 301">
              <controlPr defaultSize="0" autoFill="0" autoLine="0" autoPict="0">
                <anchor moveWithCells="1">
                  <from>
                    <xdr:col>4</xdr:col>
                    <xdr:colOff>281940</xdr:colOff>
                    <xdr:row>255</xdr:row>
                    <xdr:rowOff>198120</xdr:rowOff>
                  </from>
                  <to>
                    <xdr:col>4</xdr:col>
                    <xdr:colOff>518160</xdr:colOff>
                    <xdr:row>255</xdr:row>
                    <xdr:rowOff>533400</xdr:rowOff>
                  </to>
                </anchor>
              </controlPr>
            </control>
          </mc:Choice>
        </mc:AlternateContent>
        <mc:AlternateContent xmlns:mc="http://schemas.openxmlformats.org/markup-compatibility/2006">
          <mc:Choice Requires="x14">
            <control shapeId="2350" r:id="rId291" name="Check Box 302">
              <controlPr defaultSize="0" autoFill="0" autoLine="0" autoPict="0">
                <anchor moveWithCells="1">
                  <from>
                    <xdr:col>4</xdr:col>
                    <xdr:colOff>281940</xdr:colOff>
                    <xdr:row>257</xdr:row>
                    <xdr:rowOff>198120</xdr:rowOff>
                  </from>
                  <to>
                    <xdr:col>4</xdr:col>
                    <xdr:colOff>518160</xdr:colOff>
                    <xdr:row>257</xdr:row>
                    <xdr:rowOff>533400</xdr:rowOff>
                  </to>
                </anchor>
              </controlPr>
            </control>
          </mc:Choice>
        </mc:AlternateContent>
        <mc:AlternateContent xmlns:mc="http://schemas.openxmlformats.org/markup-compatibility/2006">
          <mc:Choice Requires="x14">
            <control shapeId="2351" r:id="rId292" name="Check Box 303">
              <controlPr defaultSize="0" autoFill="0" autoLine="0" autoPict="0">
                <anchor moveWithCells="1">
                  <from>
                    <xdr:col>4</xdr:col>
                    <xdr:colOff>281940</xdr:colOff>
                    <xdr:row>257</xdr:row>
                    <xdr:rowOff>198120</xdr:rowOff>
                  </from>
                  <to>
                    <xdr:col>4</xdr:col>
                    <xdr:colOff>518160</xdr:colOff>
                    <xdr:row>257</xdr:row>
                    <xdr:rowOff>533400</xdr:rowOff>
                  </to>
                </anchor>
              </controlPr>
            </control>
          </mc:Choice>
        </mc:AlternateContent>
        <mc:AlternateContent xmlns:mc="http://schemas.openxmlformats.org/markup-compatibility/2006">
          <mc:Choice Requires="x14">
            <control shapeId="2352" r:id="rId293" name="Check Box 304">
              <controlPr defaultSize="0" autoFill="0" autoLine="0" autoPict="0">
                <anchor moveWithCells="1">
                  <from>
                    <xdr:col>4</xdr:col>
                    <xdr:colOff>281940</xdr:colOff>
                    <xdr:row>258</xdr:row>
                    <xdr:rowOff>198120</xdr:rowOff>
                  </from>
                  <to>
                    <xdr:col>4</xdr:col>
                    <xdr:colOff>518160</xdr:colOff>
                    <xdr:row>258</xdr:row>
                    <xdr:rowOff>533400</xdr:rowOff>
                  </to>
                </anchor>
              </controlPr>
            </control>
          </mc:Choice>
        </mc:AlternateContent>
        <mc:AlternateContent xmlns:mc="http://schemas.openxmlformats.org/markup-compatibility/2006">
          <mc:Choice Requires="x14">
            <control shapeId="2353" r:id="rId294" name="Check Box 305">
              <controlPr defaultSize="0" autoFill="0" autoLine="0" autoPict="0">
                <anchor moveWithCells="1">
                  <from>
                    <xdr:col>4</xdr:col>
                    <xdr:colOff>281940</xdr:colOff>
                    <xdr:row>259</xdr:row>
                    <xdr:rowOff>198120</xdr:rowOff>
                  </from>
                  <to>
                    <xdr:col>4</xdr:col>
                    <xdr:colOff>518160</xdr:colOff>
                    <xdr:row>259</xdr:row>
                    <xdr:rowOff>533400</xdr:rowOff>
                  </to>
                </anchor>
              </controlPr>
            </control>
          </mc:Choice>
        </mc:AlternateContent>
        <mc:AlternateContent xmlns:mc="http://schemas.openxmlformats.org/markup-compatibility/2006">
          <mc:Choice Requires="x14">
            <control shapeId="2354" r:id="rId295" name="Check Box 306">
              <controlPr defaultSize="0" autoFill="0" autoLine="0" autoPict="0">
                <anchor moveWithCells="1">
                  <from>
                    <xdr:col>4</xdr:col>
                    <xdr:colOff>281940</xdr:colOff>
                    <xdr:row>259</xdr:row>
                    <xdr:rowOff>198120</xdr:rowOff>
                  </from>
                  <to>
                    <xdr:col>4</xdr:col>
                    <xdr:colOff>518160</xdr:colOff>
                    <xdr:row>259</xdr:row>
                    <xdr:rowOff>533400</xdr:rowOff>
                  </to>
                </anchor>
              </controlPr>
            </control>
          </mc:Choice>
        </mc:AlternateContent>
        <mc:AlternateContent xmlns:mc="http://schemas.openxmlformats.org/markup-compatibility/2006">
          <mc:Choice Requires="x14">
            <control shapeId="2355" r:id="rId296" name="Check Box 307">
              <controlPr defaultSize="0" autoFill="0" autoLine="0" autoPict="0">
                <anchor moveWithCells="1">
                  <from>
                    <xdr:col>4</xdr:col>
                    <xdr:colOff>281940</xdr:colOff>
                    <xdr:row>260</xdr:row>
                    <xdr:rowOff>198120</xdr:rowOff>
                  </from>
                  <to>
                    <xdr:col>4</xdr:col>
                    <xdr:colOff>518160</xdr:colOff>
                    <xdr:row>260</xdr:row>
                    <xdr:rowOff>533400</xdr:rowOff>
                  </to>
                </anchor>
              </controlPr>
            </control>
          </mc:Choice>
        </mc:AlternateContent>
        <mc:AlternateContent xmlns:mc="http://schemas.openxmlformats.org/markup-compatibility/2006">
          <mc:Choice Requires="x14">
            <control shapeId="2356" r:id="rId297" name="Check Box 308">
              <controlPr defaultSize="0" autoFill="0" autoLine="0" autoPict="0">
                <anchor moveWithCells="1">
                  <from>
                    <xdr:col>4</xdr:col>
                    <xdr:colOff>281940</xdr:colOff>
                    <xdr:row>261</xdr:row>
                    <xdr:rowOff>198120</xdr:rowOff>
                  </from>
                  <to>
                    <xdr:col>4</xdr:col>
                    <xdr:colOff>518160</xdr:colOff>
                    <xdr:row>261</xdr:row>
                    <xdr:rowOff>533400</xdr:rowOff>
                  </to>
                </anchor>
              </controlPr>
            </control>
          </mc:Choice>
        </mc:AlternateContent>
        <mc:AlternateContent xmlns:mc="http://schemas.openxmlformats.org/markup-compatibility/2006">
          <mc:Choice Requires="x14">
            <control shapeId="2357" r:id="rId298" name="Check Box 309">
              <controlPr defaultSize="0" autoFill="0" autoLine="0" autoPict="0">
                <anchor moveWithCells="1">
                  <from>
                    <xdr:col>4</xdr:col>
                    <xdr:colOff>281940</xdr:colOff>
                    <xdr:row>261</xdr:row>
                    <xdr:rowOff>198120</xdr:rowOff>
                  </from>
                  <to>
                    <xdr:col>4</xdr:col>
                    <xdr:colOff>518160</xdr:colOff>
                    <xdr:row>261</xdr:row>
                    <xdr:rowOff>533400</xdr:rowOff>
                  </to>
                </anchor>
              </controlPr>
            </control>
          </mc:Choice>
        </mc:AlternateContent>
        <mc:AlternateContent xmlns:mc="http://schemas.openxmlformats.org/markup-compatibility/2006">
          <mc:Choice Requires="x14">
            <control shapeId="2358" r:id="rId299" name="Check Box 310">
              <controlPr defaultSize="0" autoFill="0" autoLine="0" autoPict="0">
                <anchor moveWithCells="1">
                  <from>
                    <xdr:col>4</xdr:col>
                    <xdr:colOff>281940</xdr:colOff>
                    <xdr:row>263</xdr:row>
                    <xdr:rowOff>198120</xdr:rowOff>
                  </from>
                  <to>
                    <xdr:col>4</xdr:col>
                    <xdr:colOff>518160</xdr:colOff>
                    <xdr:row>263</xdr:row>
                    <xdr:rowOff>533400</xdr:rowOff>
                  </to>
                </anchor>
              </controlPr>
            </control>
          </mc:Choice>
        </mc:AlternateContent>
        <mc:AlternateContent xmlns:mc="http://schemas.openxmlformats.org/markup-compatibility/2006">
          <mc:Choice Requires="x14">
            <control shapeId="2359" r:id="rId300" name="Check Box 311">
              <controlPr defaultSize="0" autoFill="0" autoLine="0" autoPict="0">
                <anchor moveWithCells="1">
                  <from>
                    <xdr:col>4</xdr:col>
                    <xdr:colOff>281940</xdr:colOff>
                    <xdr:row>263</xdr:row>
                    <xdr:rowOff>198120</xdr:rowOff>
                  </from>
                  <to>
                    <xdr:col>4</xdr:col>
                    <xdr:colOff>518160</xdr:colOff>
                    <xdr:row>263</xdr:row>
                    <xdr:rowOff>533400</xdr:rowOff>
                  </to>
                </anchor>
              </controlPr>
            </control>
          </mc:Choice>
        </mc:AlternateContent>
        <mc:AlternateContent xmlns:mc="http://schemas.openxmlformats.org/markup-compatibility/2006">
          <mc:Choice Requires="x14">
            <control shapeId="2360" r:id="rId301" name="Check Box 312">
              <controlPr defaultSize="0" autoFill="0" autoLine="0" autoPict="0">
                <anchor moveWithCells="1">
                  <from>
                    <xdr:col>4</xdr:col>
                    <xdr:colOff>281940</xdr:colOff>
                    <xdr:row>264</xdr:row>
                    <xdr:rowOff>198120</xdr:rowOff>
                  </from>
                  <to>
                    <xdr:col>4</xdr:col>
                    <xdr:colOff>518160</xdr:colOff>
                    <xdr:row>264</xdr:row>
                    <xdr:rowOff>533400</xdr:rowOff>
                  </to>
                </anchor>
              </controlPr>
            </control>
          </mc:Choice>
        </mc:AlternateContent>
        <mc:AlternateContent xmlns:mc="http://schemas.openxmlformats.org/markup-compatibility/2006">
          <mc:Choice Requires="x14">
            <control shapeId="2361" r:id="rId302" name="Check Box 313">
              <controlPr defaultSize="0" autoFill="0" autoLine="0" autoPict="0">
                <anchor moveWithCells="1">
                  <from>
                    <xdr:col>4</xdr:col>
                    <xdr:colOff>281940</xdr:colOff>
                    <xdr:row>265</xdr:row>
                    <xdr:rowOff>198120</xdr:rowOff>
                  </from>
                  <to>
                    <xdr:col>4</xdr:col>
                    <xdr:colOff>518160</xdr:colOff>
                    <xdr:row>265</xdr:row>
                    <xdr:rowOff>533400</xdr:rowOff>
                  </to>
                </anchor>
              </controlPr>
            </control>
          </mc:Choice>
        </mc:AlternateContent>
        <mc:AlternateContent xmlns:mc="http://schemas.openxmlformats.org/markup-compatibility/2006">
          <mc:Choice Requires="x14">
            <control shapeId="2362" r:id="rId303" name="Check Box 314">
              <controlPr defaultSize="0" autoFill="0" autoLine="0" autoPict="0">
                <anchor moveWithCells="1">
                  <from>
                    <xdr:col>4</xdr:col>
                    <xdr:colOff>281940</xdr:colOff>
                    <xdr:row>265</xdr:row>
                    <xdr:rowOff>198120</xdr:rowOff>
                  </from>
                  <to>
                    <xdr:col>4</xdr:col>
                    <xdr:colOff>518160</xdr:colOff>
                    <xdr:row>265</xdr:row>
                    <xdr:rowOff>533400</xdr:rowOff>
                  </to>
                </anchor>
              </controlPr>
            </control>
          </mc:Choice>
        </mc:AlternateContent>
        <mc:AlternateContent xmlns:mc="http://schemas.openxmlformats.org/markup-compatibility/2006">
          <mc:Choice Requires="x14">
            <control shapeId="2363" r:id="rId304" name="Check Box 315">
              <controlPr defaultSize="0" autoFill="0" autoLine="0" autoPict="0">
                <anchor moveWithCells="1">
                  <from>
                    <xdr:col>4</xdr:col>
                    <xdr:colOff>281940</xdr:colOff>
                    <xdr:row>266</xdr:row>
                    <xdr:rowOff>198120</xdr:rowOff>
                  </from>
                  <to>
                    <xdr:col>4</xdr:col>
                    <xdr:colOff>518160</xdr:colOff>
                    <xdr:row>266</xdr:row>
                    <xdr:rowOff>533400</xdr:rowOff>
                  </to>
                </anchor>
              </controlPr>
            </control>
          </mc:Choice>
        </mc:AlternateContent>
        <mc:AlternateContent xmlns:mc="http://schemas.openxmlformats.org/markup-compatibility/2006">
          <mc:Choice Requires="x14">
            <control shapeId="2364" r:id="rId305" name="Check Box 316">
              <controlPr defaultSize="0" autoFill="0" autoLine="0" autoPict="0">
                <anchor moveWithCells="1">
                  <from>
                    <xdr:col>4</xdr:col>
                    <xdr:colOff>281940</xdr:colOff>
                    <xdr:row>267</xdr:row>
                    <xdr:rowOff>198120</xdr:rowOff>
                  </from>
                  <to>
                    <xdr:col>4</xdr:col>
                    <xdr:colOff>518160</xdr:colOff>
                    <xdr:row>267</xdr:row>
                    <xdr:rowOff>533400</xdr:rowOff>
                  </to>
                </anchor>
              </controlPr>
            </control>
          </mc:Choice>
        </mc:AlternateContent>
        <mc:AlternateContent xmlns:mc="http://schemas.openxmlformats.org/markup-compatibility/2006">
          <mc:Choice Requires="x14">
            <control shapeId="2365" r:id="rId306" name="Check Box 317">
              <controlPr defaultSize="0" autoFill="0" autoLine="0" autoPict="0">
                <anchor moveWithCells="1">
                  <from>
                    <xdr:col>4</xdr:col>
                    <xdr:colOff>281940</xdr:colOff>
                    <xdr:row>267</xdr:row>
                    <xdr:rowOff>198120</xdr:rowOff>
                  </from>
                  <to>
                    <xdr:col>4</xdr:col>
                    <xdr:colOff>518160</xdr:colOff>
                    <xdr:row>267</xdr:row>
                    <xdr:rowOff>533400</xdr:rowOff>
                  </to>
                </anchor>
              </controlPr>
            </control>
          </mc:Choice>
        </mc:AlternateContent>
        <mc:AlternateContent xmlns:mc="http://schemas.openxmlformats.org/markup-compatibility/2006">
          <mc:Choice Requires="x14">
            <control shapeId="2366" r:id="rId307" name="Check Box 318">
              <controlPr defaultSize="0" autoFill="0" autoLine="0" autoPict="0">
                <anchor moveWithCells="1">
                  <from>
                    <xdr:col>4</xdr:col>
                    <xdr:colOff>281940</xdr:colOff>
                    <xdr:row>269</xdr:row>
                    <xdr:rowOff>198120</xdr:rowOff>
                  </from>
                  <to>
                    <xdr:col>4</xdr:col>
                    <xdr:colOff>518160</xdr:colOff>
                    <xdr:row>269</xdr:row>
                    <xdr:rowOff>533400</xdr:rowOff>
                  </to>
                </anchor>
              </controlPr>
            </control>
          </mc:Choice>
        </mc:AlternateContent>
        <mc:AlternateContent xmlns:mc="http://schemas.openxmlformats.org/markup-compatibility/2006">
          <mc:Choice Requires="x14">
            <control shapeId="2367" r:id="rId308" name="Check Box 319">
              <controlPr defaultSize="0" autoFill="0" autoLine="0" autoPict="0">
                <anchor moveWithCells="1">
                  <from>
                    <xdr:col>4</xdr:col>
                    <xdr:colOff>281940</xdr:colOff>
                    <xdr:row>269</xdr:row>
                    <xdr:rowOff>198120</xdr:rowOff>
                  </from>
                  <to>
                    <xdr:col>4</xdr:col>
                    <xdr:colOff>518160</xdr:colOff>
                    <xdr:row>269</xdr:row>
                    <xdr:rowOff>533400</xdr:rowOff>
                  </to>
                </anchor>
              </controlPr>
            </control>
          </mc:Choice>
        </mc:AlternateContent>
        <mc:AlternateContent xmlns:mc="http://schemas.openxmlformats.org/markup-compatibility/2006">
          <mc:Choice Requires="x14">
            <control shapeId="2368" r:id="rId309" name="Check Box 320">
              <controlPr defaultSize="0" autoFill="0" autoLine="0" autoPict="0">
                <anchor moveWithCells="1">
                  <from>
                    <xdr:col>4</xdr:col>
                    <xdr:colOff>281940</xdr:colOff>
                    <xdr:row>270</xdr:row>
                    <xdr:rowOff>198120</xdr:rowOff>
                  </from>
                  <to>
                    <xdr:col>4</xdr:col>
                    <xdr:colOff>518160</xdr:colOff>
                    <xdr:row>270</xdr:row>
                    <xdr:rowOff>533400</xdr:rowOff>
                  </to>
                </anchor>
              </controlPr>
            </control>
          </mc:Choice>
        </mc:AlternateContent>
        <mc:AlternateContent xmlns:mc="http://schemas.openxmlformats.org/markup-compatibility/2006">
          <mc:Choice Requires="x14">
            <control shapeId="2369" r:id="rId310" name="Check Box 321">
              <controlPr defaultSize="0" autoFill="0" autoLine="0" autoPict="0">
                <anchor moveWithCells="1">
                  <from>
                    <xdr:col>4</xdr:col>
                    <xdr:colOff>281940</xdr:colOff>
                    <xdr:row>271</xdr:row>
                    <xdr:rowOff>198120</xdr:rowOff>
                  </from>
                  <to>
                    <xdr:col>4</xdr:col>
                    <xdr:colOff>518160</xdr:colOff>
                    <xdr:row>271</xdr:row>
                    <xdr:rowOff>533400</xdr:rowOff>
                  </to>
                </anchor>
              </controlPr>
            </control>
          </mc:Choice>
        </mc:AlternateContent>
        <mc:AlternateContent xmlns:mc="http://schemas.openxmlformats.org/markup-compatibility/2006">
          <mc:Choice Requires="x14">
            <control shapeId="2370" r:id="rId311" name="Check Box 322">
              <controlPr defaultSize="0" autoFill="0" autoLine="0" autoPict="0">
                <anchor moveWithCells="1">
                  <from>
                    <xdr:col>4</xdr:col>
                    <xdr:colOff>281940</xdr:colOff>
                    <xdr:row>271</xdr:row>
                    <xdr:rowOff>198120</xdr:rowOff>
                  </from>
                  <to>
                    <xdr:col>4</xdr:col>
                    <xdr:colOff>518160</xdr:colOff>
                    <xdr:row>271</xdr:row>
                    <xdr:rowOff>533400</xdr:rowOff>
                  </to>
                </anchor>
              </controlPr>
            </control>
          </mc:Choice>
        </mc:AlternateContent>
        <mc:AlternateContent xmlns:mc="http://schemas.openxmlformats.org/markup-compatibility/2006">
          <mc:Choice Requires="x14">
            <control shapeId="2371" r:id="rId312" name="Check Box 323">
              <controlPr defaultSize="0" autoFill="0" autoLine="0" autoPict="0">
                <anchor moveWithCells="1">
                  <from>
                    <xdr:col>4</xdr:col>
                    <xdr:colOff>281940</xdr:colOff>
                    <xdr:row>272</xdr:row>
                    <xdr:rowOff>198120</xdr:rowOff>
                  </from>
                  <to>
                    <xdr:col>4</xdr:col>
                    <xdr:colOff>518160</xdr:colOff>
                    <xdr:row>272</xdr:row>
                    <xdr:rowOff>533400</xdr:rowOff>
                  </to>
                </anchor>
              </controlPr>
            </control>
          </mc:Choice>
        </mc:AlternateContent>
        <mc:AlternateContent xmlns:mc="http://schemas.openxmlformats.org/markup-compatibility/2006">
          <mc:Choice Requires="x14">
            <control shapeId="2372" r:id="rId313" name="Check Box 324">
              <controlPr defaultSize="0" autoFill="0" autoLine="0" autoPict="0">
                <anchor moveWithCells="1">
                  <from>
                    <xdr:col>4</xdr:col>
                    <xdr:colOff>281940</xdr:colOff>
                    <xdr:row>273</xdr:row>
                    <xdr:rowOff>198120</xdr:rowOff>
                  </from>
                  <to>
                    <xdr:col>4</xdr:col>
                    <xdr:colOff>518160</xdr:colOff>
                    <xdr:row>273</xdr:row>
                    <xdr:rowOff>533400</xdr:rowOff>
                  </to>
                </anchor>
              </controlPr>
            </control>
          </mc:Choice>
        </mc:AlternateContent>
        <mc:AlternateContent xmlns:mc="http://schemas.openxmlformats.org/markup-compatibility/2006">
          <mc:Choice Requires="x14">
            <control shapeId="2373" r:id="rId314" name="Check Box 325">
              <controlPr defaultSize="0" autoFill="0" autoLine="0" autoPict="0">
                <anchor moveWithCells="1">
                  <from>
                    <xdr:col>4</xdr:col>
                    <xdr:colOff>281940</xdr:colOff>
                    <xdr:row>273</xdr:row>
                    <xdr:rowOff>198120</xdr:rowOff>
                  </from>
                  <to>
                    <xdr:col>4</xdr:col>
                    <xdr:colOff>518160</xdr:colOff>
                    <xdr:row>273</xdr:row>
                    <xdr:rowOff>533400</xdr:rowOff>
                  </to>
                </anchor>
              </controlPr>
            </control>
          </mc:Choice>
        </mc:AlternateContent>
        <mc:AlternateContent xmlns:mc="http://schemas.openxmlformats.org/markup-compatibility/2006">
          <mc:Choice Requires="x14">
            <control shapeId="2374" r:id="rId315" name="Check Box 326">
              <controlPr defaultSize="0" autoFill="0" autoLine="0" autoPict="0">
                <anchor moveWithCells="1">
                  <from>
                    <xdr:col>4</xdr:col>
                    <xdr:colOff>281940</xdr:colOff>
                    <xdr:row>275</xdr:row>
                    <xdr:rowOff>198120</xdr:rowOff>
                  </from>
                  <to>
                    <xdr:col>4</xdr:col>
                    <xdr:colOff>518160</xdr:colOff>
                    <xdr:row>275</xdr:row>
                    <xdr:rowOff>533400</xdr:rowOff>
                  </to>
                </anchor>
              </controlPr>
            </control>
          </mc:Choice>
        </mc:AlternateContent>
        <mc:AlternateContent xmlns:mc="http://schemas.openxmlformats.org/markup-compatibility/2006">
          <mc:Choice Requires="x14">
            <control shapeId="2375" r:id="rId316" name="Check Box 327">
              <controlPr defaultSize="0" autoFill="0" autoLine="0" autoPict="0">
                <anchor moveWithCells="1">
                  <from>
                    <xdr:col>4</xdr:col>
                    <xdr:colOff>281940</xdr:colOff>
                    <xdr:row>275</xdr:row>
                    <xdr:rowOff>198120</xdr:rowOff>
                  </from>
                  <to>
                    <xdr:col>4</xdr:col>
                    <xdr:colOff>518160</xdr:colOff>
                    <xdr:row>275</xdr:row>
                    <xdr:rowOff>533400</xdr:rowOff>
                  </to>
                </anchor>
              </controlPr>
            </control>
          </mc:Choice>
        </mc:AlternateContent>
        <mc:AlternateContent xmlns:mc="http://schemas.openxmlformats.org/markup-compatibility/2006">
          <mc:Choice Requires="x14">
            <control shapeId="2376" r:id="rId317" name="Check Box 328">
              <controlPr defaultSize="0" autoFill="0" autoLine="0" autoPict="0">
                <anchor moveWithCells="1">
                  <from>
                    <xdr:col>4</xdr:col>
                    <xdr:colOff>281940</xdr:colOff>
                    <xdr:row>276</xdr:row>
                    <xdr:rowOff>198120</xdr:rowOff>
                  </from>
                  <to>
                    <xdr:col>4</xdr:col>
                    <xdr:colOff>518160</xdr:colOff>
                    <xdr:row>276</xdr:row>
                    <xdr:rowOff>533400</xdr:rowOff>
                  </to>
                </anchor>
              </controlPr>
            </control>
          </mc:Choice>
        </mc:AlternateContent>
        <mc:AlternateContent xmlns:mc="http://schemas.openxmlformats.org/markup-compatibility/2006">
          <mc:Choice Requires="x14">
            <control shapeId="2377" r:id="rId318" name="Check Box 329">
              <controlPr defaultSize="0" autoFill="0" autoLine="0" autoPict="0">
                <anchor moveWithCells="1">
                  <from>
                    <xdr:col>4</xdr:col>
                    <xdr:colOff>281940</xdr:colOff>
                    <xdr:row>277</xdr:row>
                    <xdr:rowOff>198120</xdr:rowOff>
                  </from>
                  <to>
                    <xdr:col>4</xdr:col>
                    <xdr:colOff>518160</xdr:colOff>
                    <xdr:row>277</xdr:row>
                    <xdr:rowOff>533400</xdr:rowOff>
                  </to>
                </anchor>
              </controlPr>
            </control>
          </mc:Choice>
        </mc:AlternateContent>
        <mc:AlternateContent xmlns:mc="http://schemas.openxmlformats.org/markup-compatibility/2006">
          <mc:Choice Requires="x14">
            <control shapeId="2378" r:id="rId319" name="Check Box 330">
              <controlPr defaultSize="0" autoFill="0" autoLine="0" autoPict="0">
                <anchor moveWithCells="1">
                  <from>
                    <xdr:col>4</xdr:col>
                    <xdr:colOff>281940</xdr:colOff>
                    <xdr:row>277</xdr:row>
                    <xdr:rowOff>198120</xdr:rowOff>
                  </from>
                  <to>
                    <xdr:col>4</xdr:col>
                    <xdr:colOff>518160</xdr:colOff>
                    <xdr:row>277</xdr:row>
                    <xdr:rowOff>533400</xdr:rowOff>
                  </to>
                </anchor>
              </controlPr>
            </control>
          </mc:Choice>
        </mc:AlternateContent>
        <mc:AlternateContent xmlns:mc="http://schemas.openxmlformats.org/markup-compatibility/2006">
          <mc:Choice Requires="x14">
            <control shapeId="2379" r:id="rId320" name="Check Box 331">
              <controlPr defaultSize="0" autoFill="0" autoLine="0" autoPict="0">
                <anchor moveWithCells="1">
                  <from>
                    <xdr:col>4</xdr:col>
                    <xdr:colOff>281940</xdr:colOff>
                    <xdr:row>278</xdr:row>
                    <xdr:rowOff>198120</xdr:rowOff>
                  </from>
                  <to>
                    <xdr:col>4</xdr:col>
                    <xdr:colOff>518160</xdr:colOff>
                    <xdr:row>278</xdr:row>
                    <xdr:rowOff>533400</xdr:rowOff>
                  </to>
                </anchor>
              </controlPr>
            </control>
          </mc:Choice>
        </mc:AlternateContent>
        <mc:AlternateContent xmlns:mc="http://schemas.openxmlformats.org/markup-compatibility/2006">
          <mc:Choice Requires="x14">
            <control shapeId="2380" r:id="rId321" name="Check Box 332">
              <controlPr defaultSize="0" autoFill="0" autoLine="0" autoPict="0">
                <anchor moveWithCells="1">
                  <from>
                    <xdr:col>4</xdr:col>
                    <xdr:colOff>281940</xdr:colOff>
                    <xdr:row>279</xdr:row>
                    <xdr:rowOff>198120</xdr:rowOff>
                  </from>
                  <to>
                    <xdr:col>4</xdr:col>
                    <xdr:colOff>518160</xdr:colOff>
                    <xdr:row>279</xdr:row>
                    <xdr:rowOff>533400</xdr:rowOff>
                  </to>
                </anchor>
              </controlPr>
            </control>
          </mc:Choice>
        </mc:AlternateContent>
        <mc:AlternateContent xmlns:mc="http://schemas.openxmlformats.org/markup-compatibility/2006">
          <mc:Choice Requires="x14">
            <control shapeId="2381" r:id="rId322" name="Check Box 333">
              <controlPr defaultSize="0" autoFill="0" autoLine="0" autoPict="0">
                <anchor moveWithCells="1">
                  <from>
                    <xdr:col>4</xdr:col>
                    <xdr:colOff>281940</xdr:colOff>
                    <xdr:row>279</xdr:row>
                    <xdr:rowOff>198120</xdr:rowOff>
                  </from>
                  <to>
                    <xdr:col>4</xdr:col>
                    <xdr:colOff>518160</xdr:colOff>
                    <xdr:row>279</xdr:row>
                    <xdr:rowOff>533400</xdr:rowOff>
                  </to>
                </anchor>
              </controlPr>
            </control>
          </mc:Choice>
        </mc:AlternateContent>
        <mc:AlternateContent xmlns:mc="http://schemas.openxmlformats.org/markup-compatibility/2006">
          <mc:Choice Requires="x14">
            <control shapeId="2382" r:id="rId323" name="Check Box 334">
              <controlPr defaultSize="0" autoFill="0" autoLine="0" autoPict="0">
                <anchor moveWithCells="1">
                  <from>
                    <xdr:col>4</xdr:col>
                    <xdr:colOff>281940</xdr:colOff>
                    <xdr:row>280</xdr:row>
                    <xdr:rowOff>198120</xdr:rowOff>
                  </from>
                  <to>
                    <xdr:col>4</xdr:col>
                    <xdr:colOff>518160</xdr:colOff>
                    <xdr:row>280</xdr:row>
                    <xdr:rowOff>533400</xdr:rowOff>
                  </to>
                </anchor>
              </controlPr>
            </control>
          </mc:Choice>
        </mc:AlternateContent>
        <mc:AlternateContent xmlns:mc="http://schemas.openxmlformats.org/markup-compatibility/2006">
          <mc:Choice Requires="x14">
            <control shapeId="2383" r:id="rId324" name="Check Box 335">
              <controlPr defaultSize="0" autoFill="0" autoLine="0" autoPict="0">
                <anchor moveWithCells="1">
                  <from>
                    <xdr:col>4</xdr:col>
                    <xdr:colOff>281940</xdr:colOff>
                    <xdr:row>280</xdr:row>
                    <xdr:rowOff>198120</xdr:rowOff>
                  </from>
                  <to>
                    <xdr:col>4</xdr:col>
                    <xdr:colOff>518160</xdr:colOff>
                    <xdr:row>280</xdr:row>
                    <xdr:rowOff>533400</xdr:rowOff>
                  </to>
                </anchor>
              </controlPr>
            </control>
          </mc:Choice>
        </mc:AlternateContent>
        <mc:AlternateContent xmlns:mc="http://schemas.openxmlformats.org/markup-compatibility/2006">
          <mc:Choice Requires="x14">
            <control shapeId="2384" r:id="rId325" name="Check Box 336">
              <controlPr defaultSize="0" autoFill="0" autoLine="0" autoPict="0">
                <anchor moveWithCells="1">
                  <from>
                    <xdr:col>4</xdr:col>
                    <xdr:colOff>281940</xdr:colOff>
                    <xdr:row>281</xdr:row>
                    <xdr:rowOff>198120</xdr:rowOff>
                  </from>
                  <to>
                    <xdr:col>4</xdr:col>
                    <xdr:colOff>518160</xdr:colOff>
                    <xdr:row>281</xdr:row>
                    <xdr:rowOff>533400</xdr:rowOff>
                  </to>
                </anchor>
              </controlPr>
            </control>
          </mc:Choice>
        </mc:AlternateContent>
        <mc:AlternateContent xmlns:mc="http://schemas.openxmlformats.org/markup-compatibility/2006">
          <mc:Choice Requires="x14">
            <control shapeId="2385" r:id="rId326" name="Check Box 337">
              <controlPr defaultSize="0" autoFill="0" autoLine="0" autoPict="0">
                <anchor moveWithCells="1">
                  <from>
                    <xdr:col>4</xdr:col>
                    <xdr:colOff>281940</xdr:colOff>
                    <xdr:row>282</xdr:row>
                    <xdr:rowOff>198120</xdr:rowOff>
                  </from>
                  <to>
                    <xdr:col>4</xdr:col>
                    <xdr:colOff>518160</xdr:colOff>
                    <xdr:row>282</xdr:row>
                    <xdr:rowOff>533400</xdr:rowOff>
                  </to>
                </anchor>
              </controlPr>
            </control>
          </mc:Choice>
        </mc:AlternateContent>
        <mc:AlternateContent xmlns:mc="http://schemas.openxmlformats.org/markup-compatibility/2006">
          <mc:Choice Requires="x14">
            <control shapeId="2386" r:id="rId327" name="Check Box 338">
              <controlPr defaultSize="0" autoFill="0" autoLine="0" autoPict="0">
                <anchor moveWithCells="1">
                  <from>
                    <xdr:col>4</xdr:col>
                    <xdr:colOff>281940</xdr:colOff>
                    <xdr:row>282</xdr:row>
                    <xdr:rowOff>198120</xdr:rowOff>
                  </from>
                  <to>
                    <xdr:col>4</xdr:col>
                    <xdr:colOff>518160</xdr:colOff>
                    <xdr:row>282</xdr:row>
                    <xdr:rowOff>533400</xdr:rowOff>
                  </to>
                </anchor>
              </controlPr>
            </control>
          </mc:Choice>
        </mc:AlternateContent>
        <mc:AlternateContent xmlns:mc="http://schemas.openxmlformats.org/markup-compatibility/2006">
          <mc:Choice Requires="x14">
            <control shapeId="2387" r:id="rId328" name="Check Box 339">
              <controlPr defaultSize="0" autoFill="0" autoLine="0" autoPict="0">
                <anchor moveWithCells="1">
                  <from>
                    <xdr:col>4</xdr:col>
                    <xdr:colOff>281940</xdr:colOff>
                    <xdr:row>283</xdr:row>
                    <xdr:rowOff>198120</xdr:rowOff>
                  </from>
                  <to>
                    <xdr:col>4</xdr:col>
                    <xdr:colOff>518160</xdr:colOff>
                    <xdr:row>283</xdr:row>
                    <xdr:rowOff>533400</xdr:rowOff>
                  </to>
                </anchor>
              </controlPr>
            </control>
          </mc:Choice>
        </mc:AlternateContent>
        <mc:AlternateContent xmlns:mc="http://schemas.openxmlformats.org/markup-compatibility/2006">
          <mc:Choice Requires="x14">
            <control shapeId="2388" r:id="rId329" name="Check Box 340">
              <controlPr defaultSize="0" autoFill="0" autoLine="0" autoPict="0">
                <anchor moveWithCells="1">
                  <from>
                    <xdr:col>4</xdr:col>
                    <xdr:colOff>281940</xdr:colOff>
                    <xdr:row>284</xdr:row>
                    <xdr:rowOff>198120</xdr:rowOff>
                  </from>
                  <to>
                    <xdr:col>4</xdr:col>
                    <xdr:colOff>518160</xdr:colOff>
                    <xdr:row>284</xdr:row>
                    <xdr:rowOff>533400</xdr:rowOff>
                  </to>
                </anchor>
              </controlPr>
            </control>
          </mc:Choice>
        </mc:AlternateContent>
        <mc:AlternateContent xmlns:mc="http://schemas.openxmlformats.org/markup-compatibility/2006">
          <mc:Choice Requires="x14">
            <control shapeId="2389" r:id="rId330" name="Check Box 341">
              <controlPr defaultSize="0" autoFill="0" autoLine="0" autoPict="0">
                <anchor moveWithCells="1">
                  <from>
                    <xdr:col>4</xdr:col>
                    <xdr:colOff>281940</xdr:colOff>
                    <xdr:row>284</xdr:row>
                    <xdr:rowOff>198120</xdr:rowOff>
                  </from>
                  <to>
                    <xdr:col>4</xdr:col>
                    <xdr:colOff>518160</xdr:colOff>
                    <xdr:row>284</xdr:row>
                    <xdr:rowOff>533400</xdr:rowOff>
                  </to>
                </anchor>
              </controlPr>
            </control>
          </mc:Choice>
        </mc:AlternateContent>
        <mc:AlternateContent xmlns:mc="http://schemas.openxmlformats.org/markup-compatibility/2006">
          <mc:Choice Requires="x14">
            <control shapeId="2390" r:id="rId331" name="Check Box 342">
              <controlPr defaultSize="0" autoFill="0" autoLine="0" autoPict="0">
                <anchor moveWithCells="1">
                  <from>
                    <xdr:col>4</xdr:col>
                    <xdr:colOff>281940</xdr:colOff>
                    <xdr:row>285</xdr:row>
                    <xdr:rowOff>198120</xdr:rowOff>
                  </from>
                  <to>
                    <xdr:col>4</xdr:col>
                    <xdr:colOff>518160</xdr:colOff>
                    <xdr:row>285</xdr:row>
                    <xdr:rowOff>533400</xdr:rowOff>
                  </to>
                </anchor>
              </controlPr>
            </control>
          </mc:Choice>
        </mc:AlternateContent>
        <mc:AlternateContent xmlns:mc="http://schemas.openxmlformats.org/markup-compatibility/2006">
          <mc:Choice Requires="x14">
            <control shapeId="2391" r:id="rId332" name="Check Box 343">
              <controlPr defaultSize="0" autoFill="0" autoLine="0" autoPict="0">
                <anchor moveWithCells="1">
                  <from>
                    <xdr:col>4</xdr:col>
                    <xdr:colOff>281940</xdr:colOff>
                    <xdr:row>285</xdr:row>
                    <xdr:rowOff>198120</xdr:rowOff>
                  </from>
                  <to>
                    <xdr:col>4</xdr:col>
                    <xdr:colOff>518160</xdr:colOff>
                    <xdr:row>285</xdr:row>
                    <xdr:rowOff>533400</xdr:rowOff>
                  </to>
                </anchor>
              </controlPr>
            </control>
          </mc:Choice>
        </mc:AlternateContent>
        <mc:AlternateContent xmlns:mc="http://schemas.openxmlformats.org/markup-compatibility/2006">
          <mc:Choice Requires="x14">
            <control shapeId="2392" r:id="rId333" name="Check Box 344">
              <controlPr defaultSize="0" autoFill="0" autoLine="0" autoPict="0">
                <anchor moveWithCells="1">
                  <from>
                    <xdr:col>4</xdr:col>
                    <xdr:colOff>281940</xdr:colOff>
                    <xdr:row>286</xdr:row>
                    <xdr:rowOff>198120</xdr:rowOff>
                  </from>
                  <to>
                    <xdr:col>4</xdr:col>
                    <xdr:colOff>518160</xdr:colOff>
                    <xdr:row>286</xdr:row>
                    <xdr:rowOff>533400</xdr:rowOff>
                  </to>
                </anchor>
              </controlPr>
            </control>
          </mc:Choice>
        </mc:AlternateContent>
        <mc:AlternateContent xmlns:mc="http://schemas.openxmlformats.org/markup-compatibility/2006">
          <mc:Choice Requires="x14">
            <control shapeId="2393" r:id="rId334" name="Check Box 345">
              <controlPr defaultSize="0" autoFill="0" autoLine="0" autoPict="0">
                <anchor moveWithCells="1">
                  <from>
                    <xdr:col>4</xdr:col>
                    <xdr:colOff>281940</xdr:colOff>
                    <xdr:row>286</xdr:row>
                    <xdr:rowOff>198120</xdr:rowOff>
                  </from>
                  <to>
                    <xdr:col>4</xdr:col>
                    <xdr:colOff>518160</xdr:colOff>
                    <xdr:row>286</xdr:row>
                    <xdr:rowOff>533400</xdr:rowOff>
                  </to>
                </anchor>
              </controlPr>
            </control>
          </mc:Choice>
        </mc:AlternateContent>
        <mc:AlternateContent xmlns:mc="http://schemas.openxmlformats.org/markup-compatibility/2006">
          <mc:Choice Requires="x14">
            <control shapeId="2394" r:id="rId335" name="Check Box 346">
              <controlPr defaultSize="0" autoFill="0" autoLine="0" autoPict="0">
                <anchor moveWithCells="1">
                  <from>
                    <xdr:col>4</xdr:col>
                    <xdr:colOff>281940</xdr:colOff>
                    <xdr:row>287</xdr:row>
                    <xdr:rowOff>198120</xdr:rowOff>
                  </from>
                  <to>
                    <xdr:col>4</xdr:col>
                    <xdr:colOff>518160</xdr:colOff>
                    <xdr:row>287</xdr:row>
                    <xdr:rowOff>533400</xdr:rowOff>
                  </to>
                </anchor>
              </controlPr>
            </control>
          </mc:Choice>
        </mc:AlternateContent>
        <mc:AlternateContent xmlns:mc="http://schemas.openxmlformats.org/markup-compatibility/2006">
          <mc:Choice Requires="x14">
            <control shapeId="2395" r:id="rId336" name="Check Box 347">
              <controlPr defaultSize="0" autoFill="0" autoLine="0" autoPict="0">
                <anchor moveWithCells="1">
                  <from>
                    <xdr:col>4</xdr:col>
                    <xdr:colOff>281940</xdr:colOff>
                    <xdr:row>287</xdr:row>
                    <xdr:rowOff>198120</xdr:rowOff>
                  </from>
                  <to>
                    <xdr:col>4</xdr:col>
                    <xdr:colOff>518160</xdr:colOff>
                    <xdr:row>287</xdr:row>
                    <xdr:rowOff>533400</xdr:rowOff>
                  </to>
                </anchor>
              </controlPr>
            </control>
          </mc:Choice>
        </mc:AlternateContent>
        <mc:AlternateContent xmlns:mc="http://schemas.openxmlformats.org/markup-compatibility/2006">
          <mc:Choice Requires="x14">
            <control shapeId="2396" r:id="rId337" name="Check Box 348">
              <controlPr defaultSize="0" autoFill="0" autoLine="0" autoPict="0">
                <anchor moveWithCells="1">
                  <from>
                    <xdr:col>4</xdr:col>
                    <xdr:colOff>281940</xdr:colOff>
                    <xdr:row>292</xdr:row>
                    <xdr:rowOff>198120</xdr:rowOff>
                  </from>
                  <to>
                    <xdr:col>4</xdr:col>
                    <xdr:colOff>518160</xdr:colOff>
                    <xdr:row>292</xdr:row>
                    <xdr:rowOff>533400</xdr:rowOff>
                  </to>
                </anchor>
              </controlPr>
            </control>
          </mc:Choice>
        </mc:AlternateContent>
        <mc:AlternateContent xmlns:mc="http://schemas.openxmlformats.org/markup-compatibility/2006">
          <mc:Choice Requires="x14">
            <control shapeId="2397" r:id="rId338" name="Check Box 349">
              <controlPr defaultSize="0" autoFill="0" autoLine="0" autoPict="0">
                <anchor moveWithCells="1">
                  <from>
                    <xdr:col>4</xdr:col>
                    <xdr:colOff>281940</xdr:colOff>
                    <xdr:row>292</xdr:row>
                    <xdr:rowOff>198120</xdr:rowOff>
                  </from>
                  <to>
                    <xdr:col>4</xdr:col>
                    <xdr:colOff>518160</xdr:colOff>
                    <xdr:row>292</xdr:row>
                    <xdr:rowOff>533400</xdr:rowOff>
                  </to>
                </anchor>
              </controlPr>
            </control>
          </mc:Choice>
        </mc:AlternateContent>
        <mc:AlternateContent xmlns:mc="http://schemas.openxmlformats.org/markup-compatibility/2006">
          <mc:Choice Requires="x14">
            <control shapeId="2398" r:id="rId339" name="Check Box 350">
              <controlPr defaultSize="0" autoFill="0" autoLine="0" autoPict="0">
                <anchor moveWithCells="1">
                  <from>
                    <xdr:col>4</xdr:col>
                    <xdr:colOff>281940</xdr:colOff>
                    <xdr:row>293</xdr:row>
                    <xdr:rowOff>198120</xdr:rowOff>
                  </from>
                  <to>
                    <xdr:col>4</xdr:col>
                    <xdr:colOff>518160</xdr:colOff>
                    <xdr:row>293</xdr:row>
                    <xdr:rowOff>533400</xdr:rowOff>
                  </to>
                </anchor>
              </controlPr>
            </control>
          </mc:Choice>
        </mc:AlternateContent>
        <mc:AlternateContent xmlns:mc="http://schemas.openxmlformats.org/markup-compatibility/2006">
          <mc:Choice Requires="x14">
            <control shapeId="2399" r:id="rId340" name="Check Box 351">
              <controlPr defaultSize="0" autoFill="0" autoLine="0" autoPict="0">
                <anchor moveWithCells="1">
                  <from>
                    <xdr:col>4</xdr:col>
                    <xdr:colOff>281940</xdr:colOff>
                    <xdr:row>293</xdr:row>
                    <xdr:rowOff>198120</xdr:rowOff>
                  </from>
                  <to>
                    <xdr:col>4</xdr:col>
                    <xdr:colOff>518160</xdr:colOff>
                    <xdr:row>293</xdr:row>
                    <xdr:rowOff>533400</xdr:rowOff>
                  </to>
                </anchor>
              </controlPr>
            </control>
          </mc:Choice>
        </mc:AlternateContent>
        <mc:AlternateContent xmlns:mc="http://schemas.openxmlformats.org/markup-compatibility/2006">
          <mc:Choice Requires="x14">
            <control shapeId="2400" r:id="rId341" name="Check Box 352">
              <controlPr defaultSize="0" autoFill="0" autoLine="0" autoPict="0">
                <anchor moveWithCells="1">
                  <from>
                    <xdr:col>4</xdr:col>
                    <xdr:colOff>281940</xdr:colOff>
                    <xdr:row>295</xdr:row>
                    <xdr:rowOff>198120</xdr:rowOff>
                  </from>
                  <to>
                    <xdr:col>4</xdr:col>
                    <xdr:colOff>518160</xdr:colOff>
                    <xdr:row>295</xdr:row>
                    <xdr:rowOff>533400</xdr:rowOff>
                  </to>
                </anchor>
              </controlPr>
            </control>
          </mc:Choice>
        </mc:AlternateContent>
        <mc:AlternateContent xmlns:mc="http://schemas.openxmlformats.org/markup-compatibility/2006">
          <mc:Choice Requires="x14">
            <control shapeId="2401" r:id="rId342" name="Check Box 353">
              <controlPr defaultSize="0" autoFill="0" autoLine="0" autoPict="0">
                <anchor moveWithCells="1">
                  <from>
                    <xdr:col>4</xdr:col>
                    <xdr:colOff>281940</xdr:colOff>
                    <xdr:row>295</xdr:row>
                    <xdr:rowOff>198120</xdr:rowOff>
                  </from>
                  <to>
                    <xdr:col>4</xdr:col>
                    <xdr:colOff>518160</xdr:colOff>
                    <xdr:row>295</xdr:row>
                    <xdr:rowOff>533400</xdr:rowOff>
                  </to>
                </anchor>
              </controlPr>
            </control>
          </mc:Choice>
        </mc:AlternateContent>
        <mc:AlternateContent xmlns:mc="http://schemas.openxmlformats.org/markup-compatibility/2006">
          <mc:Choice Requires="x14">
            <control shapeId="2402" r:id="rId343" name="Check Box 354">
              <controlPr defaultSize="0" autoFill="0" autoLine="0" autoPict="0">
                <anchor moveWithCells="1">
                  <from>
                    <xdr:col>4</xdr:col>
                    <xdr:colOff>281940</xdr:colOff>
                    <xdr:row>296</xdr:row>
                    <xdr:rowOff>198120</xdr:rowOff>
                  </from>
                  <to>
                    <xdr:col>4</xdr:col>
                    <xdr:colOff>518160</xdr:colOff>
                    <xdr:row>296</xdr:row>
                    <xdr:rowOff>533400</xdr:rowOff>
                  </to>
                </anchor>
              </controlPr>
            </control>
          </mc:Choice>
        </mc:AlternateContent>
        <mc:AlternateContent xmlns:mc="http://schemas.openxmlformats.org/markup-compatibility/2006">
          <mc:Choice Requires="x14">
            <control shapeId="2403" r:id="rId344" name="Check Box 355">
              <controlPr defaultSize="0" autoFill="0" autoLine="0" autoPict="0">
                <anchor moveWithCells="1">
                  <from>
                    <xdr:col>4</xdr:col>
                    <xdr:colOff>281940</xdr:colOff>
                    <xdr:row>296</xdr:row>
                    <xdr:rowOff>198120</xdr:rowOff>
                  </from>
                  <to>
                    <xdr:col>4</xdr:col>
                    <xdr:colOff>518160</xdr:colOff>
                    <xdr:row>296</xdr:row>
                    <xdr:rowOff>533400</xdr:rowOff>
                  </to>
                </anchor>
              </controlPr>
            </control>
          </mc:Choice>
        </mc:AlternateContent>
        <mc:AlternateContent xmlns:mc="http://schemas.openxmlformats.org/markup-compatibility/2006">
          <mc:Choice Requires="x14">
            <control shapeId="2404" r:id="rId345" name="Check Box 356">
              <controlPr defaultSize="0" autoFill="0" autoLine="0" autoPict="0">
                <anchor moveWithCells="1">
                  <from>
                    <xdr:col>4</xdr:col>
                    <xdr:colOff>281940</xdr:colOff>
                    <xdr:row>298</xdr:row>
                    <xdr:rowOff>198120</xdr:rowOff>
                  </from>
                  <to>
                    <xdr:col>4</xdr:col>
                    <xdr:colOff>518160</xdr:colOff>
                    <xdr:row>298</xdr:row>
                    <xdr:rowOff>533400</xdr:rowOff>
                  </to>
                </anchor>
              </controlPr>
            </control>
          </mc:Choice>
        </mc:AlternateContent>
        <mc:AlternateContent xmlns:mc="http://schemas.openxmlformats.org/markup-compatibility/2006">
          <mc:Choice Requires="x14">
            <control shapeId="2405" r:id="rId346" name="Check Box 357">
              <controlPr defaultSize="0" autoFill="0" autoLine="0" autoPict="0">
                <anchor moveWithCells="1">
                  <from>
                    <xdr:col>4</xdr:col>
                    <xdr:colOff>281940</xdr:colOff>
                    <xdr:row>298</xdr:row>
                    <xdr:rowOff>198120</xdr:rowOff>
                  </from>
                  <to>
                    <xdr:col>4</xdr:col>
                    <xdr:colOff>518160</xdr:colOff>
                    <xdr:row>298</xdr:row>
                    <xdr:rowOff>533400</xdr:rowOff>
                  </to>
                </anchor>
              </controlPr>
            </control>
          </mc:Choice>
        </mc:AlternateContent>
        <mc:AlternateContent xmlns:mc="http://schemas.openxmlformats.org/markup-compatibility/2006">
          <mc:Choice Requires="x14">
            <control shapeId="2406" r:id="rId347" name="Check Box 358">
              <controlPr defaultSize="0" autoFill="0" autoLine="0" autoPict="0">
                <anchor moveWithCells="1">
                  <from>
                    <xdr:col>4</xdr:col>
                    <xdr:colOff>281940</xdr:colOff>
                    <xdr:row>299</xdr:row>
                    <xdr:rowOff>198120</xdr:rowOff>
                  </from>
                  <to>
                    <xdr:col>4</xdr:col>
                    <xdr:colOff>518160</xdr:colOff>
                    <xdr:row>299</xdr:row>
                    <xdr:rowOff>533400</xdr:rowOff>
                  </to>
                </anchor>
              </controlPr>
            </control>
          </mc:Choice>
        </mc:AlternateContent>
        <mc:AlternateContent xmlns:mc="http://schemas.openxmlformats.org/markup-compatibility/2006">
          <mc:Choice Requires="x14">
            <control shapeId="2407" r:id="rId348" name="Check Box 359">
              <controlPr defaultSize="0" autoFill="0" autoLine="0" autoPict="0">
                <anchor moveWithCells="1">
                  <from>
                    <xdr:col>4</xdr:col>
                    <xdr:colOff>281940</xdr:colOff>
                    <xdr:row>299</xdr:row>
                    <xdr:rowOff>198120</xdr:rowOff>
                  </from>
                  <to>
                    <xdr:col>4</xdr:col>
                    <xdr:colOff>518160</xdr:colOff>
                    <xdr:row>299</xdr:row>
                    <xdr:rowOff>533400</xdr:rowOff>
                  </to>
                </anchor>
              </controlPr>
            </control>
          </mc:Choice>
        </mc:AlternateContent>
        <mc:AlternateContent xmlns:mc="http://schemas.openxmlformats.org/markup-compatibility/2006">
          <mc:Choice Requires="x14">
            <control shapeId="2408" r:id="rId349" name="Check Box 360">
              <controlPr defaultSize="0" autoFill="0" autoLine="0" autoPict="0">
                <anchor moveWithCells="1">
                  <from>
                    <xdr:col>4</xdr:col>
                    <xdr:colOff>281940</xdr:colOff>
                    <xdr:row>300</xdr:row>
                    <xdr:rowOff>198120</xdr:rowOff>
                  </from>
                  <to>
                    <xdr:col>4</xdr:col>
                    <xdr:colOff>518160</xdr:colOff>
                    <xdr:row>300</xdr:row>
                    <xdr:rowOff>533400</xdr:rowOff>
                  </to>
                </anchor>
              </controlPr>
            </control>
          </mc:Choice>
        </mc:AlternateContent>
        <mc:AlternateContent xmlns:mc="http://schemas.openxmlformats.org/markup-compatibility/2006">
          <mc:Choice Requires="x14">
            <control shapeId="2409" r:id="rId350" name="Check Box 361">
              <controlPr defaultSize="0" autoFill="0" autoLine="0" autoPict="0">
                <anchor moveWithCells="1">
                  <from>
                    <xdr:col>4</xdr:col>
                    <xdr:colOff>281940</xdr:colOff>
                    <xdr:row>300</xdr:row>
                    <xdr:rowOff>198120</xdr:rowOff>
                  </from>
                  <to>
                    <xdr:col>4</xdr:col>
                    <xdr:colOff>518160</xdr:colOff>
                    <xdr:row>300</xdr:row>
                    <xdr:rowOff>533400</xdr:rowOff>
                  </to>
                </anchor>
              </controlPr>
            </control>
          </mc:Choice>
        </mc:AlternateContent>
        <mc:AlternateContent xmlns:mc="http://schemas.openxmlformats.org/markup-compatibility/2006">
          <mc:Choice Requires="x14">
            <control shapeId="2410" r:id="rId351" name="Check Box 362">
              <controlPr defaultSize="0" autoFill="0" autoLine="0" autoPict="0">
                <anchor moveWithCells="1">
                  <from>
                    <xdr:col>4</xdr:col>
                    <xdr:colOff>281940</xdr:colOff>
                    <xdr:row>302</xdr:row>
                    <xdr:rowOff>198120</xdr:rowOff>
                  </from>
                  <to>
                    <xdr:col>4</xdr:col>
                    <xdr:colOff>518160</xdr:colOff>
                    <xdr:row>302</xdr:row>
                    <xdr:rowOff>533400</xdr:rowOff>
                  </to>
                </anchor>
              </controlPr>
            </control>
          </mc:Choice>
        </mc:AlternateContent>
        <mc:AlternateContent xmlns:mc="http://schemas.openxmlformats.org/markup-compatibility/2006">
          <mc:Choice Requires="x14">
            <control shapeId="2411" r:id="rId352" name="Check Box 363">
              <controlPr defaultSize="0" autoFill="0" autoLine="0" autoPict="0">
                <anchor moveWithCells="1">
                  <from>
                    <xdr:col>4</xdr:col>
                    <xdr:colOff>281940</xdr:colOff>
                    <xdr:row>302</xdr:row>
                    <xdr:rowOff>198120</xdr:rowOff>
                  </from>
                  <to>
                    <xdr:col>4</xdr:col>
                    <xdr:colOff>518160</xdr:colOff>
                    <xdr:row>302</xdr:row>
                    <xdr:rowOff>533400</xdr:rowOff>
                  </to>
                </anchor>
              </controlPr>
            </control>
          </mc:Choice>
        </mc:AlternateContent>
        <mc:AlternateContent xmlns:mc="http://schemas.openxmlformats.org/markup-compatibility/2006">
          <mc:Choice Requires="x14">
            <control shapeId="2412" r:id="rId353" name="Check Box 364">
              <controlPr defaultSize="0" autoFill="0" autoLine="0" autoPict="0">
                <anchor moveWithCells="1">
                  <from>
                    <xdr:col>4</xdr:col>
                    <xdr:colOff>281940</xdr:colOff>
                    <xdr:row>303</xdr:row>
                    <xdr:rowOff>198120</xdr:rowOff>
                  </from>
                  <to>
                    <xdr:col>4</xdr:col>
                    <xdr:colOff>518160</xdr:colOff>
                    <xdr:row>303</xdr:row>
                    <xdr:rowOff>533400</xdr:rowOff>
                  </to>
                </anchor>
              </controlPr>
            </control>
          </mc:Choice>
        </mc:AlternateContent>
        <mc:AlternateContent xmlns:mc="http://schemas.openxmlformats.org/markup-compatibility/2006">
          <mc:Choice Requires="x14">
            <control shapeId="2413" r:id="rId354" name="Check Box 365">
              <controlPr defaultSize="0" autoFill="0" autoLine="0" autoPict="0">
                <anchor moveWithCells="1">
                  <from>
                    <xdr:col>4</xdr:col>
                    <xdr:colOff>281940</xdr:colOff>
                    <xdr:row>303</xdr:row>
                    <xdr:rowOff>198120</xdr:rowOff>
                  </from>
                  <to>
                    <xdr:col>4</xdr:col>
                    <xdr:colOff>518160</xdr:colOff>
                    <xdr:row>303</xdr:row>
                    <xdr:rowOff>533400</xdr:rowOff>
                  </to>
                </anchor>
              </controlPr>
            </control>
          </mc:Choice>
        </mc:AlternateContent>
        <mc:AlternateContent xmlns:mc="http://schemas.openxmlformats.org/markup-compatibility/2006">
          <mc:Choice Requires="x14">
            <control shapeId="2414" r:id="rId355" name="Check Box 366">
              <controlPr defaultSize="0" autoFill="0" autoLine="0" autoPict="0">
                <anchor moveWithCells="1">
                  <from>
                    <xdr:col>4</xdr:col>
                    <xdr:colOff>281940</xdr:colOff>
                    <xdr:row>304</xdr:row>
                    <xdr:rowOff>198120</xdr:rowOff>
                  </from>
                  <to>
                    <xdr:col>4</xdr:col>
                    <xdr:colOff>518160</xdr:colOff>
                    <xdr:row>304</xdr:row>
                    <xdr:rowOff>533400</xdr:rowOff>
                  </to>
                </anchor>
              </controlPr>
            </control>
          </mc:Choice>
        </mc:AlternateContent>
        <mc:AlternateContent xmlns:mc="http://schemas.openxmlformats.org/markup-compatibility/2006">
          <mc:Choice Requires="x14">
            <control shapeId="2415" r:id="rId356" name="Check Box 367">
              <controlPr defaultSize="0" autoFill="0" autoLine="0" autoPict="0">
                <anchor moveWithCells="1">
                  <from>
                    <xdr:col>4</xdr:col>
                    <xdr:colOff>281940</xdr:colOff>
                    <xdr:row>304</xdr:row>
                    <xdr:rowOff>198120</xdr:rowOff>
                  </from>
                  <to>
                    <xdr:col>4</xdr:col>
                    <xdr:colOff>518160</xdr:colOff>
                    <xdr:row>304</xdr:row>
                    <xdr:rowOff>533400</xdr:rowOff>
                  </to>
                </anchor>
              </controlPr>
            </control>
          </mc:Choice>
        </mc:AlternateContent>
        <mc:AlternateContent xmlns:mc="http://schemas.openxmlformats.org/markup-compatibility/2006">
          <mc:Choice Requires="x14">
            <control shapeId="2416" r:id="rId357" name="Check Box 368">
              <controlPr defaultSize="0" autoFill="0" autoLine="0" autoPict="0">
                <anchor moveWithCells="1">
                  <from>
                    <xdr:col>4</xdr:col>
                    <xdr:colOff>281940</xdr:colOff>
                    <xdr:row>306</xdr:row>
                    <xdr:rowOff>198120</xdr:rowOff>
                  </from>
                  <to>
                    <xdr:col>4</xdr:col>
                    <xdr:colOff>518160</xdr:colOff>
                    <xdr:row>306</xdr:row>
                    <xdr:rowOff>533400</xdr:rowOff>
                  </to>
                </anchor>
              </controlPr>
            </control>
          </mc:Choice>
        </mc:AlternateContent>
        <mc:AlternateContent xmlns:mc="http://schemas.openxmlformats.org/markup-compatibility/2006">
          <mc:Choice Requires="x14">
            <control shapeId="2417" r:id="rId358" name="Check Box 369">
              <controlPr defaultSize="0" autoFill="0" autoLine="0" autoPict="0">
                <anchor moveWithCells="1">
                  <from>
                    <xdr:col>4</xdr:col>
                    <xdr:colOff>281940</xdr:colOff>
                    <xdr:row>306</xdr:row>
                    <xdr:rowOff>198120</xdr:rowOff>
                  </from>
                  <to>
                    <xdr:col>4</xdr:col>
                    <xdr:colOff>518160</xdr:colOff>
                    <xdr:row>306</xdr:row>
                    <xdr:rowOff>533400</xdr:rowOff>
                  </to>
                </anchor>
              </controlPr>
            </control>
          </mc:Choice>
        </mc:AlternateContent>
        <mc:AlternateContent xmlns:mc="http://schemas.openxmlformats.org/markup-compatibility/2006">
          <mc:Choice Requires="x14">
            <control shapeId="2418" r:id="rId359" name="Check Box 370">
              <controlPr defaultSize="0" autoFill="0" autoLine="0" autoPict="0">
                <anchor moveWithCells="1">
                  <from>
                    <xdr:col>4</xdr:col>
                    <xdr:colOff>281940</xdr:colOff>
                    <xdr:row>307</xdr:row>
                    <xdr:rowOff>198120</xdr:rowOff>
                  </from>
                  <to>
                    <xdr:col>4</xdr:col>
                    <xdr:colOff>518160</xdr:colOff>
                    <xdr:row>307</xdr:row>
                    <xdr:rowOff>533400</xdr:rowOff>
                  </to>
                </anchor>
              </controlPr>
            </control>
          </mc:Choice>
        </mc:AlternateContent>
        <mc:AlternateContent xmlns:mc="http://schemas.openxmlformats.org/markup-compatibility/2006">
          <mc:Choice Requires="x14">
            <control shapeId="2419" r:id="rId360" name="Check Box 371">
              <controlPr defaultSize="0" autoFill="0" autoLine="0" autoPict="0">
                <anchor moveWithCells="1">
                  <from>
                    <xdr:col>4</xdr:col>
                    <xdr:colOff>281940</xdr:colOff>
                    <xdr:row>307</xdr:row>
                    <xdr:rowOff>198120</xdr:rowOff>
                  </from>
                  <to>
                    <xdr:col>4</xdr:col>
                    <xdr:colOff>518160</xdr:colOff>
                    <xdr:row>307</xdr:row>
                    <xdr:rowOff>533400</xdr:rowOff>
                  </to>
                </anchor>
              </controlPr>
            </control>
          </mc:Choice>
        </mc:AlternateContent>
        <mc:AlternateContent xmlns:mc="http://schemas.openxmlformats.org/markup-compatibility/2006">
          <mc:Choice Requires="x14">
            <control shapeId="2420" r:id="rId361" name="Check Box 372">
              <controlPr defaultSize="0" autoFill="0" autoLine="0" autoPict="0">
                <anchor moveWithCells="1">
                  <from>
                    <xdr:col>4</xdr:col>
                    <xdr:colOff>281940</xdr:colOff>
                    <xdr:row>309</xdr:row>
                    <xdr:rowOff>198120</xdr:rowOff>
                  </from>
                  <to>
                    <xdr:col>4</xdr:col>
                    <xdr:colOff>518160</xdr:colOff>
                    <xdr:row>309</xdr:row>
                    <xdr:rowOff>533400</xdr:rowOff>
                  </to>
                </anchor>
              </controlPr>
            </control>
          </mc:Choice>
        </mc:AlternateContent>
        <mc:AlternateContent xmlns:mc="http://schemas.openxmlformats.org/markup-compatibility/2006">
          <mc:Choice Requires="x14">
            <control shapeId="2421" r:id="rId362" name="Check Box 373">
              <controlPr defaultSize="0" autoFill="0" autoLine="0" autoPict="0">
                <anchor moveWithCells="1">
                  <from>
                    <xdr:col>4</xdr:col>
                    <xdr:colOff>281940</xdr:colOff>
                    <xdr:row>309</xdr:row>
                    <xdr:rowOff>198120</xdr:rowOff>
                  </from>
                  <to>
                    <xdr:col>4</xdr:col>
                    <xdr:colOff>518160</xdr:colOff>
                    <xdr:row>309</xdr:row>
                    <xdr:rowOff>533400</xdr:rowOff>
                  </to>
                </anchor>
              </controlPr>
            </control>
          </mc:Choice>
        </mc:AlternateContent>
        <mc:AlternateContent xmlns:mc="http://schemas.openxmlformats.org/markup-compatibility/2006">
          <mc:Choice Requires="x14">
            <control shapeId="2422" r:id="rId363" name="Check Box 374">
              <controlPr defaultSize="0" autoFill="0" autoLine="0" autoPict="0">
                <anchor moveWithCells="1">
                  <from>
                    <xdr:col>4</xdr:col>
                    <xdr:colOff>281940</xdr:colOff>
                    <xdr:row>310</xdr:row>
                    <xdr:rowOff>198120</xdr:rowOff>
                  </from>
                  <to>
                    <xdr:col>4</xdr:col>
                    <xdr:colOff>518160</xdr:colOff>
                    <xdr:row>310</xdr:row>
                    <xdr:rowOff>533400</xdr:rowOff>
                  </to>
                </anchor>
              </controlPr>
            </control>
          </mc:Choice>
        </mc:AlternateContent>
        <mc:AlternateContent xmlns:mc="http://schemas.openxmlformats.org/markup-compatibility/2006">
          <mc:Choice Requires="x14">
            <control shapeId="2423" r:id="rId364" name="Check Box 375">
              <controlPr defaultSize="0" autoFill="0" autoLine="0" autoPict="0">
                <anchor moveWithCells="1">
                  <from>
                    <xdr:col>4</xdr:col>
                    <xdr:colOff>281940</xdr:colOff>
                    <xdr:row>310</xdr:row>
                    <xdr:rowOff>198120</xdr:rowOff>
                  </from>
                  <to>
                    <xdr:col>4</xdr:col>
                    <xdr:colOff>518160</xdr:colOff>
                    <xdr:row>310</xdr:row>
                    <xdr:rowOff>533400</xdr:rowOff>
                  </to>
                </anchor>
              </controlPr>
            </control>
          </mc:Choice>
        </mc:AlternateContent>
        <mc:AlternateContent xmlns:mc="http://schemas.openxmlformats.org/markup-compatibility/2006">
          <mc:Choice Requires="x14">
            <control shapeId="2424" r:id="rId365" name="Check Box 376">
              <controlPr defaultSize="0" autoFill="0" autoLine="0" autoPict="0">
                <anchor moveWithCells="1">
                  <from>
                    <xdr:col>4</xdr:col>
                    <xdr:colOff>281940</xdr:colOff>
                    <xdr:row>311</xdr:row>
                    <xdr:rowOff>198120</xdr:rowOff>
                  </from>
                  <to>
                    <xdr:col>4</xdr:col>
                    <xdr:colOff>518160</xdr:colOff>
                    <xdr:row>311</xdr:row>
                    <xdr:rowOff>533400</xdr:rowOff>
                  </to>
                </anchor>
              </controlPr>
            </control>
          </mc:Choice>
        </mc:AlternateContent>
        <mc:AlternateContent xmlns:mc="http://schemas.openxmlformats.org/markup-compatibility/2006">
          <mc:Choice Requires="x14">
            <control shapeId="2425" r:id="rId366" name="Check Box 377">
              <controlPr defaultSize="0" autoFill="0" autoLine="0" autoPict="0">
                <anchor moveWithCells="1">
                  <from>
                    <xdr:col>4</xdr:col>
                    <xdr:colOff>281940</xdr:colOff>
                    <xdr:row>311</xdr:row>
                    <xdr:rowOff>198120</xdr:rowOff>
                  </from>
                  <to>
                    <xdr:col>4</xdr:col>
                    <xdr:colOff>518160</xdr:colOff>
                    <xdr:row>311</xdr:row>
                    <xdr:rowOff>533400</xdr:rowOff>
                  </to>
                </anchor>
              </controlPr>
            </control>
          </mc:Choice>
        </mc:AlternateContent>
        <mc:AlternateContent xmlns:mc="http://schemas.openxmlformats.org/markup-compatibility/2006">
          <mc:Choice Requires="x14">
            <control shapeId="2426" r:id="rId367" name="Check Box 378">
              <controlPr defaultSize="0" autoFill="0" autoLine="0" autoPict="0">
                <anchor moveWithCells="1">
                  <from>
                    <xdr:col>4</xdr:col>
                    <xdr:colOff>281940</xdr:colOff>
                    <xdr:row>313</xdr:row>
                    <xdr:rowOff>198120</xdr:rowOff>
                  </from>
                  <to>
                    <xdr:col>4</xdr:col>
                    <xdr:colOff>518160</xdr:colOff>
                    <xdr:row>313</xdr:row>
                    <xdr:rowOff>533400</xdr:rowOff>
                  </to>
                </anchor>
              </controlPr>
            </control>
          </mc:Choice>
        </mc:AlternateContent>
        <mc:AlternateContent xmlns:mc="http://schemas.openxmlformats.org/markup-compatibility/2006">
          <mc:Choice Requires="x14">
            <control shapeId="2427" r:id="rId368" name="Check Box 379">
              <controlPr defaultSize="0" autoFill="0" autoLine="0" autoPict="0">
                <anchor moveWithCells="1">
                  <from>
                    <xdr:col>4</xdr:col>
                    <xdr:colOff>281940</xdr:colOff>
                    <xdr:row>313</xdr:row>
                    <xdr:rowOff>198120</xdr:rowOff>
                  </from>
                  <to>
                    <xdr:col>4</xdr:col>
                    <xdr:colOff>518160</xdr:colOff>
                    <xdr:row>313</xdr:row>
                    <xdr:rowOff>533400</xdr:rowOff>
                  </to>
                </anchor>
              </controlPr>
            </control>
          </mc:Choice>
        </mc:AlternateContent>
        <mc:AlternateContent xmlns:mc="http://schemas.openxmlformats.org/markup-compatibility/2006">
          <mc:Choice Requires="x14">
            <control shapeId="2428" r:id="rId369" name="Check Box 380">
              <controlPr defaultSize="0" autoFill="0" autoLine="0" autoPict="0">
                <anchor moveWithCells="1">
                  <from>
                    <xdr:col>4</xdr:col>
                    <xdr:colOff>281940</xdr:colOff>
                    <xdr:row>314</xdr:row>
                    <xdr:rowOff>198120</xdr:rowOff>
                  </from>
                  <to>
                    <xdr:col>4</xdr:col>
                    <xdr:colOff>518160</xdr:colOff>
                    <xdr:row>314</xdr:row>
                    <xdr:rowOff>533400</xdr:rowOff>
                  </to>
                </anchor>
              </controlPr>
            </control>
          </mc:Choice>
        </mc:AlternateContent>
        <mc:AlternateContent xmlns:mc="http://schemas.openxmlformats.org/markup-compatibility/2006">
          <mc:Choice Requires="x14">
            <control shapeId="2429" r:id="rId370" name="Check Box 381">
              <controlPr defaultSize="0" autoFill="0" autoLine="0" autoPict="0">
                <anchor moveWithCells="1">
                  <from>
                    <xdr:col>4</xdr:col>
                    <xdr:colOff>281940</xdr:colOff>
                    <xdr:row>314</xdr:row>
                    <xdr:rowOff>198120</xdr:rowOff>
                  </from>
                  <to>
                    <xdr:col>4</xdr:col>
                    <xdr:colOff>518160</xdr:colOff>
                    <xdr:row>314</xdr:row>
                    <xdr:rowOff>533400</xdr:rowOff>
                  </to>
                </anchor>
              </controlPr>
            </control>
          </mc:Choice>
        </mc:AlternateContent>
        <mc:AlternateContent xmlns:mc="http://schemas.openxmlformats.org/markup-compatibility/2006">
          <mc:Choice Requires="x14">
            <control shapeId="2430" r:id="rId371" name="Check Box 382">
              <controlPr defaultSize="0" autoFill="0" autoLine="0" autoPict="0">
                <anchor moveWithCells="1">
                  <from>
                    <xdr:col>4</xdr:col>
                    <xdr:colOff>281940</xdr:colOff>
                    <xdr:row>316</xdr:row>
                    <xdr:rowOff>198120</xdr:rowOff>
                  </from>
                  <to>
                    <xdr:col>4</xdr:col>
                    <xdr:colOff>518160</xdr:colOff>
                    <xdr:row>316</xdr:row>
                    <xdr:rowOff>533400</xdr:rowOff>
                  </to>
                </anchor>
              </controlPr>
            </control>
          </mc:Choice>
        </mc:AlternateContent>
        <mc:AlternateContent xmlns:mc="http://schemas.openxmlformats.org/markup-compatibility/2006">
          <mc:Choice Requires="x14">
            <control shapeId="2431" r:id="rId372" name="Check Box 383">
              <controlPr defaultSize="0" autoFill="0" autoLine="0" autoPict="0">
                <anchor moveWithCells="1">
                  <from>
                    <xdr:col>4</xdr:col>
                    <xdr:colOff>281940</xdr:colOff>
                    <xdr:row>316</xdr:row>
                    <xdr:rowOff>198120</xdr:rowOff>
                  </from>
                  <to>
                    <xdr:col>4</xdr:col>
                    <xdr:colOff>518160</xdr:colOff>
                    <xdr:row>316</xdr:row>
                    <xdr:rowOff>533400</xdr:rowOff>
                  </to>
                </anchor>
              </controlPr>
            </control>
          </mc:Choice>
        </mc:AlternateContent>
        <mc:AlternateContent xmlns:mc="http://schemas.openxmlformats.org/markup-compatibility/2006">
          <mc:Choice Requires="x14">
            <control shapeId="2432" r:id="rId373" name="Check Box 384">
              <controlPr defaultSize="0" autoFill="0" autoLine="0" autoPict="0">
                <anchor moveWithCells="1">
                  <from>
                    <xdr:col>4</xdr:col>
                    <xdr:colOff>281940</xdr:colOff>
                    <xdr:row>317</xdr:row>
                    <xdr:rowOff>198120</xdr:rowOff>
                  </from>
                  <to>
                    <xdr:col>4</xdr:col>
                    <xdr:colOff>518160</xdr:colOff>
                    <xdr:row>317</xdr:row>
                    <xdr:rowOff>533400</xdr:rowOff>
                  </to>
                </anchor>
              </controlPr>
            </control>
          </mc:Choice>
        </mc:AlternateContent>
        <mc:AlternateContent xmlns:mc="http://schemas.openxmlformats.org/markup-compatibility/2006">
          <mc:Choice Requires="x14">
            <control shapeId="2433" r:id="rId374" name="Check Box 385">
              <controlPr defaultSize="0" autoFill="0" autoLine="0" autoPict="0">
                <anchor moveWithCells="1">
                  <from>
                    <xdr:col>4</xdr:col>
                    <xdr:colOff>281940</xdr:colOff>
                    <xdr:row>317</xdr:row>
                    <xdr:rowOff>198120</xdr:rowOff>
                  </from>
                  <to>
                    <xdr:col>4</xdr:col>
                    <xdr:colOff>518160</xdr:colOff>
                    <xdr:row>317</xdr:row>
                    <xdr:rowOff>533400</xdr:rowOff>
                  </to>
                </anchor>
              </controlPr>
            </control>
          </mc:Choice>
        </mc:AlternateContent>
        <mc:AlternateContent xmlns:mc="http://schemas.openxmlformats.org/markup-compatibility/2006">
          <mc:Choice Requires="x14">
            <control shapeId="2434" r:id="rId375" name="Check Box 386">
              <controlPr defaultSize="0" autoFill="0" autoLine="0" autoPict="0">
                <anchor moveWithCells="1">
                  <from>
                    <xdr:col>4</xdr:col>
                    <xdr:colOff>281940</xdr:colOff>
                    <xdr:row>319</xdr:row>
                    <xdr:rowOff>198120</xdr:rowOff>
                  </from>
                  <to>
                    <xdr:col>4</xdr:col>
                    <xdr:colOff>518160</xdr:colOff>
                    <xdr:row>319</xdr:row>
                    <xdr:rowOff>533400</xdr:rowOff>
                  </to>
                </anchor>
              </controlPr>
            </control>
          </mc:Choice>
        </mc:AlternateContent>
        <mc:AlternateContent xmlns:mc="http://schemas.openxmlformats.org/markup-compatibility/2006">
          <mc:Choice Requires="x14">
            <control shapeId="2435" r:id="rId376" name="Check Box 387">
              <controlPr defaultSize="0" autoFill="0" autoLine="0" autoPict="0">
                <anchor moveWithCells="1">
                  <from>
                    <xdr:col>4</xdr:col>
                    <xdr:colOff>281940</xdr:colOff>
                    <xdr:row>319</xdr:row>
                    <xdr:rowOff>198120</xdr:rowOff>
                  </from>
                  <to>
                    <xdr:col>4</xdr:col>
                    <xdr:colOff>518160</xdr:colOff>
                    <xdr:row>319</xdr:row>
                    <xdr:rowOff>533400</xdr:rowOff>
                  </to>
                </anchor>
              </controlPr>
            </control>
          </mc:Choice>
        </mc:AlternateContent>
        <mc:AlternateContent xmlns:mc="http://schemas.openxmlformats.org/markup-compatibility/2006">
          <mc:Choice Requires="x14">
            <control shapeId="2436" r:id="rId377" name="Check Box 388">
              <controlPr defaultSize="0" autoFill="0" autoLine="0" autoPict="0">
                <anchor moveWithCells="1">
                  <from>
                    <xdr:col>4</xdr:col>
                    <xdr:colOff>281940</xdr:colOff>
                    <xdr:row>320</xdr:row>
                    <xdr:rowOff>198120</xdr:rowOff>
                  </from>
                  <to>
                    <xdr:col>4</xdr:col>
                    <xdr:colOff>518160</xdr:colOff>
                    <xdr:row>320</xdr:row>
                    <xdr:rowOff>533400</xdr:rowOff>
                  </to>
                </anchor>
              </controlPr>
            </control>
          </mc:Choice>
        </mc:AlternateContent>
        <mc:AlternateContent xmlns:mc="http://schemas.openxmlformats.org/markup-compatibility/2006">
          <mc:Choice Requires="x14">
            <control shapeId="2437" r:id="rId378" name="Check Box 389">
              <controlPr defaultSize="0" autoFill="0" autoLine="0" autoPict="0">
                <anchor moveWithCells="1">
                  <from>
                    <xdr:col>4</xdr:col>
                    <xdr:colOff>281940</xdr:colOff>
                    <xdr:row>320</xdr:row>
                    <xdr:rowOff>198120</xdr:rowOff>
                  </from>
                  <to>
                    <xdr:col>4</xdr:col>
                    <xdr:colOff>518160</xdr:colOff>
                    <xdr:row>320</xdr:row>
                    <xdr:rowOff>533400</xdr:rowOff>
                  </to>
                </anchor>
              </controlPr>
            </control>
          </mc:Choice>
        </mc:AlternateContent>
        <mc:AlternateContent xmlns:mc="http://schemas.openxmlformats.org/markup-compatibility/2006">
          <mc:Choice Requires="x14">
            <control shapeId="2438" r:id="rId379" name="Check Box 390">
              <controlPr defaultSize="0" autoFill="0" autoLine="0" autoPict="0">
                <anchor moveWithCells="1">
                  <from>
                    <xdr:col>4</xdr:col>
                    <xdr:colOff>281940</xdr:colOff>
                    <xdr:row>321</xdr:row>
                    <xdr:rowOff>198120</xdr:rowOff>
                  </from>
                  <to>
                    <xdr:col>4</xdr:col>
                    <xdr:colOff>518160</xdr:colOff>
                    <xdr:row>321</xdr:row>
                    <xdr:rowOff>533400</xdr:rowOff>
                  </to>
                </anchor>
              </controlPr>
            </control>
          </mc:Choice>
        </mc:AlternateContent>
        <mc:AlternateContent xmlns:mc="http://schemas.openxmlformats.org/markup-compatibility/2006">
          <mc:Choice Requires="x14">
            <control shapeId="2439" r:id="rId380" name="Check Box 391">
              <controlPr defaultSize="0" autoFill="0" autoLine="0" autoPict="0">
                <anchor moveWithCells="1">
                  <from>
                    <xdr:col>4</xdr:col>
                    <xdr:colOff>281940</xdr:colOff>
                    <xdr:row>321</xdr:row>
                    <xdr:rowOff>198120</xdr:rowOff>
                  </from>
                  <to>
                    <xdr:col>4</xdr:col>
                    <xdr:colOff>518160</xdr:colOff>
                    <xdr:row>321</xdr:row>
                    <xdr:rowOff>533400</xdr:rowOff>
                  </to>
                </anchor>
              </controlPr>
            </control>
          </mc:Choice>
        </mc:AlternateContent>
        <mc:AlternateContent xmlns:mc="http://schemas.openxmlformats.org/markup-compatibility/2006">
          <mc:Choice Requires="x14">
            <control shapeId="2440" r:id="rId381" name="Check Box 392">
              <controlPr defaultSize="0" autoFill="0" autoLine="0" autoPict="0">
                <anchor moveWithCells="1">
                  <from>
                    <xdr:col>4</xdr:col>
                    <xdr:colOff>281940</xdr:colOff>
                    <xdr:row>323</xdr:row>
                    <xdr:rowOff>198120</xdr:rowOff>
                  </from>
                  <to>
                    <xdr:col>4</xdr:col>
                    <xdr:colOff>518160</xdr:colOff>
                    <xdr:row>323</xdr:row>
                    <xdr:rowOff>533400</xdr:rowOff>
                  </to>
                </anchor>
              </controlPr>
            </control>
          </mc:Choice>
        </mc:AlternateContent>
        <mc:AlternateContent xmlns:mc="http://schemas.openxmlformats.org/markup-compatibility/2006">
          <mc:Choice Requires="x14">
            <control shapeId="2441" r:id="rId382" name="Check Box 393">
              <controlPr defaultSize="0" autoFill="0" autoLine="0" autoPict="0">
                <anchor moveWithCells="1">
                  <from>
                    <xdr:col>4</xdr:col>
                    <xdr:colOff>281940</xdr:colOff>
                    <xdr:row>323</xdr:row>
                    <xdr:rowOff>198120</xdr:rowOff>
                  </from>
                  <to>
                    <xdr:col>4</xdr:col>
                    <xdr:colOff>518160</xdr:colOff>
                    <xdr:row>323</xdr:row>
                    <xdr:rowOff>533400</xdr:rowOff>
                  </to>
                </anchor>
              </controlPr>
            </control>
          </mc:Choice>
        </mc:AlternateContent>
        <mc:AlternateContent xmlns:mc="http://schemas.openxmlformats.org/markup-compatibility/2006">
          <mc:Choice Requires="x14">
            <control shapeId="2442" r:id="rId383" name="Check Box 394">
              <controlPr defaultSize="0" autoFill="0" autoLine="0" autoPict="0">
                <anchor moveWithCells="1">
                  <from>
                    <xdr:col>4</xdr:col>
                    <xdr:colOff>281940</xdr:colOff>
                    <xdr:row>324</xdr:row>
                    <xdr:rowOff>198120</xdr:rowOff>
                  </from>
                  <to>
                    <xdr:col>4</xdr:col>
                    <xdr:colOff>518160</xdr:colOff>
                    <xdr:row>324</xdr:row>
                    <xdr:rowOff>533400</xdr:rowOff>
                  </to>
                </anchor>
              </controlPr>
            </control>
          </mc:Choice>
        </mc:AlternateContent>
        <mc:AlternateContent xmlns:mc="http://schemas.openxmlformats.org/markup-compatibility/2006">
          <mc:Choice Requires="x14">
            <control shapeId="2443" r:id="rId384" name="Check Box 395">
              <controlPr defaultSize="0" autoFill="0" autoLine="0" autoPict="0">
                <anchor moveWithCells="1">
                  <from>
                    <xdr:col>4</xdr:col>
                    <xdr:colOff>281940</xdr:colOff>
                    <xdr:row>324</xdr:row>
                    <xdr:rowOff>198120</xdr:rowOff>
                  </from>
                  <to>
                    <xdr:col>4</xdr:col>
                    <xdr:colOff>518160</xdr:colOff>
                    <xdr:row>324</xdr:row>
                    <xdr:rowOff>533400</xdr:rowOff>
                  </to>
                </anchor>
              </controlPr>
            </control>
          </mc:Choice>
        </mc:AlternateContent>
        <mc:AlternateContent xmlns:mc="http://schemas.openxmlformats.org/markup-compatibility/2006">
          <mc:Choice Requires="x14">
            <control shapeId="2444" r:id="rId385" name="Check Box 396">
              <controlPr defaultSize="0" autoFill="0" autoLine="0" autoPict="0">
                <anchor moveWithCells="1">
                  <from>
                    <xdr:col>4</xdr:col>
                    <xdr:colOff>281940</xdr:colOff>
                    <xdr:row>325</xdr:row>
                    <xdr:rowOff>198120</xdr:rowOff>
                  </from>
                  <to>
                    <xdr:col>4</xdr:col>
                    <xdr:colOff>518160</xdr:colOff>
                    <xdr:row>325</xdr:row>
                    <xdr:rowOff>533400</xdr:rowOff>
                  </to>
                </anchor>
              </controlPr>
            </control>
          </mc:Choice>
        </mc:AlternateContent>
        <mc:AlternateContent xmlns:mc="http://schemas.openxmlformats.org/markup-compatibility/2006">
          <mc:Choice Requires="x14">
            <control shapeId="2445" r:id="rId386" name="Check Box 397">
              <controlPr defaultSize="0" autoFill="0" autoLine="0" autoPict="0">
                <anchor moveWithCells="1">
                  <from>
                    <xdr:col>4</xdr:col>
                    <xdr:colOff>281940</xdr:colOff>
                    <xdr:row>325</xdr:row>
                    <xdr:rowOff>198120</xdr:rowOff>
                  </from>
                  <to>
                    <xdr:col>4</xdr:col>
                    <xdr:colOff>518160</xdr:colOff>
                    <xdr:row>325</xdr:row>
                    <xdr:rowOff>533400</xdr:rowOff>
                  </to>
                </anchor>
              </controlPr>
            </control>
          </mc:Choice>
        </mc:AlternateContent>
        <mc:AlternateContent xmlns:mc="http://schemas.openxmlformats.org/markup-compatibility/2006">
          <mc:Choice Requires="x14">
            <control shapeId="2446" r:id="rId387" name="Check Box 398">
              <controlPr defaultSize="0" autoFill="0" autoLine="0" autoPict="0">
                <anchor moveWithCells="1">
                  <from>
                    <xdr:col>4</xdr:col>
                    <xdr:colOff>281940</xdr:colOff>
                    <xdr:row>327</xdr:row>
                    <xdr:rowOff>198120</xdr:rowOff>
                  </from>
                  <to>
                    <xdr:col>4</xdr:col>
                    <xdr:colOff>518160</xdr:colOff>
                    <xdr:row>327</xdr:row>
                    <xdr:rowOff>533400</xdr:rowOff>
                  </to>
                </anchor>
              </controlPr>
            </control>
          </mc:Choice>
        </mc:AlternateContent>
        <mc:AlternateContent xmlns:mc="http://schemas.openxmlformats.org/markup-compatibility/2006">
          <mc:Choice Requires="x14">
            <control shapeId="2447" r:id="rId388" name="Check Box 399">
              <controlPr defaultSize="0" autoFill="0" autoLine="0" autoPict="0">
                <anchor moveWithCells="1">
                  <from>
                    <xdr:col>4</xdr:col>
                    <xdr:colOff>281940</xdr:colOff>
                    <xdr:row>327</xdr:row>
                    <xdr:rowOff>198120</xdr:rowOff>
                  </from>
                  <to>
                    <xdr:col>4</xdr:col>
                    <xdr:colOff>518160</xdr:colOff>
                    <xdr:row>327</xdr:row>
                    <xdr:rowOff>533400</xdr:rowOff>
                  </to>
                </anchor>
              </controlPr>
            </control>
          </mc:Choice>
        </mc:AlternateContent>
        <mc:AlternateContent xmlns:mc="http://schemas.openxmlformats.org/markup-compatibility/2006">
          <mc:Choice Requires="x14">
            <control shapeId="2448" r:id="rId389" name="Check Box 400">
              <controlPr defaultSize="0" autoFill="0" autoLine="0" autoPict="0">
                <anchor moveWithCells="1">
                  <from>
                    <xdr:col>4</xdr:col>
                    <xdr:colOff>281940</xdr:colOff>
                    <xdr:row>328</xdr:row>
                    <xdr:rowOff>198120</xdr:rowOff>
                  </from>
                  <to>
                    <xdr:col>4</xdr:col>
                    <xdr:colOff>518160</xdr:colOff>
                    <xdr:row>328</xdr:row>
                    <xdr:rowOff>533400</xdr:rowOff>
                  </to>
                </anchor>
              </controlPr>
            </control>
          </mc:Choice>
        </mc:AlternateContent>
        <mc:AlternateContent xmlns:mc="http://schemas.openxmlformats.org/markup-compatibility/2006">
          <mc:Choice Requires="x14">
            <control shapeId="2449" r:id="rId390" name="Check Box 401">
              <controlPr defaultSize="0" autoFill="0" autoLine="0" autoPict="0">
                <anchor moveWithCells="1">
                  <from>
                    <xdr:col>4</xdr:col>
                    <xdr:colOff>281940</xdr:colOff>
                    <xdr:row>328</xdr:row>
                    <xdr:rowOff>198120</xdr:rowOff>
                  </from>
                  <to>
                    <xdr:col>4</xdr:col>
                    <xdr:colOff>518160</xdr:colOff>
                    <xdr:row>328</xdr:row>
                    <xdr:rowOff>533400</xdr:rowOff>
                  </to>
                </anchor>
              </controlPr>
            </control>
          </mc:Choice>
        </mc:AlternateContent>
        <mc:AlternateContent xmlns:mc="http://schemas.openxmlformats.org/markup-compatibility/2006">
          <mc:Choice Requires="x14">
            <control shapeId="2450" r:id="rId391" name="Check Box 402">
              <controlPr defaultSize="0" autoFill="0" autoLine="0" autoPict="0">
                <anchor moveWithCells="1">
                  <from>
                    <xdr:col>4</xdr:col>
                    <xdr:colOff>281940</xdr:colOff>
                    <xdr:row>330</xdr:row>
                    <xdr:rowOff>198120</xdr:rowOff>
                  </from>
                  <to>
                    <xdr:col>4</xdr:col>
                    <xdr:colOff>518160</xdr:colOff>
                    <xdr:row>330</xdr:row>
                    <xdr:rowOff>533400</xdr:rowOff>
                  </to>
                </anchor>
              </controlPr>
            </control>
          </mc:Choice>
        </mc:AlternateContent>
        <mc:AlternateContent xmlns:mc="http://schemas.openxmlformats.org/markup-compatibility/2006">
          <mc:Choice Requires="x14">
            <control shapeId="2451" r:id="rId392" name="Check Box 403">
              <controlPr defaultSize="0" autoFill="0" autoLine="0" autoPict="0">
                <anchor moveWithCells="1">
                  <from>
                    <xdr:col>4</xdr:col>
                    <xdr:colOff>281940</xdr:colOff>
                    <xdr:row>330</xdr:row>
                    <xdr:rowOff>198120</xdr:rowOff>
                  </from>
                  <to>
                    <xdr:col>4</xdr:col>
                    <xdr:colOff>518160</xdr:colOff>
                    <xdr:row>330</xdr:row>
                    <xdr:rowOff>533400</xdr:rowOff>
                  </to>
                </anchor>
              </controlPr>
            </control>
          </mc:Choice>
        </mc:AlternateContent>
        <mc:AlternateContent xmlns:mc="http://schemas.openxmlformats.org/markup-compatibility/2006">
          <mc:Choice Requires="x14">
            <control shapeId="2452" r:id="rId393" name="Check Box 404">
              <controlPr defaultSize="0" autoFill="0" autoLine="0" autoPict="0">
                <anchor moveWithCells="1">
                  <from>
                    <xdr:col>4</xdr:col>
                    <xdr:colOff>281940</xdr:colOff>
                    <xdr:row>331</xdr:row>
                    <xdr:rowOff>198120</xdr:rowOff>
                  </from>
                  <to>
                    <xdr:col>4</xdr:col>
                    <xdr:colOff>518160</xdr:colOff>
                    <xdr:row>331</xdr:row>
                    <xdr:rowOff>533400</xdr:rowOff>
                  </to>
                </anchor>
              </controlPr>
            </control>
          </mc:Choice>
        </mc:AlternateContent>
        <mc:AlternateContent xmlns:mc="http://schemas.openxmlformats.org/markup-compatibility/2006">
          <mc:Choice Requires="x14">
            <control shapeId="2453" r:id="rId394" name="Check Box 405">
              <controlPr defaultSize="0" autoFill="0" autoLine="0" autoPict="0">
                <anchor moveWithCells="1">
                  <from>
                    <xdr:col>4</xdr:col>
                    <xdr:colOff>281940</xdr:colOff>
                    <xdr:row>331</xdr:row>
                    <xdr:rowOff>198120</xdr:rowOff>
                  </from>
                  <to>
                    <xdr:col>4</xdr:col>
                    <xdr:colOff>518160</xdr:colOff>
                    <xdr:row>331</xdr:row>
                    <xdr:rowOff>533400</xdr:rowOff>
                  </to>
                </anchor>
              </controlPr>
            </control>
          </mc:Choice>
        </mc:AlternateContent>
        <mc:AlternateContent xmlns:mc="http://schemas.openxmlformats.org/markup-compatibility/2006">
          <mc:Choice Requires="x14">
            <control shapeId="2454" r:id="rId395" name="Check Box 406">
              <controlPr defaultSize="0" autoFill="0" autoLine="0" autoPict="0">
                <anchor moveWithCells="1">
                  <from>
                    <xdr:col>4</xdr:col>
                    <xdr:colOff>281940</xdr:colOff>
                    <xdr:row>332</xdr:row>
                    <xdr:rowOff>198120</xdr:rowOff>
                  </from>
                  <to>
                    <xdr:col>4</xdr:col>
                    <xdr:colOff>518160</xdr:colOff>
                    <xdr:row>332</xdr:row>
                    <xdr:rowOff>533400</xdr:rowOff>
                  </to>
                </anchor>
              </controlPr>
            </control>
          </mc:Choice>
        </mc:AlternateContent>
        <mc:AlternateContent xmlns:mc="http://schemas.openxmlformats.org/markup-compatibility/2006">
          <mc:Choice Requires="x14">
            <control shapeId="2455" r:id="rId396" name="Check Box 407">
              <controlPr defaultSize="0" autoFill="0" autoLine="0" autoPict="0">
                <anchor moveWithCells="1">
                  <from>
                    <xdr:col>4</xdr:col>
                    <xdr:colOff>281940</xdr:colOff>
                    <xdr:row>332</xdr:row>
                    <xdr:rowOff>198120</xdr:rowOff>
                  </from>
                  <to>
                    <xdr:col>4</xdr:col>
                    <xdr:colOff>518160</xdr:colOff>
                    <xdr:row>332</xdr:row>
                    <xdr:rowOff>533400</xdr:rowOff>
                  </to>
                </anchor>
              </controlPr>
            </control>
          </mc:Choice>
        </mc:AlternateContent>
        <mc:AlternateContent xmlns:mc="http://schemas.openxmlformats.org/markup-compatibility/2006">
          <mc:Choice Requires="x14">
            <control shapeId="2456" r:id="rId397" name="Check Box 408">
              <controlPr defaultSize="0" autoFill="0" autoLine="0" autoPict="0">
                <anchor moveWithCells="1">
                  <from>
                    <xdr:col>4</xdr:col>
                    <xdr:colOff>281940</xdr:colOff>
                    <xdr:row>334</xdr:row>
                    <xdr:rowOff>198120</xdr:rowOff>
                  </from>
                  <to>
                    <xdr:col>4</xdr:col>
                    <xdr:colOff>518160</xdr:colOff>
                    <xdr:row>334</xdr:row>
                    <xdr:rowOff>533400</xdr:rowOff>
                  </to>
                </anchor>
              </controlPr>
            </control>
          </mc:Choice>
        </mc:AlternateContent>
        <mc:AlternateContent xmlns:mc="http://schemas.openxmlformats.org/markup-compatibility/2006">
          <mc:Choice Requires="x14">
            <control shapeId="2457" r:id="rId398" name="Check Box 409">
              <controlPr defaultSize="0" autoFill="0" autoLine="0" autoPict="0">
                <anchor moveWithCells="1">
                  <from>
                    <xdr:col>4</xdr:col>
                    <xdr:colOff>281940</xdr:colOff>
                    <xdr:row>334</xdr:row>
                    <xdr:rowOff>198120</xdr:rowOff>
                  </from>
                  <to>
                    <xdr:col>4</xdr:col>
                    <xdr:colOff>518160</xdr:colOff>
                    <xdr:row>334</xdr:row>
                    <xdr:rowOff>533400</xdr:rowOff>
                  </to>
                </anchor>
              </controlPr>
            </control>
          </mc:Choice>
        </mc:AlternateContent>
        <mc:AlternateContent xmlns:mc="http://schemas.openxmlformats.org/markup-compatibility/2006">
          <mc:Choice Requires="x14">
            <control shapeId="2458" r:id="rId399" name="Check Box 410">
              <controlPr defaultSize="0" autoFill="0" autoLine="0" autoPict="0">
                <anchor moveWithCells="1">
                  <from>
                    <xdr:col>4</xdr:col>
                    <xdr:colOff>281940</xdr:colOff>
                    <xdr:row>335</xdr:row>
                    <xdr:rowOff>198120</xdr:rowOff>
                  </from>
                  <to>
                    <xdr:col>4</xdr:col>
                    <xdr:colOff>518160</xdr:colOff>
                    <xdr:row>335</xdr:row>
                    <xdr:rowOff>533400</xdr:rowOff>
                  </to>
                </anchor>
              </controlPr>
            </control>
          </mc:Choice>
        </mc:AlternateContent>
        <mc:AlternateContent xmlns:mc="http://schemas.openxmlformats.org/markup-compatibility/2006">
          <mc:Choice Requires="x14">
            <control shapeId="2459" r:id="rId400" name="Check Box 411">
              <controlPr defaultSize="0" autoFill="0" autoLine="0" autoPict="0">
                <anchor moveWithCells="1">
                  <from>
                    <xdr:col>4</xdr:col>
                    <xdr:colOff>281940</xdr:colOff>
                    <xdr:row>335</xdr:row>
                    <xdr:rowOff>198120</xdr:rowOff>
                  </from>
                  <to>
                    <xdr:col>4</xdr:col>
                    <xdr:colOff>518160</xdr:colOff>
                    <xdr:row>335</xdr:row>
                    <xdr:rowOff>533400</xdr:rowOff>
                  </to>
                </anchor>
              </controlPr>
            </control>
          </mc:Choice>
        </mc:AlternateContent>
        <mc:AlternateContent xmlns:mc="http://schemas.openxmlformats.org/markup-compatibility/2006">
          <mc:Choice Requires="x14">
            <control shapeId="2460" r:id="rId401" name="Check Box 412">
              <controlPr defaultSize="0" autoFill="0" autoLine="0" autoPict="0">
                <anchor moveWithCells="1">
                  <from>
                    <xdr:col>4</xdr:col>
                    <xdr:colOff>281940</xdr:colOff>
                    <xdr:row>336</xdr:row>
                    <xdr:rowOff>198120</xdr:rowOff>
                  </from>
                  <to>
                    <xdr:col>4</xdr:col>
                    <xdr:colOff>518160</xdr:colOff>
                    <xdr:row>336</xdr:row>
                    <xdr:rowOff>533400</xdr:rowOff>
                  </to>
                </anchor>
              </controlPr>
            </control>
          </mc:Choice>
        </mc:AlternateContent>
        <mc:AlternateContent xmlns:mc="http://schemas.openxmlformats.org/markup-compatibility/2006">
          <mc:Choice Requires="x14">
            <control shapeId="2461" r:id="rId402" name="Check Box 413">
              <controlPr defaultSize="0" autoFill="0" autoLine="0" autoPict="0">
                <anchor moveWithCells="1">
                  <from>
                    <xdr:col>4</xdr:col>
                    <xdr:colOff>281940</xdr:colOff>
                    <xdr:row>336</xdr:row>
                    <xdr:rowOff>198120</xdr:rowOff>
                  </from>
                  <to>
                    <xdr:col>4</xdr:col>
                    <xdr:colOff>518160</xdr:colOff>
                    <xdr:row>336</xdr:row>
                    <xdr:rowOff>533400</xdr:rowOff>
                  </to>
                </anchor>
              </controlPr>
            </control>
          </mc:Choice>
        </mc:AlternateContent>
        <mc:AlternateContent xmlns:mc="http://schemas.openxmlformats.org/markup-compatibility/2006">
          <mc:Choice Requires="x14">
            <control shapeId="2462" r:id="rId403" name="Check Box 414">
              <controlPr defaultSize="0" autoFill="0" autoLine="0" autoPict="0">
                <anchor moveWithCells="1">
                  <from>
                    <xdr:col>4</xdr:col>
                    <xdr:colOff>281940</xdr:colOff>
                    <xdr:row>337</xdr:row>
                    <xdr:rowOff>198120</xdr:rowOff>
                  </from>
                  <to>
                    <xdr:col>4</xdr:col>
                    <xdr:colOff>518160</xdr:colOff>
                    <xdr:row>337</xdr:row>
                    <xdr:rowOff>533400</xdr:rowOff>
                  </to>
                </anchor>
              </controlPr>
            </control>
          </mc:Choice>
        </mc:AlternateContent>
        <mc:AlternateContent xmlns:mc="http://schemas.openxmlformats.org/markup-compatibility/2006">
          <mc:Choice Requires="x14">
            <control shapeId="2463" r:id="rId404" name="Check Box 415">
              <controlPr defaultSize="0" autoFill="0" autoLine="0" autoPict="0">
                <anchor moveWithCells="1">
                  <from>
                    <xdr:col>4</xdr:col>
                    <xdr:colOff>281940</xdr:colOff>
                    <xdr:row>337</xdr:row>
                    <xdr:rowOff>198120</xdr:rowOff>
                  </from>
                  <to>
                    <xdr:col>4</xdr:col>
                    <xdr:colOff>518160</xdr:colOff>
                    <xdr:row>337</xdr:row>
                    <xdr:rowOff>533400</xdr:rowOff>
                  </to>
                </anchor>
              </controlPr>
            </control>
          </mc:Choice>
        </mc:AlternateContent>
        <mc:AlternateContent xmlns:mc="http://schemas.openxmlformats.org/markup-compatibility/2006">
          <mc:Choice Requires="x14">
            <control shapeId="2464" r:id="rId405" name="Check Box 416">
              <controlPr defaultSize="0" autoFill="0" autoLine="0" autoPict="0">
                <anchor moveWithCells="1">
                  <from>
                    <xdr:col>4</xdr:col>
                    <xdr:colOff>281940</xdr:colOff>
                    <xdr:row>339</xdr:row>
                    <xdr:rowOff>198120</xdr:rowOff>
                  </from>
                  <to>
                    <xdr:col>4</xdr:col>
                    <xdr:colOff>518160</xdr:colOff>
                    <xdr:row>339</xdr:row>
                    <xdr:rowOff>533400</xdr:rowOff>
                  </to>
                </anchor>
              </controlPr>
            </control>
          </mc:Choice>
        </mc:AlternateContent>
        <mc:AlternateContent xmlns:mc="http://schemas.openxmlformats.org/markup-compatibility/2006">
          <mc:Choice Requires="x14">
            <control shapeId="2465" r:id="rId406" name="Check Box 417">
              <controlPr defaultSize="0" autoFill="0" autoLine="0" autoPict="0">
                <anchor moveWithCells="1">
                  <from>
                    <xdr:col>4</xdr:col>
                    <xdr:colOff>281940</xdr:colOff>
                    <xdr:row>339</xdr:row>
                    <xdr:rowOff>198120</xdr:rowOff>
                  </from>
                  <to>
                    <xdr:col>4</xdr:col>
                    <xdr:colOff>518160</xdr:colOff>
                    <xdr:row>339</xdr:row>
                    <xdr:rowOff>533400</xdr:rowOff>
                  </to>
                </anchor>
              </controlPr>
            </control>
          </mc:Choice>
        </mc:AlternateContent>
        <mc:AlternateContent xmlns:mc="http://schemas.openxmlformats.org/markup-compatibility/2006">
          <mc:Choice Requires="x14">
            <control shapeId="2466" r:id="rId407" name="Check Box 418">
              <controlPr defaultSize="0" autoFill="0" autoLine="0" autoPict="0">
                <anchor moveWithCells="1">
                  <from>
                    <xdr:col>4</xdr:col>
                    <xdr:colOff>281940</xdr:colOff>
                    <xdr:row>340</xdr:row>
                    <xdr:rowOff>198120</xdr:rowOff>
                  </from>
                  <to>
                    <xdr:col>4</xdr:col>
                    <xdr:colOff>518160</xdr:colOff>
                    <xdr:row>340</xdr:row>
                    <xdr:rowOff>533400</xdr:rowOff>
                  </to>
                </anchor>
              </controlPr>
            </control>
          </mc:Choice>
        </mc:AlternateContent>
        <mc:AlternateContent xmlns:mc="http://schemas.openxmlformats.org/markup-compatibility/2006">
          <mc:Choice Requires="x14">
            <control shapeId="2467" r:id="rId408" name="Check Box 419">
              <controlPr defaultSize="0" autoFill="0" autoLine="0" autoPict="0">
                <anchor moveWithCells="1">
                  <from>
                    <xdr:col>4</xdr:col>
                    <xdr:colOff>281940</xdr:colOff>
                    <xdr:row>340</xdr:row>
                    <xdr:rowOff>198120</xdr:rowOff>
                  </from>
                  <to>
                    <xdr:col>4</xdr:col>
                    <xdr:colOff>518160</xdr:colOff>
                    <xdr:row>340</xdr:row>
                    <xdr:rowOff>533400</xdr:rowOff>
                  </to>
                </anchor>
              </controlPr>
            </control>
          </mc:Choice>
        </mc:AlternateContent>
        <mc:AlternateContent xmlns:mc="http://schemas.openxmlformats.org/markup-compatibility/2006">
          <mc:Choice Requires="x14">
            <control shapeId="2468" r:id="rId409" name="Check Box 420">
              <controlPr defaultSize="0" autoFill="0" autoLine="0" autoPict="0">
                <anchor moveWithCells="1">
                  <from>
                    <xdr:col>4</xdr:col>
                    <xdr:colOff>281940</xdr:colOff>
                    <xdr:row>341</xdr:row>
                    <xdr:rowOff>198120</xdr:rowOff>
                  </from>
                  <to>
                    <xdr:col>4</xdr:col>
                    <xdr:colOff>518160</xdr:colOff>
                    <xdr:row>341</xdr:row>
                    <xdr:rowOff>533400</xdr:rowOff>
                  </to>
                </anchor>
              </controlPr>
            </control>
          </mc:Choice>
        </mc:AlternateContent>
        <mc:AlternateContent xmlns:mc="http://schemas.openxmlformats.org/markup-compatibility/2006">
          <mc:Choice Requires="x14">
            <control shapeId="2469" r:id="rId410" name="Check Box 421">
              <controlPr defaultSize="0" autoFill="0" autoLine="0" autoPict="0">
                <anchor moveWithCells="1">
                  <from>
                    <xdr:col>4</xdr:col>
                    <xdr:colOff>281940</xdr:colOff>
                    <xdr:row>341</xdr:row>
                    <xdr:rowOff>198120</xdr:rowOff>
                  </from>
                  <to>
                    <xdr:col>4</xdr:col>
                    <xdr:colOff>518160</xdr:colOff>
                    <xdr:row>341</xdr:row>
                    <xdr:rowOff>533400</xdr:rowOff>
                  </to>
                </anchor>
              </controlPr>
            </control>
          </mc:Choice>
        </mc:AlternateContent>
        <mc:AlternateContent xmlns:mc="http://schemas.openxmlformats.org/markup-compatibility/2006">
          <mc:Choice Requires="x14">
            <control shapeId="2470" r:id="rId411" name="Check Box 422">
              <controlPr defaultSize="0" autoFill="0" autoLine="0" autoPict="0">
                <anchor moveWithCells="1">
                  <from>
                    <xdr:col>4</xdr:col>
                    <xdr:colOff>281940</xdr:colOff>
                    <xdr:row>343</xdr:row>
                    <xdr:rowOff>198120</xdr:rowOff>
                  </from>
                  <to>
                    <xdr:col>4</xdr:col>
                    <xdr:colOff>518160</xdr:colOff>
                    <xdr:row>343</xdr:row>
                    <xdr:rowOff>533400</xdr:rowOff>
                  </to>
                </anchor>
              </controlPr>
            </control>
          </mc:Choice>
        </mc:AlternateContent>
        <mc:AlternateContent xmlns:mc="http://schemas.openxmlformats.org/markup-compatibility/2006">
          <mc:Choice Requires="x14">
            <control shapeId="2471" r:id="rId412" name="Check Box 423">
              <controlPr defaultSize="0" autoFill="0" autoLine="0" autoPict="0">
                <anchor moveWithCells="1">
                  <from>
                    <xdr:col>4</xdr:col>
                    <xdr:colOff>281940</xdr:colOff>
                    <xdr:row>343</xdr:row>
                    <xdr:rowOff>198120</xdr:rowOff>
                  </from>
                  <to>
                    <xdr:col>4</xdr:col>
                    <xdr:colOff>518160</xdr:colOff>
                    <xdr:row>343</xdr:row>
                    <xdr:rowOff>533400</xdr:rowOff>
                  </to>
                </anchor>
              </controlPr>
            </control>
          </mc:Choice>
        </mc:AlternateContent>
        <mc:AlternateContent xmlns:mc="http://schemas.openxmlformats.org/markup-compatibility/2006">
          <mc:Choice Requires="x14">
            <control shapeId="2472" r:id="rId413" name="Check Box 424">
              <controlPr defaultSize="0" autoFill="0" autoLine="0" autoPict="0">
                <anchor moveWithCells="1">
                  <from>
                    <xdr:col>4</xdr:col>
                    <xdr:colOff>281940</xdr:colOff>
                    <xdr:row>345</xdr:row>
                    <xdr:rowOff>198120</xdr:rowOff>
                  </from>
                  <to>
                    <xdr:col>4</xdr:col>
                    <xdr:colOff>518160</xdr:colOff>
                    <xdr:row>345</xdr:row>
                    <xdr:rowOff>533400</xdr:rowOff>
                  </to>
                </anchor>
              </controlPr>
            </control>
          </mc:Choice>
        </mc:AlternateContent>
        <mc:AlternateContent xmlns:mc="http://schemas.openxmlformats.org/markup-compatibility/2006">
          <mc:Choice Requires="x14">
            <control shapeId="2473" r:id="rId414" name="Check Box 425">
              <controlPr defaultSize="0" autoFill="0" autoLine="0" autoPict="0">
                <anchor moveWithCells="1">
                  <from>
                    <xdr:col>4</xdr:col>
                    <xdr:colOff>281940</xdr:colOff>
                    <xdr:row>345</xdr:row>
                    <xdr:rowOff>198120</xdr:rowOff>
                  </from>
                  <to>
                    <xdr:col>4</xdr:col>
                    <xdr:colOff>518160</xdr:colOff>
                    <xdr:row>345</xdr:row>
                    <xdr:rowOff>533400</xdr:rowOff>
                  </to>
                </anchor>
              </controlPr>
            </control>
          </mc:Choice>
        </mc:AlternateContent>
        <mc:AlternateContent xmlns:mc="http://schemas.openxmlformats.org/markup-compatibility/2006">
          <mc:Choice Requires="x14">
            <control shapeId="2474" r:id="rId415" name="Check Box 426">
              <controlPr defaultSize="0" autoFill="0" autoLine="0" autoPict="0">
                <anchor moveWithCells="1">
                  <from>
                    <xdr:col>4</xdr:col>
                    <xdr:colOff>281940</xdr:colOff>
                    <xdr:row>346</xdr:row>
                    <xdr:rowOff>198120</xdr:rowOff>
                  </from>
                  <to>
                    <xdr:col>4</xdr:col>
                    <xdr:colOff>518160</xdr:colOff>
                    <xdr:row>346</xdr:row>
                    <xdr:rowOff>533400</xdr:rowOff>
                  </to>
                </anchor>
              </controlPr>
            </control>
          </mc:Choice>
        </mc:AlternateContent>
        <mc:AlternateContent xmlns:mc="http://schemas.openxmlformats.org/markup-compatibility/2006">
          <mc:Choice Requires="x14">
            <control shapeId="2475" r:id="rId416" name="Check Box 427">
              <controlPr defaultSize="0" autoFill="0" autoLine="0" autoPict="0">
                <anchor moveWithCells="1">
                  <from>
                    <xdr:col>4</xdr:col>
                    <xdr:colOff>281940</xdr:colOff>
                    <xdr:row>346</xdr:row>
                    <xdr:rowOff>198120</xdr:rowOff>
                  </from>
                  <to>
                    <xdr:col>4</xdr:col>
                    <xdr:colOff>518160</xdr:colOff>
                    <xdr:row>346</xdr:row>
                    <xdr:rowOff>533400</xdr:rowOff>
                  </to>
                </anchor>
              </controlPr>
            </control>
          </mc:Choice>
        </mc:AlternateContent>
        <mc:AlternateContent xmlns:mc="http://schemas.openxmlformats.org/markup-compatibility/2006">
          <mc:Choice Requires="x14">
            <control shapeId="2476" r:id="rId417" name="Check Box 428">
              <controlPr defaultSize="0" autoFill="0" autoLine="0" autoPict="0">
                <anchor moveWithCells="1">
                  <from>
                    <xdr:col>4</xdr:col>
                    <xdr:colOff>281940</xdr:colOff>
                    <xdr:row>347</xdr:row>
                    <xdr:rowOff>198120</xdr:rowOff>
                  </from>
                  <to>
                    <xdr:col>4</xdr:col>
                    <xdr:colOff>518160</xdr:colOff>
                    <xdr:row>347</xdr:row>
                    <xdr:rowOff>533400</xdr:rowOff>
                  </to>
                </anchor>
              </controlPr>
            </control>
          </mc:Choice>
        </mc:AlternateContent>
        <mc:AlternateContent xmlns:mc="http://schemas.openxmlformats.org/markup-compatibility/2006">
          <mc:Choice Requires="x14">
            <control shapeId="2477" r:id="rId418" name="Check Box 429">
              <controlPr defaultSize="0" autoFill="0" autoLine="0" autoPict="0">
                <anchor moveWithCells="1">
                  <from>
                    <xdr:col>4</xdr:col>
                    <xdr:colOff>281940</xdr:colOff>
                    <xdr:row>347</xdr:row>
                    <xdr:rowOff>198120</xdr:rowOff>
                  </from>
                  <to>
                    <xdr:col>4</xdr:col>
                    <xdr:colOff>518160</xdr:colOff>
                    <xdr:row>347</xdr:row>
                    <xdr:rowOff>533400</xdr:rowOff>
                  </to>
                </anchor>
              </controlPr>
            </control>
          </mc:Choice>
        </mc:AlternateContent>
        <mc:AlternateContent xmlns:mc="http://schemas.openxmlformats.org/markup-compatibility/2006">
          <mc:Choice Requires="x14">
            <control shapeId="2478" r:id="rId419" name="Check Box 430">
              <controlPr defaultSize="0" autoFill="0" autoLine="0" autoPict="0">
                <anchor moveWithCells="1">
                  <from>
                    <xdr:col>4</xdr:col>
                    <xdr:colOff>281940</xdr:colOff>
                    <xdr:row>349</xdr:row>
                    <xdr:rowOff>198120</xdr:rowOff>
                  </from>
                  <to>
                    <xdr:col>4</xdr:col>
                    <xdr:colOff>518160</xdr:colOff>
                    <xdr:row>349</xdr:row>
                    <xdr:rowOff>533400</xdr:rowOff>
                  </to>
                </anchor>
              </controlPr>
            </control>
          </mc:Choice>
        </mc:AlternateContent>
        <mc:AlternateContent xmlns:mc="http://schemas.openxmlformats.org/markup-compatibility/2006">
          <mc:Choice Requires="x14">
            <control shapeId="2479" r:id="rId420" name="Check Box 431">
              <controlPr defaultSize="0" autoFill="0" autoLine="0" autoPict="0">
                <anchor moveWithCells="1">
                  <from>
                    <xdr:col>4</xdr:col>
                    <xdr:colOff>281940</xdr:colOff>
                    <xdr:row>349</xdr:row>
                    <xdr:rowOff>198120</xdr:rowOff>
                  </from>
                  <to>
                    <xdr:col>4</xdr:col>
                    <xdr:colOff>518160</xdr:colOff>
                    <xdr:row>349</xdr:row>
                    <xdr:rowOff>533400</xdr:rowOff>
                  </to>
                </anchor>
              </controlPr>
            </control>
          </mc:Choice>
        </mc:AlternateContent>
        <mc:AlternateContent xmlns:mc="http://schemas.openxmlformats.org/markup-compatibility/2006">
          <mc:Choice Requires="x14">
            <control shapeId="2480" r:id="rId421" name="Check Box 432">
              <controlPr defaultSize="0" autoFill="0" autoLine="0" autoPict="0">
                <anchor moveWithCells="1">
                  <from>
                    <xdr:col>4</xdr:col>
                    <xdr:colOff>281940</xdr:colOff>
                    <xdr:row>350</xdr:row>
                    <xdr:rowOff>198120</xdr:rowOff>
                  </from>
                  <to>
                    <xdr:col>4</xdr:col>
                    <xdr:colOff>518160</xdr:colOff>
                    <xdr:row>350</xdr:row>
                    <xdr:rowOff>533400</xdr:rowOff>
                  </to>
                </anchor>
              </controlPr>
            </control>
          </mc:Choice>
        </mc:AlternateContent>
        <mc:AlternateContent xmlns:mc="http://schemas.openxmlformats.org/markup-compatibility/2006">
          <mc:Choice Requires="x14">
            <control shapeId="2481" r:id="rId422" name="Check Box 433">
              <controlPr defaultSize="0" autoFill="0" autoLine="0" autoPict="0">
                <anchor moveWithCells="1">
                  <from>
                    <xdr:col>4</xdr:col>
                    <xdr:colOff>281940</xdr:colOff>
                    <xdr:row>350</xdr:row>
                    <xdr:rowOff>198120</xdr:rowOff>
                  </from>
                  <to>
                    <xdr:col>4</xdr:col>
                    <xdr:colOff>518160</xdr:colOff>
                    <xdr:row>350</xdr:row>
                    <xdr:rowOff>533400</xdr:rowOff>
                  </to>
                </anchor>
              </controlPr>
            </control>
          </mc:Choice>
        </mc:AlternateContent>
        <mc:AlternateContent xmlns:mc="http://schemas.openxmlformats.org/markup-compatibility/2006">
          <mc:Choice Requires="x14">
            <control shapeId="2482" r:id="rId423" name="Check Box 434">
              <controlPr defaultSize="0" autoFill="0" autoLine="0" autoPict="0">
                <anchor moveWithCells="1">
                  <from>
                    <xdr:col>4</xdr:col>
                    <xdr:colOff>281940</xdr:colOff>
                    <xdr:row>352</xdr:row>
                    <xdr:rowOff>198120</xdr:rowOff>
                  </from>
                  <to>
                    <xdr:col>4</xdr:col>
                    <xdr:colOff>518160</xdr:colOff>
                    <xdr:row>352</xdr:row>
                    <xdr:rowOff>533400</xdr:rowOff>
                  </to>
                </anchor>
              </controlPr>
            </control>
          </mc:Choice>
        </mc:AlternateContent>
        <mc:AlternateContent xmlns:mc="http://schemas.openxmlformats.org/markup-compatibility/2006">
          <mc:Choice Requires="x14">
            <control shapeId="2483" r:id="rId424" name="Check Box 435">
              <controlPr defaultSize="0" autoFill="0" autoLine="0" autoPict="0">
                <anchor moveWithCells="1">
                  <from>
                    <xdr:col>4</xdr:col>
                    <xdr:colOff>281940</xdr:colOff>
                    <xdr:row>352</xdr:row>
                    <xdr:rowOff>198120</xdr:rowOff>
                  </from>
                  <to>
                    <xdr:col>4</xdr:col>
                    <xdr:colOff>518160</xdr:colOff>
                    <xdr:row>352</xdr:row>
                    <xdr:rowOff>533400</xdr:rowOff>
                  </to>
                </anchor>
              </controlPr>
            </control>
          </mc:Choice>
        </mc:AlternateContent>
        <mc:AlternateContent xmlns:mc="http://schemas.openxmlformats.org/markup-compatibility/2006">
          <mc:Choice Requires="x14">
            <control shapeId="2484" r:id="rId425" name="Check Box 436">
              <controlPr defaultSize="0" autoFill="0" autoLine="0" autoPict="0">
                <anchor moveWithCells="1">
                  <from>
                    <xdr:col>4</xdr:col>
                    <xdr:colOff>281940</xdr:colOff>
                    <xdr:row>353</xdr:row>
                    <xdr:rowOff>198120</xdr:rowOff>
                  </from>
                  <to>
                    <xdr:col>4</xdr:col>
                    <xdr:colOff>518160</xdr:colOff>
                    <xdr:row>353</xdr:row>
                    <xdr:rowOff>533400</xdr:rowOff>
                  </to>
                </anchor>
              </controlPr>
            </control>
          </mc:Choice>
        </mc:AlternateContent>
        <mc:AlternateContent xmlns:mc="http://schemas.openxmlformats.org/markup-compatibility/2006">
          <mc:Choice Requires="x14">
            <control shapeId="2485" r:id="rId426" name="Check Box 437">
              <controlPr defaultSize="0" autoFill="0" autoLine="0" autoPict="0">
                <anchor moveWithCells="1">
                  <from>
                    <xdr:col>4</xdr:col>
                    <xdr:colOff>281940</xdr:colOff>
                    <xdr:row>353</xdr:row>
                    <xdr:rowOff>198120</xdr:rowOff>
                  </from>
                  <to>
                    <xdr:col>4</xdr:col>
                    <xdr:colOff>518160</xdr:colOff>
                    <xdr:row>353</xdr:row>
                    <xdr:rowOff>533400</xdr:rowOff>
                  </to>
                </anchor>
              </controlPr>
            </control>
          </mc:Choice>
        </mc:AlternateContent>
        <mc:AlternateContent xmlns:mc="http://schemas.openxmlformats.org/markup-compatibility/2006">
          <mc:Choice Requires="x14">
            <control shapeId="2486" r:id="rId427" name="Check Box 438">
              <controlPr defaultSize="0" autoFill="0" autoLine="0" autoPict="0">
                <anchor moveWithCells="1">
                  <from>
                    <xdr:col>4</xdr:col>
                    <xdr:colOff>281940</xdr:colOff>
                    <xdr:row>354</xdr:row>
                    <xdr:rowOff>198120</xdr:rowOff>
                  </from>
                  <to>
                    <xdr:col>4</xdr:col>
                    <xdr:colOff>518160</xdr:colOff>
                    <xdr:row>354</xdr:row>
                    <xdr:rowOff>533400</xdr:rowOff>
                  </to>
                </anchor>
              </controlPr>
            </control>
          </mc:Choice>
        </mc:AlternateContent>
        <mc:AlternateContent xmlns:mc="http://schemas.openxmlformats.org/markup-compatibility/2006">
          <mc:Choice Requires="x14">
            <control shapeId="2487" r:id="rId428" name="Check Box 439">
              <controlPr defaultSize="0" autoFill="0" autoLine="0" autoPict="0">
                <anchor moveWithCells="1">
                  <from>
                    <xdr:col>4</xdr:col>
                    <xdr:colOff>281940</xdr:colOff>
                    <xdr:row>354</xdr:row>
                    <xdr:rowOff>198120</xdr:rowOff>
                  </from>
                  <to>
                    <xdr:col>4</xdr:col>
                    <xdr:colOff>518160</xdr:colOff>
                    <xdr:row>354</xdr:row>
                    <xdr:rowOff>533400</xdr:rowOff>
                  </to>
                </anchor>
              </controlPr>
            </control>
          </mc:Choice>
        </mc:AlternateContent>
        <mc:AlternateContent xmlns:mc="http://schemas.openxmlformats.org/markup-compatibility/2006">
          <mc:Choice Requires="x14">
            <control shapeId="2488" r:id="rId429" name="Check Box 440">
              <controlPr defaultSize="0" autoFill="0" autoLine="0" autoPict="0">
                <anchor moveWithCells="1">
                  <from>
                    <xdr:col>4</xdr:col>
                    <xdr:colOff>281940</xdr:colOff>
                    <xdr:row>355</xdr:row>
                    <xdr:rowOff>198120</xdr:rowOff>
                  </from>
                  <to>
                    <xdr:col>4</xdr:col>
                    <xdr:colOff>518160</xdr:colOff>
                    <xdr:row>355</xdr:row>
                    <xdr:rowOff>533400</xdr:rowOff>
                  </to>
                </anchor>
              </controlPr>
            </control>
          </mc:Choice>
        </mc:AlternateContent>
        <mc:AlternateContent xmlns:mc="http://schemas.openxmlformats.org/markup-compatibility/2006">
          <mc:Choice Requires="x14">
            <control shapeId="2489" r:id="rId430" name="Check Box 441">
              <controlPr defaultSize="0" autoFill="0" autoLine="0" autoPict="0">
                <anchor moveWithCells="1">
                  <from>
                    <xdr:col>4</xdr:col>
                    <xdr:colOff>281940</xdr:colOff>
                    <xdr:row>355</xdr:row>
                    <xdr:rowOff>198120</xdr:rowOff>
                  </from>
                  <to>
                    <xdr:col>4</xdr:col>
                    <xdr:colOff>518160</xdr:colOff>
                    <xdr:row>355</xdr:row>
                    <xdr:rowOff>533400</xdr:rowOff>
                  </to>
                </anchor>
              </controlPr>
            </control>
          </mc:Choice>
        </mc:AlternateContent>
        <mc:AlternateContent xmlns:mc="http://schemas.openxmlformats.org/markup-compatibility/2006">
          <mc:Choice Requires="x14">
            <control shapeId="2490" r:id="rId431" name="Check Box 442">
              <controlPr defaultSize="0" autoFill="0" autoLine="0" autoPict="0">
                <anchor moveWithCells="1">
                  <from>
                    <xdr:col>4</xdr:col>
                    <xdr:colOff>281940</xdr:colOff>
                    <xdr:row>357</xdr:row>
                    <xdr:rowOff>198120</xdr:rowOff>
                  </from>
                  <to>
                    <xdr:col>4</xdr:col>
                    <xdr:colOff>518160</xdr:colOff>
                    <xdr:row>357</xdr:row>
                    <xdr:rowOff>533400</xdr:rowOff>
                  </to>
                </anchor>
              </controlPr>
            </control>
          </mc:Choice>
        </mc:AlternateContent>
        <mc:AlternateContent xmlns:mc="http://schemas.openxmlformats.org/markup-compatibility/2006">
          <mc:Choice Requires="x14">
            <control shapeId="2491" r:id="rId432" name="Check Box 443">
              <controlPr defaultSize="0" autoFill="0" autoLine="0" autoPict="0">
                <anchor moveWithCells="1">
                  <from>
                    <xdr:col>4</xdr:col>
                    <xdr:colOff>281940</xdr:colOff>
                    <xdr:row>357</xdr:row>
                    <xdr:rowOff>198120</xdr:rowOff>
                  </from>
                  <to>
                    <xdr:col>4</xdr:col>
                    <xdr:colOff>518160</xdr:colOff>
                    <xdr:row>357</xdr:row>
                    <xdr:rowOff>533400</xdr:rowOff>
                  </to>
                </anchor>
              </controlPr>
            </control>
          </mc:Choice>
        </mc:AlternateContent>
        <mc:AlternateContent xmlns:mc="http://schemas.openxmlformats.org/markup-compatibility/2006">
          <mc:Choice Requires="x14">
            <control shapeId="2492" r:id="rId433" name="Check Box 444">
              <controlPr defaultSize="0" autoFill="0" autoLine="0" autoPict="0">
                <anchor moveWithCells="1">
                  <from>
                    <xdr:col>4</xdr:col>
                    <xdr:colOff>281940</xdr:colOff>
                    <xdr:row>358</xdr:row>
                    <xdr:rowOff>198120</xdr:rowOff>
                  </from>
                  <to>
                    <xdr:col>4</xdr:col>
                    <xdr:colOff>518160</xdr:colOff>
                    <xdr:row>358</xdr:row>
                    <xdr:rowOff>533400</xdr:rowOff>
                  </to>
                </anchor>
              </controlPr>
            </control>
          </mc:Choice>
        </mc:AlternateContent>
        <mc:AlternateContent xmlns:mc="http://schemas.openxmlformats.org/markup-compatibility/2006">
          <mc:Choice Requires="x14">
            <control shapeId="2493" r:id="rId434" name="Check Box 445">
              <controlPr defaultSize="0" autoFill="0" autoLine="0" autoPict="0">
                <anchor moveWithCells="1">
                  <from>
                    <xdr:col>4</xdr:col>
                    <xdr:colOff>281940</xdr:colOff>
                    <xdr:row>358</xdr:row>
                    <xdr:rowOff>198120</xdr:rowOff>
                  </from>
                  <to>
                    <xdr:col>4</xdr:col>
                    <xdr:colOff>518160</xdr:colOff>
                    <xdr:row>358</xdr:row>
                    <xdr:rowOff>533400</xdr:rowOff>
                  </to>
                </anchor>
              </controlPr>
            </control>
          </mc:Choice>
        </mc:AlternateContent>
        <mc:AlternateContent xmlns:mc="http://schemas.openxmlformats.org/markup-compatibility/2006">
          <mc:Choice Requires="x14">
            <control shapeId="2494" r:id="rId435" name="Check Box 446">
              <controlPr defaultSize="0" autoFill="0" autoLine="0" autoPict="0">
                <anchor moveWithCells="1">
                  <from>
                    <xdr:col>4</xdr:col>
                    <xdr:colOff>281940</xdr:colOff>
                    <xdr:row>359</xdr:row>
                    <xdr:rowOff>198120</xdr:rowOff>
                  </from>
                  <to>
                    <xdr:col>4</xdr:col>
                    <xdr:colOff>518160</xdr:colOff>
                    <xdr:row>359</xdr:row>
                    <xdr:rowOff>533400</xdr:rowOff>
                  </to>
                </anchor>
              </controlPr>
            </control>
          </mc:Choice>
        </mc:AlternateContent>
        <mc:AlternateContent xmlns:mc="http://schemas.openxmlformats.org/markup-compatibility/2006">
          <mc:Choice Requires="x14">
            <control shapeId="2495" r:id="rId436" name="Check Box 447">
              <controlPr defaultSize="0" autoFill="0" autoLine="0" autoPict="0">
                <anchor moveWithCells="1">
                  <from>
                    <xdr:col>4</xdr:col>
                    <xdr:colOff>281940</xdr:colOff>
                    <xdr:row>359</xdr:row>
                    <xdr:rowOff>198120</xdr:rowOff>
                  </from>
                  <to>
                    <xdr:col>4</xdr:col>
                    <xdr:colOff>518160</xdr:colOff>
                    <xdr:row>359</xdr:row>
                    <xdr:rowOff>533400</xdr:rowOff>
                  </to>
                </anchor>
              </controlPr>
            </control>
          </mc:Choice>
        </mc:AlternateContent>
        <mc:AlternateContent xmlns:mc="http://schemas.openxmlformats.org/markup-compatibility/2006">
          <mc:Choice Requires="x14">
            <control shapeId="2496" r:id="rId437" name="Check Box 448">
              <controlPr defaultSize="0" autoFill="0" autoLine="0" autoPict="0">
                <anchor moveWithCells="1">
                  <from>
                    <xdr:col>4</xdr:col>
                    <xdr:colOff>281940</xdr:colOff>
                    <xdr:row>360</xdr:row>
                    <xdr:rowOff>198120</xdr:rowOff>
                  </from>
                  <to>
                    <xdr:col>4</xdr:col>
                    <xdr:colOff>518160</xdr:colOff>
                    <xdr:row>360</xdr:row>
                    <xdr:rowOff>533400</xdr:rowOff>
                  </to>
                </anchor>
              </controlPr>
            </control>
          </mc:Choice>
        </mc:AlternateContent>
        <mc:AlternateContent xmlns:mc="http://schemas.openxmlformats.org/markup-compatibility/2006">
          <mc:Choice Requires="x14">
            <control shapeId="2497" r:id="rId438" name="Check Box 449">
              <controlPr defaultSize="0" autoFill="0" autoLine="0" autoPict="0">
                <anchor moveWithCells="1">
                  <from>
                    <xdr:col>4</xdr:col>
                    <xdr:colOff>281940</xdr:colOff>
                    <xdr:row>360</xdr:row>
                    <xdr:rowOff>198120</xdr:rowOff>
                  </from>
                  <to>
                    <xdr:col>4</xdr:col>
                    <xdr:colOff>518160</xdr:colOff>
                    <xdr:row>360</xdr:row>
                    <xdr:rowOff>533400</xdr:rowOff>
                  </to>
                </anchor>
              </controlPr>
            </control>
          </mc:Choice>
        </mc:AlternateContent>
        <mc:AlternateContent xmlns:mc="http://schemas.openxmlformats.org/markup-compatibility/2006">
          <mc:Choice Requires="x14">
            <control shapeId="2498" r:id="rId439" name="Check Box 450">
              <controlPr defaultSize="0" autoFill="0" autoLine="0" autoPict="0">
                <anchor moveWithCells="1">
                  <from>
                    <xdr:col>4</xdr:col>
                    <xdr:colOff>281940</xdr:colOff>
                    <xdr:row>365</xdr:row>
                    <xdr:rowOff>198120</xdr:rowOff>
                  </from>
                  <to>
                    <xdr:col>4</xdr:col>
                    <xdr:colOff>518160</xdr:colOff>
                    <xdr:row>365</xdr:row>
                    <xdr:rowOff>533400</xdr:rowOff>
                  </to>
                </anchor>
              </controlPr>
            </control>
          </mc:Choice>
        </mc:AlternateContent>
        <mc:AlternateContent xmlns:mc="http://schemas.openxmlformats.org/markup-compatibility/2006">
          <mc:Choice Requires="x14">
            <control shapeId="2499" r:id="rId440" name="Check Box 451">
              <controlPr defaultSize="0" autoFill="0" autoLine="0" autoPict="0">
                <anchor moveWithCells="1">
                  <from>
                    <xdr:col>4</xdr:col>
                    <xdr:colOff>281940</xdr:colOff>
                    <xdr:row>365</xdr:row>
                    <xdr:rowOff>198120</xdr:rowOff>
                  </from>
                  <to>
                    <xdr:col>4</xdr:col>
                    <xdr:colOff>518160</xdr:colOff>
                    <xdr:row>365</xdr:row>
                    <xdr:rowOff>533400</xdr:rowOff>
                  </to>
                </anchor>
              </controlPr>
            </control>
          </mc:Choice>
        </mc:AlternateContent>
        <mc:AlternateContent xmlns:mc="http://schemas.openxmlformats.org/markup-compatibility/2006">
          <mc:Choice Requires="x14">
            <control shapeId="2500" r:id="rId441" name="Check Box 452">
              <controlPr defaultSize="0" autoFill="0" autoLine="0" autoPict="0">
                <anchor moveWithCells="1">
                  <from>
                    <xdr:col>4</xdr:col>
                    <xdr:colOff>281940</xdr:colOff>
                    <xdr:row>366</xdr:row>
                    <xdr:rowOff>198120</xdr:rowOff>
                  </from>
                  <to>
                    <xdr:col>4</xdr:col>
                    <xdr:colOff>518160</xdr:colOff>
                    <xdr:row>366</xdr:row>
                    <xdr:rowOff>533400</xdr:rowOff>
                  </to>
                </anchor>
              </controlPr>
            </control>
          </mc:Choice>
        </mc:AlternateContent>
        <mc:AlternateContent xmlns:mc="http://schemas.openxmlformats.org/markup-compatibility/2006">
          <mc:Choice Requires="x14">
            <control shapeId="2501" r:id="rId442" name="Check Box 453">
              <controlPr defaultSize="0" autoFill="0" autoLine="0" autoPict="0">
                <anchor moveWithCells="1">
                  <from>
                    <xdr:col>4</xdr:col>
                    <xdr:colOff>281940</xdr:colOff>
                    <xdr:row>366</xdr:row>
                    <xdr:rowOff>198120</xdr:rowOff>
                  </from>
                  <to>
                    <xdr:col>4</xdr:col>
                    <xdr:colOff>518160</xdr:colOff>
                    <xdr:row>366</xdr:row>
                    <xdr:rowOff>533400</xdr:rowOff>
                  </to>
                </anchor>
              </controlPr>
            </control>
          </mc:Choice>
        </mc:AlternateContent>
        <mc:AlternateContent xmlns:mc="http://schemas.openxmlformats.org/markup-compatibility/2006">
          <mc:Choice Requires="x14">
            <control shapeId="2502" r:id="rId443" name="Check Box 454">
              <controlPr defaultSize="0" autoFill="0" autoLine="0" autoPict="0">
                <anchor moveWithCells="1">
                  <from>
                    <xdr:col>4</xdr:col>
                    <xdr:colOff>281940</xdr:colOff>
                    <xdr:row>368</xdr:row>
                    <xdr:rowOff>198120</xdr:rowOff>
                  </from>
                  <to>
                    <xdr:col>4</xdr:col>
                    <xdr:colOff>518160</xdr:colOff>
                    <xdr:row>368</xdr:row>
                    <xdr:rowOff>533400</xdr:rowOff>
                  </to>
                </anchor>
              </controlPr>
            </control>
          </mc:Choice>
        </mc:AlternateContent>
        <mc:AlternateContent xmlns:mc="http://schemas.openxmlformats.org/markup-compatibility/2006">
          <mc:Choice Requires="x14">
            <control shapeId="2503" r:id="rId444" name="Check Box 455">
              <controlPr defaultSize="0" autoFill="0" autoLine="0" autoPict="0">
                <anchor moveWithCells="1">
                  <from>
                    <xdr:col>4</xdr:col>
                    <xdr:colOff>281940</xdr:colOff>
                    <xdr:row>368</xdr:row>
                    <xdr:rowOff>198120</xdr:rowOff>
                  </from>
                  <to>
                    <xdr:col>4</xdr:col>
                    <xdr:colOff>518160</xdr:colOff>
                    <xdr:row>368</xdr:row>
                    <xdr:rowOff>533400</xdr:rowOff>
                  </to>
                </anchor>
              </controlPr>
            </control>
          </mc:Choice>
        </mc:AlternateContent>
        <mc:AlternateContent xmlns:mc="http://schemas.openxmlformats.org/markup-compatibility/2006">
          <mc:Choice Requires="x14">
            <control shapeId="2504" r:id="rId445" name="Check Box 456">
              <controlPr defaultSize="0" autoFill="0" autoLine="0" autoPict="0">
                <anchor moveWithCells="1">
                  <from>
                    <xdr:col>4</xdr:col>
                    <xdr:colOff>281940</xdr:colOff>
                    <xdr:row>369</xdr:row>
                    <xdr:rowOff>198120</xdr:rowOff>
                  </from>
                  <to>
                    <xdr:col>4</xdr:col>
                    <xdr:colOff>518160</xdr:colOff>
                    <xdr:row>369</xdr:row>
                    <xdr:rowOff>533400</xdr:rowOff>
                  </to>
                </anchor>
              </controlPr>
            </control>
          </mc:Choice>
        </mc:AlternateContent>
        <mc:AlternateContent xmlns:mc="http://schemas.openxmlformats.org/markup-compatibility/2006">
          <mc:Choice Requires="x14">
            <control shapeId="2505" r:id="rId446" name="Check Box 457">
              <controlPr defaultSize="0" autoFill="0" autoLine="0" autoPict="0">
                <anchor moveWithCells="1">
                  <from>
                    <xdr:col>4</xdr:col>
                    <xdr:colOff>281940</xdr:colOff>
                    <xdr:row>369</xdr:row>
                    <xdr:rowOff>198120</xdr:rowOff>
                  </from>
                  <to>
                    <xdr:col>4</xdr:col>
                    <xdr:colOff>518160</xdr:colOff>
                    <xdr:row>369</xdr:row>
                    <xdr:rowOff>533400</xdr:rowOff>
                  </to>
                </anchor>
              </controlPr>
            </control>
          </mc:Choice>
        </mc:AlternateContent>
        <mc:AlternateContent xmlns:mc="http://schemas.openxmlformats.org/markup-compatibility/2006">
          <mc:Choice Requires="x14">
            <control shapeId="2506" r:id="rId447" name="Check Box 458">
              <controlPr defaultSize="0" autoFill="0" autoLine="0" autoPict="0">
                <anchor moveWithCells="1">
                  <from>
                    <xdr:col>4</xdr:col>
                    <xdr:colOff>281940</xdr:colOff>
                    <xdr:row>370</xdr:row>
                    <xdr:rowOff>198120</xdr:rowOff>
                  </from>
                  <to>
                    <xdr:col>4</xdr:col>
                    <xdr:colOff>518160</xdr:colOff>
                    <xdr:row>370</xdr:row>
                    <xdr:rowOff>533400</xdr:rowOff>
                  </to>
                </anchor>
              </controlPr>
            </control>
          </mc:Choice>
        </mc:AlternateContent>
        <mc:AlternateContent xmlns:mc="http://schemas.openxmlformats.org/markup-compatibility/2006">
          <mc:Choice Requires="x14">
            <control shapeId="2507" r:id="rId448" name="Check Box 459">
              <controlPr defaultSize="0" autoFill="0" autoLine="0" autoPict="0">
                <anchor moveWithCells="1">
                  <from>
                    <xdr:col>4</xdr:col>
                    <xdr:colOff>281940</xdr:colOff>
                    <xdr:row>370</xdr:row>
                    <xdr:rowOff>198120</xdr:rowOff>
                  </from>
                  <to>
                    <xdr:col>4</xdr:col>
                    <xdr:colOff>518160</xdr:colOff>
                    <xdr:row>370</xdr:row>
                    <xdr:rowOff>533400</xdr:rowOff>
                  </to>
                </anchor>
              </controlPr>
            </control>
          </mc:Choice>
        </mc:AlternateContent>
        <mc:AlternateContent xmlns:mc="http://schemas.openxmlformats.org/markup-compatibility/2006">
          <mc:Choice Requires="x14">
            <control shapeId="2508" r:id="rId449" name="Check Box 460">
              <controlPr defaultSize="0" autoFill="0" autoLine="0" autoPict="0">
                <anchor moveWithCells="1">
                  <from>
                    <xdr:col>4</xdr:col>
                    <xdr:colOff>281940</xdr:colOff>
                    <xdr:row>372</xdr:row>
                    <xdr:rowOff>198120</xdr:rowOff>
                  </from>
                  <to>
                    <xdr:col>4</xdr:col>
                    <xdr:colOff>518160</xdr:colOff>
                    <xdr:row>372</xdr:row>
                    <xdr:rowOff>533400</xdr:rowOff>
                  </to>
                </anchor>
              </controlPr>
            </control>
          </mc:Choice>
        </mc:AlternateContent>
        <mc:AlternateContent xmlns:mc="http://schemas.openxmlformats.org/markup-compatibility/2006">
          <mc:Choice Requires="x14">
            <control shapeId="2509" r:id="rId450" name="Check Box 461">
              <controlPr defaultSize="0" autoFill="0" autoLine="0" autoPict="0">
                <anchor moveWithCells="1">
                  <from>
                    <xdr:col>4</xdr:col>
                    <xdr:colOff>281940</xdr:colOff>
                    <xdr:row>372</xdr:row>
                    <xdr:rowOff>198120</xdr:rowOff>
                  </from>
                  <to>
                    <xdr:col>4</xdr:col>
                    <xdr:colOff>518160</xdr:colOff>
                    <xdr:row>372</xdr:row>
                    <xdr:rowOff>533400</xdr:rowOff>
                  </to>
                </anchor>
              </controlPr>
            </control>
          </mc:Choice>
        </mc:AlternateContent>
        <mc:AlternateContent xmlns:mc="http://schemas.openxmlformats.org/markup-compatibility/2006">
          <mc:Choice Requires="x14">
            <control shapeId="2510" r:id="rId451" name="Check Box 462">
              <controlPr defaultSize="0" autoFill="0" autoLine="0" autoPict="0">
                <anchor moveWithCells="1">
                  <from>
                    <xdr:col>4</xdr:col>
                    <xdr:colOff>281940</xdr:colOff>
                    <xdr:row>373</xdr:row>
                    <xdr:rowOff>198120</xdr:rowOff>
                  </from>
                  <to>
                    <xdr:col>4</xdr:col>
                    <xdr:colOff>518160</xdr:colOff>
                    <xdr:row>373</xdr:row>
                    <xdr:rowOff>533400</xdr:rowOff>
                  </to>
                </anchor>
              </controlPr>
            </control>
          </mc:Choice>
        </mc:AlternateContent>
        <mc:AlternateContent xmlns:mc="http://schemas.openxmlformats.org/markup-compatibility/2006">
          <mc:Choice Requires="x14">
            <control shapeId="2511" r:id="rId452" name="Check Box 463">
              <controlPr defaultSize="0" autoFill="0" autoLine="0" autoPict="0">
                <anchor moveWithCells="1">
                  <from>
                    <xdr:col>4</xdr:col>
                    <xdr:colOff>281940</xdr:colOff>
                    <xdr:row>373</xdr:row>
                    <xdr:rowOff>198120</xdr:rowOff>
                  </from>
                  <to>
                    <xdr:col>4</xdr:col>
                    <xdr:colOff>518160</xdr:colOff>
                    <xdr:row>373</xdr:row>
                    <xdr:rowOff>533400</xdr:rowOff>
                  </to>
                </anchor>
              </controlPr>
            </control>
          </mc:Choice>
        </mc:AlternateContent>
        <mc:AlternateContent xmlns:mc="http://schemas.openxmlformats.org/markup-compatibility/2006">
          <mc:Choice Requires="x14">
            <control shapeId="2512" r:id="rId453" name="Check Box 464">
              <controlPr defaultSize="0" autoFill="0" autoLine="0" autoPict="0">
                <anchor moveWithCells="1">
                  <from>
                    <xdr:col>4</xdr:col>
                    <xdr:colOff>281940</xdr:colOff>
                    <xdr:row>375</xdr:row>
                    <xdr:rowOff>198120</xdr:rowOff>
                  </from>
                  <to>
                    <xdr:col>4</xdr:col>
                    <xdr:colOff>518160</xdr:colOff>
                    <xdr:row>375</xdr:row>
                    <xdr:rowOff>533400</xdr:rowOff>
                  </to>
                </anchor>
              </controlPr>
            </control>
          </mc:Choice>
        </mc:AlternateContent>
        <mc:AlternateContent xmlns:mc="http://schemas.openxmlformats.org/markup-compatibility/2006">
          <mc:Choice Requires="x14">
            <control shapeId="2513" r:id="rId454" name="Check Box 465">
              <controlPr defaultSize="0" autoFill="0" autoLine="0" autoPict="0">
                <anchor moveWithCells="1">
                  <from>
                    <xdr:col>4</xdr:col>
                    <xdr:colOff>281940</xdr:colOff>
                    <xdr:row>375</xdr:row>
                    <xdr:rowOff>198120</xdr:rowOff>
                  </from>
                  <to>
                    <xdr:col>4</xdr:col>
                    <xdr:colOff>518160</xdr:colOff>
                    <xdr:row>375</xdr:row>
                    <xdr:rowOff>533400</xdr:rowOff>
                  </to>
                </anchor>
              </controlPr>
            </control>
          </mc:Choice>
        </mc:AlternateContent>
        <mc:AlternateContent xmlns:mc="http://schemas.openxmlformats.org/markup-compatibility/2006">
          <mc:Choice Requires="x14">
            <control shapeId="2514" r:id="rId455" name="Check Box 466">
              <controlPr defaultSize="0" autoFill="0" autoLine="0" autoPict="0">
                <anchor moveWithCells="1">
                  <from>
                    <xdr:col>4</xdr:col>
                    <xdr:colOff>281940</xdr:colOff>
                    <xdr:row>376</xdr:row>
                    <xdr:rowOff>198120</xdr:rowOff>
                  </from>
                  <to>
                    <xdr:col>4</xdr:col>
                    <xdr:colOff>518160</xdr:colOff>
                    <xdr:row>376</xdr:row>
                    <xdr:rowOff>533400</xdr:rowOff>
                  </to>
                </anchor>
              </controlPr>
            </control>
          </mc:Choice>
        </mc:AlternateContent>
        <mc:AlternateContent xmlns:mc="http://schemas.openxmlformats.org/markup-compatibility/2006">
          <mc:Choice Requires="x14">
            <control shapeId="2515" r:id="rId456" name="Check Box 467">
              <controlPr defaultSize="0" autoFill="0" autoLine="0" autoPict="0">
                <anchor moveWithCells="1">
                  <from>
                    <xdr:col>4</xdr:col>
                    <xdr:colOff>281940</xdr:colOff>
                    <xdr:row>376</xdr:row>
                    <xdr:rowOff>198120</xdr:rowOff>
                  </from>
                  <to>
                    <xdr:col>4</xdr:col>
                    <xdr:colOff>518160</xdr:colOff>
                    <xdr:row>376</xdr:row>
                    <xdr:rowOff>533400</xdr:rowOff>
                  </to>
                </anchor>
              </controlPr>
            </control>
          </mc:Choice>
        </mc:AlternateContent>
        <mc:AlternateContent xmlns:mc="http://schemas.openxmlformats.org/markup-compatibility/2006">
          <mc:Choice Requires="x14">
            <control shapeId="2516" r:id="rId457" name="Check Box 468">
              <controlPr defaultSize="0" autoFill="0" autoLine="0" autoPict="0">
                <anchor moveWithCells="1">
                  <from>
                    <xdr:col>4</xdr:col>
                    <xdr:colOff>281940</xdr:colOff>
                    <xdr:row>378</xdr:row>
                    <xdr:rowOff>198120</xdr:rowOff>
                  </from>
                  <to>
                    <xdr:col>4</xdr:col>
                    <xdr:colOff>518160</xdr:colOff>
                    <xdr:row>378</xdr:row>
                    <xdr:rowOff>533400</xdr:rowOff>
                  </to>
                </anchor>
              </controlPr>
            </control>
          </mc:Choice>
        </mc:AlternateContent>
        <mc:AlternateContent xmlns:mc="http://schemas.openxmlformats.org/markup-compatibility/2006">
          <mc:Choice Requires="x14">
            <control shapeId="2517" r:id="rId458" name="Check Box 469">
              <controlPr defaultSize="0" autoFill="0" autoLine="0" autoPict="0">
                <anchor moveWithCells="1">
                  <from>
                    <xdr:col>4</xdr:col>
                    <xdr:colOff>281940</xdr:colOff>
                    <xdr:row>378</xdr:row>
                    <xdr:rowOff>198120</xdr:rowOff>
                  </from>
                  <to>
                    <xdr:col>4</xdr:col>
                    <xdr:colOff>518160</xdr:colOff>
                    <xdr:row>378</xdr:row>
                    <xdr:rowOff>533400</xdr:rowOff>
                  </to>
                </anchor>
              </controlPr>
            </control>
          </mc:Choice>
        </mc:AlternateContent>
        <mc:AlternateContent xmlns:mc="http://schemas.openxmlformats.org/markup-compatibility/2006">
          <mc:Choice Requires="x14">
            <control shapeId="2518" r:id="rId459" name="Check Box 470">
              <controlPr defaultSize="0" autoFill="0" autoLine="0" autoPict="0">
                <anchor moveWithCells="1">
                  <from>
                    <xdr:col>4</xdr:col>
                    <xdr:colOff>281940</xdr:colOff>
                    <xdr:row>379</xdr:row>
                    <xdr:rowOff>198120</xdr:rowOff>
                  </from>
                  <to>
                    <xdr:col>4</xdr:col>
                    <xdr:colOff>518160</xdr:colOff>
                    <xdr:row>379</xdr:row>
                    <xdr:rowOff>533400</xdr:rowOff>
                  </to>
                </anchor>
              </controlPr>
            </control>
          </mc:Choice>
        </mc:AlternateContent>
        <mc:AlternateContent xmlns:mc="http://schemas.openxmlformats.org/markup-compatibility/2006">
          <mc:Choice Requires="x14">
            <control shapeId="2519" r:id="rId460" name="Check Box 471">
              <controlPr defaultSize="0" autoFill="0" autoLine="0" autoPict="0">
                <anchor moveWithCells="1">
                  <from>
                    <xdr:col>4</xdr:col>
                    <xdr:colOff>281940</xdr:colOff>
                    <xdr:row>379</xdr:row>
                    <xdr:rowOff>198120</xdr:rowOff>
                  </from>
                  <to>
                    <xdr:col>4</xdr:col>
                    <xdr:colOff>518160</xdr:colOff>
                    <xdr:row>379</xdr:row>
                    <xdr:rowOff>533400</xdr:rowOff>
                  </to>
                </anchor>
              </controlPr>
            </control>
          </mc:Choice>
        </mc:AlternateContent>
        <mc:AlternateContent xmlns:mc="http://schemas.openxmlformats.org/markup-compatibility/2006">
          <mc:Choice Requires="x14">
            <control shapeId="2520" r:id="rId461" name="Check Box 472">
              <controlPr defaultSize="0" autoFill="0" autoLine="0" autoPict="0">
                <anchor moveWithCells="1">
                  <from>
                    <xdr:col>4</xdr:col>
                    <xdr:colOff>281940</xdr:colOff>
                    <xdr:row>381</xdr:row>
                    <xdr:rowOff>198120</xdr:rowOff>
                  </from>
                  <to>
                    <xdr:col>4</xdr:col>
                    <xdr:colOff>518160</xdr:colOff>
                    <xdr:row>381</xdr:row>
                    <xdr:rowOff>533400</xdr:rowOff>
                  </to>
                </anchor>
              </controlPr>
            </control>
          </mc:Choice>
        </mc:AlternateContent>
        <mc:AlternateContent xmlns:mc="http://schemas.openxmlformats.org/markup-compatibility/2006">
          <mc:Choice Requires="x14">
            <control shapeId="2521" r:id="rId462" name="Check Box 473">
              <controlPr defaultSize="0" autoFill="0" autoLine="0" autoPict="0">
                <anchor moveWithCells="1">
                  <from>
                    <xdr:col>4</xdr:col>
                    <xdr:colOff>281940</xdr:colOff>
                    <xdr:row>381</xdr:row>
                    <xdr:rowOff>198120</xdr:rowOff>
                  </from>
                  <to>
                    <xdr:col>4</xdr:col>
                    <xdr:colOff>518160</xdr:colOff>
                    <xdr:row>381</xdr:row>
                    <xdr:rowOff>533400</xdr:rowOff>
                  </to>
                </anchor>
              </controlPr>
            </control>
          </mc:Choice>
        </mc:AlternateContent>
        <mc:AlternateContent xmlns:mc="http://schemas.openxmlformats.org/markup-compatibility/2006">
          <mc:Choice Requires="x14">
            <control shapeId="2522" r:id="rId463" name="Check Box 474">
              <controlPr defaultSize="0" autoFill="0" autoLine="0" autoPict="0">
                <anchor moveWithCells="1">
                  <from>
                    <xdr:col>4</xdr:col>
                    <xdr:colOff>281940</xdr:colOff>
                    <xdr:row>382</xdr:row>
                    <xdr:rowOff>198120</xdr:rowOff>
                  </from>
                  <to>
                    <xdr:col>4</xdr:col>
                    <xdr:colOff>518160</xdr:colOff>
                    <xdr:row>382</xdr:row>
                    <xdr:rowOff>533400</xdr:rowOff>
                  </to>
                </anchor>
              </controlPr>
            </control>
          </mc:Choice>
        </mc:AlternateContent>
        <mc:AlternateContent xmlns:mc="http://schemas.openxmlformats.org/markup-compatibility/2006">
          <mc:Choice Requires="x14">
            <control shapeId="2523" r:id="rId464" name="Check Box 475">
              <controlPr defaultSize="0" autoFill="0" autoLine="0" autoPict="0">
                <anchor moveWithCells="1">
                  <from>
                    <xdr:col>4</xdr:col>
                    <xdr:colOff>281940</xdr:colOff>
                    <xdr:row>382</xdr:row>
                    <xdr:rowOff>198120</xdr:rowOff>
                  </from>
                  <to>
                    <xdr:col>4</xdr:col>
                    <xdr:colOff>518160</xdr:colOff>
                    <xdr:row>382</xdr:row>
                    <xdr:rowOff>533400</xdr:rowOff>
                  </to>
                </anchor>
              </controlPr>
            </control>
          </mc:Choice>
        </mc:AlternateContent>
        <mc:AlternateContent xmlns:mc="http://schemas.openxmlformats.org/markup-compatibility/2006">
          <mc:Choice Requires="x14">
            <control shapeId="2524" r:id="rId465" name="Check Box 476">
              <controlPr defaultSize="0" autoFill="0" autoLine="0" autoPict="0">
                <anchor moveWithCells="1">
                  <from>
                    <xdr:col>4</xdr:col>
                    <xdr:colOff>281940</xdr:colOff>
                    <xdr:row>384</xdr:row>
                    <xdr:rowOff>198120</xdr:rowOff>
                  </from>
                  <to>
                    <xdr:col>4</xdr:col>
                    <xdr:colOff>518160</xdr:colOff>
                    <xdr:row>384</xdr:row>
                    <xdr:rowOff>533400</xdr:rowOff>
                  </to>
                </anchor>
              </controlPr>
            </control>
          </mc:Choice>
        </mc:AlternateContent>
        <mc:AlternateContent xmlns:mc="http://schemas.openxmlformats.org/markup-compatibility/2006">
          <mc:Choice Requires="x14">
            <control shapeId="2525" r:id="rId466" name="Check Box 477">
              <controlPr defaultSize="0" autoFill="0" autoLine="0" autoPict="0">
                <anchor moveWithCells="1">
                  <from>
                    <xdr:col>4</xdr:col>
                    <xdr:colOff>281940</xdr:colOff>
                    <xdr:row>384</xdr:row>
                    <xdr:rowOff>198120</xdr:rowOff>
                  </from>
                  <to>
                    <xdr:col>4</xdr:col>
                    <xdr:colOff>518160</xdr:colOff>
                    <xdr:row>384</xdr:row>
                    <xdr:rowOff>533400</xdr:rowOff>
                  </to>
                </anchor>
              </controlPr>
            </control>
          </mc:Choice>
        </mc:AlternateContent>
        <mc:AlternateContent xmlns:mc="http://schemas.openxmlformats.org/markup-compatibility/2006">
          <mc:Choice Requires="x14">
            <control shapeId="2526" r:id="rId467" name="Check Box 478">
              <controlPr defaultSize="0" autoFill="0" autoLine="0" autoPict="0">
                <anchor moveWithCells="1">
                  <from>
                    <xdr:col>4</xdr:col>
                    <xdr:colOff>281940</xdr:colOff>
                    <xdr:row>385</xdr:row>
                    <xdr:rowOff>198120</xdr:rowOff>
                  </from>
                  <to>
                    <xdr:col>4</xdr:col>
                    <xdr:colOff>518160</xdr:colOff>
                    <xdr:row>385</xdr:row>
                    <xdr:rowOff>533400</xdr:rowOff>
                  </to>
                </anchor>
              </controlPr>
            </control>
          </mc:Choice>
        </mc:AlternateContent>
        <mc:AlternateContent xmlns:mc="http://schemas.openxmlformats.org/markup-compatibility/2006">
          <mc:Choice Requires="x14">
            <control shapeId="2527" r:id="rId468" name="Check Box 479">
              <controlPr defaultSize="0" autoFill="0" autoLine="0" autoPict="0">
                <anchor moveWithCells="1">
                  <from>
                    <xdr:col>4</xdr:col>
                    <xdr:colOff>281940</xdr:colOff>
                    <xdr:row>385</xdr:row>
                    <xdr:rowOff>198120</xdr:rowOff>
                  </from>
                  <to>
                    <xdr:col>4</xdr:col>
                    <xdr:colOff>518160</xdr:colOff>
                    <xdr:row>385</xdr:row>
                    <xdr:rowOff>533400</xdr:rowOff>
                  </to>
                </anchor>
              </controlPr>
            </control>
          </mc:Choice>
        </mc:AlternateContent>
        <mc:AlternateContent xmlns:mc="http://schemas.openxmlformats.org/markup-compatibility/2006">
          <mc:Choice Requires="x14">
            <control shapeId="2528" r:id="rId469" name="Check Box 480">
              <controlPr defaultSize="0" autoFill="0" autoLine="0" autoPict="0">
                <anchor moveWithCells="1">
                  <from>
                    <xdr:col>4</xdr:col>
                    <xdr:colOff>281940</xdr:colOff>
                    <xdr:row>387</xdr:row>
                    <xdr:rowOff>198120</xdr:rowOff>
                  </from>
                  <to>
                    <xdr:col>4</xdr:col>
                    <xdr:colOff>518160</xdr:colOff>
                    <xdr:row>387</xdr:row>
                    <xdr:rowOff>533400</xdr:rowOff>
                  </to>
                </anchor>
              </controlPr>
            </control>
          </mc:Choice>
        </mc:AlternateContent>
        <mc:AlternateContent xmlns:mc="http://schemas.openxmlformats.org/markup-compatibility/2006">
          <mc:Choice Requires="x14">
            <control shapeId="2529" r:id="rId470" name="Check Box 481">
              <controlPr defaultSize="0" autoFill="0" autoLine="0" autoPict="0">
                <anchor moveWithCells="1">
                  <from>
                    <xdr:col>4</xdr:col>
                    <xdr:colOff>281940</xdr:colOff>
                    <xdr:row>387</xdr:row>
                    <xdr:rowOff>198120</xdr:rowOff>
                  </from>
                  <to>
                    <xdr:col>4</xdr:col>
                    <xdr:colOff>518160</xdr:colOff>
                    <xdr:row>387</xdr:row>
                    <xdr:rowOff>533400</xdr:rowOff>
                  </to>
                </anchor>
              </controlPr>
            </control>
          </mc:Choice>
        </mc:AlternateContent>
        <mc:AlternateContent xmlns:mc="http://schemas.openxmlformats.org/markup-compatibility/2006">
          <mc:Choice Requires="x14">
            <control shapeId="2530" r:id="rId471" name="Check Box 482">
              <controlPr defaultSize="0" autoFill="0" autoLine="0" autoPict="0">
                <anchor moveWithCells="1">
                  <from>
                    <xdr:col>4</xdr:col>
                    <xdr:colOff>281940</xdr:colOff>
                    <xdr:row>388</xdr:row>
                    <xdr:rowOff>198120</xdr:rowOff>
                  </from>
                  <to>
                    <xdr:col>4</xdr:col>
                    <xdr:colOff>518160</xdr:colOff>
                    <xdr:row>388</xdr:row>
                    <xdr:rowOff>533400</xdr:rowOff>
                  </to>
                </anchor>
              </controlPr>
            </control>
          </mc:Choice>
        </mc:AlternateContent>
        <mc:AlternateContent xmlns:mc="http://schemas.openxmlformats.org/markup-compatibility/2006">
          <mc:Choice Requires="x14">
            <control shapeId="2531" r:id="rId472" name="Check Box 483">
              <controlPr defaultSize="0" autoFill="0" autoLine="0" autoPict="0">
                <anchor moveWithCells="1">
                  <from>
                    <xdr:col>4</xdr:col>
                    <xdr:colOff>281940</xdr:colOff>
                    <xdr:row>388</xdr:row>
                    <xdr:rowOff>198120</xdr:rowOff>
                  </from>
                  <to>
                    <xdr:col>4</xdr:col>
                    <xdr:colOff>518160</xdr:colOff>
                    <xdr:row>388</xdr:row>
                    <xdr:rowOff>533400</xdr:rowOff>
                  </to>
                </anchor>
              </controlPr>
            </control>
          </mc:Choice>
        </mc:AlternateContent>
        <mc:AlternateContent xmlns:mc="http://schemas.openxmlformats.org/markup-compatibility/2006">
          <mc:Choice Requires="x14">
            <control shapeId="2532" r:id="rId473" name="Check Box 484">
              <controlPr defaultSize="0" autoFill="0" autoLine="0" autoPict="0">
                <anchor moveWithCells="1">
                  <from>
                    <xdr:col>4</xdr:col>
                    <xdr:colOff>281940</xdr:colOff>
                    <xdr:row>389</xdr:row>
                    <xdr:rowOff>198120</xdr:rowOff>
                  </from>
                  <to>
                    <xdr:col>4</xdr:col>
                    <xdr:colOff>518160</xdr:colOff>
                    <xdr:row>389</xdr:row>
                    <xdr:rowOff>533400</xdr:rowOff>
                  </to>
                </anchor>
              </controlPr>
            </control>
          </mc:Choice>
        </mc:AlternateContent>
        <mc:AlternateContent xmlns:mc="http://schemas.openxmlformats.org/markup-compatibility/2006">
          <mc:Choice Requires="x14">
            <control shapeId="2533" r:id="rId474" name="Check Box 485">
              <controlPr defaultSize="0" autoFill="0" autoLine="0" autoPict="0">
                <anchor moveWithCells="1">
                  <from>
                    <xdr:col>4</xdr:col>
                    <xdr:colOff>281940</xdr:colOff>
                    <xdr:row>389</xdr:row>
                    <xdr:rowOff>198120</xdr:rowOff>
                  </from>
                  <to>
                    <xdr:col>4</xdr:col>
                    <xdr:colOff>518160</xdr:colOff>
                    <xdr:row>389</xdr:row>
                    <xdr:rowOff>533400</xdr:rowOff>
                  </to>
                </anchor>
              </controlPr>
            </control>
          </mc:Choice>
        </mc:AlternateContent>
        <mc:AlternateContent xmlns:mc="http://schemas.openxmlformats.org/markup-compatibility/2006">
          <mc:Choice Requires="x14">
            <control shapeId="2534" r:id="rId475" name="Check Box 486">
              <controlPr defaultSize="0" autoFill="0" autoLine="0" autoPict="0">
                <anchor moveWithCells="1">
                  <from>
                    <xdr:col>4</xdr:col>
                    <xdr:colOff>281940</xdr:colOff>
                    <xdr:row>391</xdr:row>
                    <xdr:rowOff>198120</xdr:rowOff>
                  </from>
                  <to>
                    <xdr:col>4</xdr:col>
                    <xdr:colOff>518160</xdr:colOff>
                    <xdr:row>391</xdr:row>
                    <xdr:rowOff>533400</xdr:rowOff>
                  </to>
                </anchor>
              </controlPr>
            </control>
          </mc:Choice>
        </mc:AlternateContent>
        <mc:AlternateContent xmlns:mc="http://schemas.openxmlformats.org/markup-compatibility/2006">
          <mc:Choice Requires="x14">
            <control shapeId="2535" r:id="rId476" name="Check Box 487">
              <controlPr defaultSize="0" autoFill="0" autoLine="0" autoPict="0">
                <anchor moveWithCells="1">
                  <from>
                    <xdr:col>4</xdr:col>
                    <xdr:colOff>281940</xdr:colOff>
                    <xdr:row>391</xdr:row>
                    <xdr:rowOff>198120</xdr:rowOff>
                  </from>
                  <to>
                    <xdr:col>4</xdr:col>
                    <xdr:colOff>518160</xdr:colOff>
                    <xdr:row>391</xdr:row>
                    <xdr:rowOff>533400</xdr:rowOff>
                  </to>
                </anchor>
              </controlPr>
            </control>
          </mc:Choice>
        </mc:AlternateContent>
        <mc:AlternateContent xmlns:mc="http://schemas.openxmlformats.org/markup-compatibility/2006">
          <mc:Choice Requires="x14">
            <control shapeId="2536" r:id="rId477" name="Check Box 488">
              <controlPr defaultSize="0" autoFill="0" autoLine="0" autoPict="0">
                <anchor moveWithCells="1">
                  <from>
                    <xdr:col>4</xdr:col>
                    <xdr:colOff>281940</xdr:colOff>
                    <xdr:row>392</xdr:row>
                    <xdr:rowOff>198120</xdr:rowOff>
                  </from>
                  <to>
                    <xdr:col>4</xdr:col>
                    <xdr:colOff>518160</xdr:colOff>
                    <xdr:row>392</xdr:row>
                    <xdr:rowOff>533400</xdr:rowOff>
                  </to>
                </anchor>
              </controlPr>
            </control>
          </mc:Choice>
        </mc:AlternateContent>
        <mc:AlternateContent xmlns:mc="http://schemas.openxmlformats.org/markup-compatibility/2006">
          <mc:Choice Requires="x14">
            <control shapeId="2537" r:id="rId478" name="Check Box 489">
              <controlPr defaultSize="0" autoFill="0" autoLine="0" autoPict="0">
                <anchor moveWithCells="1">
                  <from>
                    <xdr:col>4</xdr:col>
                    <xdr:colOff>281940</xdr:colOff>
                    <xdr:row>392</xdr:row>
                    <xdr:rowOff>198120</xdr:rowOff>
                  </from>
                  <to>
                    <xdr:col>4</xdr:col>
                    <xdr:colOff>518160</xdr:colOff>
                    <xdr:row>392</xdr:row>
                    <xdr:rowOff>533400</xdr:rowOff>
                  </to>
                </anchor>
              </controlPr>
            </control>
          </mc:Choice>
        </mc:AlternateContent>
        <mc:AlternateContent xmlns:mc="http://schemas.openxmlformats.org/markup-compatibility/2006">
          <mc:Choice Requires="x14">
            <control shapeId="2538" r:id="rId479" name="Check Box 490">
              <controlPr defaultSize="0" autoFill="0" autoLine="0" autoPict="0">
                <anchor moveWithCells="1">
                  <from>
                    <xdr:col>4</xdr:col>
                    <xdr:colOff>281940</xdr:colOff>
                    <xdr:row>394</xdr:row>
                    <xdr:rowOff>198120</xdr:rowOff>
                  </from>
                  <to>
                    <xdr:col>4</xdr:col>
                    <xdr:colOff>518160</xdr:colOff>
                    <xdr:row>394</xdr:row>
                    <xdr:rowOff>533400</xdr:rowOff>
                  </to>
                </anchor>
              </controlPr>
            </control>
          </mc:Choice>
        </mc:AlternateContent>
        <mc:AlternateContent xmlns:mc="http://schemas.openxmlformats.org/markup-compatibility/2006">
          <mc:Choice Requires="x14">
            <control shapeId="2539" r:id="rId480" name="Check Box 491">
              <controlPr defaultSize="0" autoFill="0" autoLine="0" autoPict="0">
                <anchor moveWithCells="1">
                  <from>
                    <xdr:col>4</xdr:col>
                    <xdr:colOff>281940</xdr:colOff>
                    <xdr:row>394</xdr:row>
                    <xdr:rowOff>198120</xdr:rowOff>
                  </from>
                  <to>
                    <xdr:col>4</xdr:col>
                    <xdr:colOff>518160</xdr:colOff>
                    <xdr:row>394</xdr:row>
                    <xdr:rowOff>533400</xdr:rowOff>
                  </to>
                </anchor>
              </controlPr>
            </control>
          </mc:Choice>
        </mc:AlternateContent>
        <mc:AlternateContent xmlns:mc="http://schemas.openxmlformats.org/markup-compatibility/2006">
          <mc:Choice Requires="x14">
            <control shapeId="2540" r:id="rId481" name="Check Box 492">
              <controlPr defaultSize="0" autoFill="0" autoLine="0" autoPict="0">
                <anchor moveWithCells="1">
                  <from>
                    <xdr:col>4</xdr:col>
                    <xdr:colOff>281940</xdr:colOff>
                    <xdr:row>395</xdr:row>
                    <xdr:rowOff>198120</xdr:rowOff>
                  </from>
                  <to>
                    <xdr:col>4</xdr:col>
                    <xdr:colOff>518160</xdr:colOff>
                    <xdr:row>395</xdr:row>
                    <xdr:rowOff>533400</xdr:rowOff>
                  </to>
                </anchor>
              </controlPr>
            </control>
          </mc:Choice>
        </mc:AlternateContent>
        <mc:AlternateContent xmlns:mc="http://schemas.openxmlformats.org/markup-compatibility/2006">
          <mc:Choice Requires="x14">
            <control shapeId="2541" r:id="rId482" name="Check Box 493">
              <controlPr defaultSize="0" autoFill="0" autoLine="0" autoPict="0">
                <anchor moveWithCells="1">
                  <from>
                    <xdr:col>4</xdr:col>
                    <xdr:colOff>281940</xdr:colOff>
                    <xdr:row>395</xdr:row>
                    <xdr:rowOff>198120</xdr:rowOff>
                  </from>
                  <to>
                    <xdr:col>4</xdr:col>
                    <xdr:colOff>518160</xdr:colOff>
                    <xdr:row>395</xdr:row>
                    <xdr:rowOff>533400</xdr:rowOff>
                  </to>
                </anchor>
              </controlPr>
            </control>
          </mc:Choice>
        </mc:AlternateContent>
        <mc:AlternateContent xmlns:mc="http://schemas.openxmlformats.org/markup-compatibility/2006">
          <mc:Choice Requires="x14">
            <control shapeId="2542" r:id="rId483" name="Check Box 494">
              <controlPr defaultSize="0" autoFill="0" autoLine="0" autoPict="0">
                <anchor moveWithCells="1">
                  <from>
                    <xdr:col>4</xdr:col>
                    <xdr:colOff>281940</xdr:colOff>
                    <xdr:row>398</xdr:row>
                    <xdr:rowOff>198120</xdr:rowOff>
                  </from>
                  <to>
                    <xdr:col>4</xdr:col>
                    <xdr:colOff>518160</xdr:colOff>
                    <xdr:row>398</xdr:row>
                    <xdr:rowOff>533400</xdr:rowOff>
                  </to>
                </anchor>
              </controlPr>
            </control>
          </mc:Choice>
        </mc:AlternateContent>
        <mc:AlternateContent xmlns:mc="http://schemas.openxmlformats.org/markup-compatibility/2006">
          <mc:Choice Requires="x14">
            <control shapeId="2543" r:id="rId484" name="Check Box 495">
              <controlPr defaultSize="0" autoFill="0" autoLine="0" autoPict="0">
                <anchor moveWithCells="1">
                  <from>
                    <xdr:col>4</xdr:col>
                    <xdr:colOff>281940</xdr:colOff>
                    <xdr:row>398</xdr:row>
                    <xdr:rowOff>198120</xdr:rowOff>
                  </from>
                  <to>
                    <xdr:col>4</xdr:col>
                    <xdr:colOff>518160</xdr:colOff>
                    <xdr:row>398</xdr:row>
                    <xdr:rowOff>533400</xdr:rowOff>
                  </to>
                </anchor>
              </controlPr>
            </control>
          </mc:Choice>
        </mc:AlternateContent>
        <mc:AlternateContent xmlns:mc="http://schemas.openxmlformats.org/markup-compatibility/2006">
          <mc:Choice Requires="x14">
            <control shapeId="2544" r:id="rId485" name="Check Box 496">
              <controlPr defaultSize="0" autoFill="0" autoLine="0" autoPict="0">
                <anchor moveWithCells="1">
                  <from>
                    <xdr:col>4</xdr:col>
                    <xdr:colOff>281940</xdr:colOff>
                    <xdr:row>399</xdr:row>
                    <xdr:rowOff>198120</xdr:rowOff>
                  </from>
                  <to>
                    <xdr:col>4</xdr:col>
                    <xdr:colOff>518160</xdr:colOff>
                    <xdr:row>399</xdr:row>
                    <xdr:rowOff>533400</xdr:rowOff>
                  </to>
                </anchor>
              </controlPr>
            </control>
          </mc:Choice>
        </mc:AlternateContent>
        <mc:AlternateContent xmlns:mc="http://schemas.openxmlformats.org/markup-compatibility/2006">
          <mc:Choice Requires="x14">
            <control shapeId="2545" r:id="rId486" name="Check Box 497">
              <controlPr defaultSize="0" autoFill="0" autoLine="0" autoPict="0">
                <anchor moveWithCells="1">
                  <from>
                    <xdr:col>4</xdr:col>
                    <xdr:colOff>281940</xdr:colOff>
                    <xdr:row>399</xdr:row>
                    <xdr:rowOff>198120</xdr:rowOff>
                  </from>
                  <to>
                    <xdr:col>4</xdr:col>
                    <xdr:colOff>518160</xdr:colOff>
                    <xdr:row>399</xdr:row>
                    <xdr:rowOff>533400</xdr:rowOff>
                  </to>
                </anchor>
              </controlPr>
            </control>
          </mc:Choice>
        </mc:AlternateContent>
        <mc:AlternateContent xmlns:mc="http://schemas.openxmlformats.org/markup-compatibility/2006">
          <mc:Choice Requires="x14">
            <control shapeId="2546" r:id="rId487" name="Check Box 498">
              <controlPr defaultSize="0" autoFill="0" autoLine="0" autoPict="0">
                <anchor moveWithCells="1">
                  <from>
                    <xdr:col>4</xdr:col>
                    <xdr:colOff>281940</xdr:colOff>
                    <xdr:row>400</xdr:row>
                    <xdr:rowOff>198120</xdr:rowOff>
                  </from>
                  <to>
                    <xdr:col>4</xdr:col>
                    <xdr:colOff>518160</xdr:colOff>
                    <xdr:row>400</xdr:row>
                    <xdr:rowOff>533400</xdr:rowOff>
                  </to>
                </anchor>
              </controlPr>
            </control>
          </mc:Choice>
        </mc:AlternateContent>
        <mc:AlternateContent xmlns:mc="http://schemas.openxmlformats.org/markup-compatibility/2006">
          <mc:Choice Requires="x14">
            <control shapeId="2547" r:id="rId488" name="Check Box 499">
              <controlPr defaultSize="0" autoFill="0" autoLine="0" autoPict="0">
                <anchor moveWithCells="1">
                  <from>
                    <xdr:col>4</xdr:col>
                    <xdr:colOff>281940</xdr:colOff>
                    <xdr:row>400</xdr:row>
                    <xdr:rowOff>198120</xdr:rowOff>
                  </from>
                  <to>
                    <xdr:col>4</xdr:col>
                    <xdr:colOff>518160</xdr:colOff>
                    <xdr:row>400</xdr:row>
                    <xdr:rowOff>533400</xdr:rowOff>
                  </to>
                </anchor>
              </controlPr>
            </control>
          </mc:Choice>
        </mc:AlternateContent>
        <mc:AlternateContent xmlns:mc="http://schemas.openxmlformats.org/markup-compatibility/2006">
          <mc:Choice Requires="x14">
            <control shapeId="2548" r:id="rId489" name="Check Box 500">
              <controlPr defaultSize="0" autoFill="0" autoLine="0" autoPict="0">
                <anchor moveWithCells="1">
                  <from>
                    <xdr:col>4</xdr:col>
                    <xdr:colOff>281940</xdr:colOff>
                    <xdr:row>402</xdr:row>
                    <xdr:rowOff>198120</xdr:rowOff>
                  </from>
                  <to>
                    <xdr:col>4</xdr:col>
                    <xdr:colOff>518160</xdr:colOff>
                    <xdr:row>402</xdr:row>
                    <xdr:rowOff>533400</xdr:rowOff>
                  </to>
                </anchor>
              </controlPr>
            </control>
          </mc:Choice>
        </mc:AlternateContent>
        <mc:AlternateContent xmlns:mc="http://schemas.openxmlformats.org/markup-compatibility/2006">
          <mc:Choice Requires="x14">
            <control shapeId="2549" r:id="rId490" name="Check Box 501">
              <controlPr defaultSize="0" autoFill="0" autoLine="0" autoPict="0">
                <anchor moveWithCells="1">
                  <from>
                    <xdr:col>4</xdr:col>
                    <xdr:colOff>281940</xdr:colOff>
                    <xdr:row>402</xdr:row>
                    <xdr:rowOff>198120</xdr:rowOff>
                  </from>
                  <to>
                    <xdr:col>4</xdr:col>
                    <xdr:colOff>518160</xdr:colOff>
                    <xdr:row>402</xdr:row>
                    <xdr:rowOff>533400</xdr:rowOff>
                  </to>
                </anchor>
              </controlPr>
            </control>
          </mc:Choice>
        </mc:AlternateContent>
        <mc:AlternateContent xmlns:mc="http://schemas.openxmlformats.org/markup-compatibility/2006">
          <mc:Choice Requires="x14">
            <control shapeId="2550" r:id="rId491" name="Check Box 502">
              <controlPr defaultSize="0" autoFill="0" autoLine="0" autoPict="0">
                <anchor moveWithCells="1">
                  <from>
                    <xdr:col>4</xdr:col>
                    <xdr:colOff>281940</xdr:colOff>
                    <xdr:row>403</xdr:row>
                    <xdr:rowOff>198120</xdr:rowOff>
                  </from>
                  <to>
                    <xdr:col>4</xdr:col>
                    <xdr:colOff>518160</xdr:colOff>
                    <xdr:row>403</xdr:row>
                    <xdr:rowOff>533400</xdr:rowOff>
                  </to>
                </anchor>
              </controlPr>
            </control>
          </mc:Choice>
        </mc:AlternateContent>
        <mc:AlternateContent xmlns:mc="http://schemas.openxmlformats.org/markup-compatibility/2006">
          <mc:Choice Requires="x14">
            <control shapeId="2551" r:id="rId492" name="Check Box 503">
              <controlPr defaultSize="0" autoFill="0" autoLine="0" autoPict="0">
                <anchor moveWithCells="1">
                  <from>
                    <xdr:col>4</xdr:col>
                    <xdr:colOff>281940</xdr:colOff>
                    <xdr:row>403</xdr:row>
                    <xdr:rowOff>198120</xdr:rowOff>
                  </from>
                  <to>
                    <xdr:col>4</xdr:col>
                    <xdr:colOff>518160</xdr:colOff>
                    <xdr:row>403</xdr:row>
                    <xdr:rowOff>533400</xdr:rowOff>
                  </to>
                </anchor>
              </controlPr>
            </control>
          </mc:Choice>
        </mc:AlternateContent>
        <mc:AlternateContent xmlns:mc="http://schemas.openxmlformats.org/markup-compatibility/2006">
          <mc:Choice Requires="x14">
            <control shapeId="2552" r:id="rId493" name="Check Box 504">
              <controlPr defaultSize="0" autoFill="0" autoLine="0" autoPict="0">
                <anchor moveWithCells="1">
                  <from>
                    <xdr:col>4</xdr:col>
                    <xdr:colOff>281940</xdr:colOff>
                    <xdr:row>405</xdr:row>
                    <xdr:rowOff>198120</xdr:rowOff>
                  </from>
                  <to>
                    <xdr:col>4</xdr:col>
                    <xdr:colOff>518160</xdr:colOff>
                    <xdr:row>405</xdr:row>
                    <xdr:rowOff>533400</xdr:rowOff>
                  </to>
                </anchor>
              </controlPr>
            </control>
          </mc:Choice>
        </mc:AlternateContent>
        <mc:AlternateContent xmlns:mc="http://schemas.openxmlformats.org/markup-compatibility/2006">
          <mc:Choice Requires="x14">
            <control shapeId="2553" r:id="rId494" name="Check Box 505">
              <controlPr defaultSize="0" autoFill="0" autoLine="0" autoPict="0">
                <anchor moveWithCells="1">
                  <from>
                    <xdr:col>4</xdr:col>
                    <xdr:colOff>281940</xdr:colOff>
                    <xdr:row>405</xdr:row>
                    <xdr:rowOff>198120</xdr:rowOff>
                  </from>
                  <to>
                    <xdr:col>4</xdr:col>
                    <xdr:colOff>518160</xdr:colOff>
                    <xdr:row>405</xdr:row>
                    <xdr:rowOff>533400</xdr:rowOff>
                  </to>
                </anchor>
              </controlPr>
            </control>
          </mc:Choice>
        </mc:AlternateContent>
        <mc:AlternateContent xmlns:mc="http://schemas.openxmlformats.org/markup-compatibility/2006">
          <mc:Choice Requires="x14">
            <control shapeId="2554" r:id="rId495" name="Check Box 506">
              <controlPr defaultSize="0" autoFill="0" autoLine="0" autoPict="0">
                <anchor moveWithCells="1">
                  <from>
                    <xdr:col>4</xdr:col>
                    <xdr:colOff>281940</xdr:colOff>
                    <xdr:row>406</xdr:row>
                    <xdr:rowOff>198120</xdr:rowOff>
                  </from>
                  <to>
                    <xdr:col>4</xdr:col>
                    <xdr:colOff>518160</xdr:colOff>
                    <xdr:row>406</xdr:row>
                    <xdr:rowOff>533400</xdr:rowOff>
                  </to>
                </anchor>
              </controlPr>
            </control>
          </mc:Choice>
        </mc:AlternateContent>
        <mc:AlternateContent xmlns:mc="http://schemas.openxmlformats.org/markup-compatibility/2006">
          <mc:Choice Requires="x14">
            <control shapeId="2555" r:id="rId496" name="Check Box 507">
              <controlPr defaultSize="0" autoFill="0" autoLine="0" autoPict="0">
                <anchor moveWithCells="1">
                  <from>
                    <xdr:col>4</xdr:col>
                    <xdr:colOff>281940</xdr:colOff>
                    <xdr:row>406</xdr:row>
                    <xdr:rowOff>198120</xdr:rowOff>
                  </from>
                  <to>
                    <xdr:col>4</xdr:col>
                    <xdr:colOff>518160</xdr:colOff>
                    <xdr:row>406</xdr:row>
                    <xdr:rowOff>533400</xdr:rowOff>
                  </to>
                </anchor>
              </controlPr>
            </control>
          </mc:Choice>
        </mc:AlternateContent>
        <mc:AlternateContent xmlns:mc="http://schemas.openxmlformats.org/markup-compatibility/2006">
          <mc:Choice Requires="x14">
            <control shapeId="2556" r:id="rId497" name="Check Box 508">
              <controlPr defaultSize="0" autoFill="0" autoLine="0" autoPict="0">
                <anchor moveWithCells="1">
                  <from>
                    <xdr:col>4</xdr:col>
                    <xdr:colOff>281940</xdr:colOff>
                    <xdr:row>407</xdr:row>
                    <xdr:rowOff>198120</xdr:rowOff>
                  </from>
                  <to>
                    <xdr:col>4</xdr:col>
                    <xdr:colOff>518160</xdr:colOff>
                    <xdr:row>407</xdr:row>
                    <xdr:rowOff>533400</xdr:rowOff>
                  </to>
                </anchor>
              </controlPr>
            </control>
          </mc:Choice>
        </mc:AlternateContent>
        <mc:AlternateContent xmlns:mc="http://schemas.openxmlformats.org/markup-compatibility/2006">
          <mc:Choice Requires="x14">
            <control shapeId="2557" r:id="rId498" name="Check Box 509">
              <controlPr defaultSize="0" autoFill="0" autoLine="0" autoPict="0">
                <anchor moveWithCells="1">
                  <from>
                    <xdr:col>4</xdr:col>
                    <xdr:colOff>281940</xdr:colOff>
                    <xdr:row>407</xdr:row>
                    <xdr:rowOff>198120</xdr:rowOff>
                  </from>
                  <to>
                    <xdr:col>4</xdr:col>
                    <xdr:colOff>518160</xdr:colOff>
                    <xdr:row>407</xdr:row>
                    <xdr:rowOff>533400</xdr:rowOff>
                  </to>
                </anchor>
              </controlPr>
            </control>
          </mc:Choice>
        </mc:AlternateContent>
        <mc:AlternateContent xmlns:mc="http://schemas.openxmlformats.org/markup-compatibility/2006">
          <mc:Choice Requires="x14">
            <control shapeId="2558" r:id="rId499" name="Check Box 510">
              <controlPr defaultSize="0" autoFill="0" autoLine="0" autoPict="0">
                <anchor moveWithCells="1">
                  <from>
                    <xdr:col>4</xdr:col>
                    <xdr:colOff>281940</xdr:colOff>
                    <xdr:row>409</xdr:row>
                    <xdr:rowOff>198120</xdr:rowOff>
                  </from>
                  <to>
                    <xdr:col>4</xdr:col>
                    <xdr:colOff>518160</xdr:colOff>
                    <xdr:row>409</xdr:row>
                    <xdr:rowOff>533400</xdr:rowOff>
                  </to>
                </anchor>
              </controlPr>
            </control>
          </mc:Choice>
        </mc:AlternateContent>
        <mc:AlternateContent xmlns:mc="http://schemas.openxmlformats.org/markup-compatibility/2006">
          <mc:Choice Requires="x14">
            <control shapeId="2559" r:id="rId500" name="Check Box 511">
              <controlPr defaultSize="0" autoFill="0" autoLine="0" autoPict="0">
                <anchor moveWithCells="1">
                  <from>
                    <xdr:col>4</xdr:col>
                    <xdr:colOff>281940</xdr:colOff>
                    <xdr:row>409</xdr:row>
                    <xdr:rowOff>198120</xdr:rowOff>
                  </from>
                  <to>
                    <xdr:col>4</xdr:col>
                    <xdr:colOff>518160</xdr:colOff>
                    <xdr:row>409</xdr:row>
                    <xdr:rowOff>533400</xdr:rowOff>
                  </to>
                </anchor>
              </controlPr>
            </control>
          </mc:Choice>
        </mc:AlternateContent>
        <mc:AlternateContent xmlns:mc="http://schemas.openxmlformats.org/markup-compatibility/2006">
          <mc:Choice Requires="x14">
            <control shapeId="2560" r:id="rId501" name="Check Box 512">
              <controlPr defaultSize="0" autoFill="0" autoLine="0" autoPict="0">
                <anchor moveWithCells="1">
                  <from>
                    <xdr:col>4</xdr:col>
                    <xdr:colOff>281940</xdr:colOff>
                    <xdr:row>410</xdr:row>
                    <xdr:rowOff>198120</xdr:rowOff>
                  </from>
                  <to>
                    <xdr:col>4</xdr:col>
                    <xdr:colOff>518160</xdr:colOff>
                    <xdr:row>410</xdr:row>
                    <xdr:rowOff>533400</xdr:rowOff>
                  </to>
                </anchor>
              </controlPr>
            </control>
          </mc:Choice>
        </mc:AlternateContent>
        <mc:AlternateContent xmlns:mc="http://schemas.openxmlformats.org/markup-compatibility/2006">
          <mc:Choice Requires="x14">
            <control shapeId="2561" r:id="rId502" name="Check Box 513">
              <controlPr defaultSize="0" autoFill="0" autoLine="0" autoPict="0">
                <anchor moveWithCells="1">
                  <from>
                    <xdr:col>4</xdr:col>
                    <xdr:colOff>281940</xdr:colOff>
                    <xdr:row>410</xdr:row>
                    <xdr:rowOff>198120</xdr:rowOff>
                  </from>
                  <to>
                    <xdr:col>4</xdr:col>
                    <xdr:colOff>518160</xdr:colOff>
                    <xdr:row>410</xdr:row>
                    <xdr:rowOff>533400</xdr:rowOff>
                  </to>
                </anchor>
              </controlPr>
            </control>
          </mc:Choice>
        </mc:AlternateContent>
        <mc:AlternateContent xmlns:mc="http://schemas.openxmlformats.org/markup-compatibility/2006">
          <mc:Choice Requires="x14">
            <control shapeId="2562" r:id="rId503" name="Check Box 514">
              <controlPr defaultSize="0" autoFill="0" autoLine="0" autoPict="0">
                <anchor moveWithCells="1">
                  <from>
                    <xdr:col>4</xdr:col>
                    <xdr:colOff>281940</xdr:colOff>
                    <xdr:row>411</xdr:row>
                    <xdr:rowOff>198120</xdr:rowOff>
                  </from>
                  <to>
                    <xdr:col>4</xdr:col>
                    <xdr:colOff>518160</xdr:colOff>
                    <xdr:row>411</xdr:row>
                    <xdr:rowOff>533400</xdr:rowOff>
                  </to>
                </anchor>
              </controlPr>
            </control>
          </mc:Choice>
        </mc:AlternateContent>
        <mc:AlternateContent xmlns:mc="http://schemas.openxmlformats.org/markup-compatibility/2006">
          <mc:Choice Requires="x14">
            <control shapeId="2563" r:id="rId504" name="Check Box 515">
              <controlPr defaultSize="0" autoFill="0" autoLine="0" autoPict="0">
                <anchor moveWithCells="1">
                  <from>
                    <xdr:col>4</xdr:col>
                    <xdr:colOff>281940</xdr:colOff>
                    <xdr:row>411</xdr:row>
                    <xdr:rowOff>198120</xdr:rowOff>
                  </from>
                  <to>
                    <xdr:col>4</xdr:col>
                    <xdr:colOff>518160</xdr:colOff>
                    <xdr:row>411</xdr:row>
                    <xdr:rowOff>533400</xdr:rowOff>
                  </to>
                </anchor>
              </controlPr>
            </control>
          </mc:Choice>
        </mc:AlternateContent>
        <mc:AlternateContent xmlns:mc="http://schemas.openxmlformats.org/markup-compatibility/2006">
          <mc:Choice Requires="x14">
            <control shapeId="2564" r:id="rId505" name="Check Box 516">
              <controlPr defaultSize="0" autoFill="0" autoLine="0" autoPict="0">
                <anchor moveWithCells="1">
                  <from>
                    <xdr:col>4</xdr:col>
                    <xdr:colOff>281940</xdr:colOff>
                    <xdr:row>412</xdr:row>
                    <xdr:rowOff>198120</xdr:rowOff>
                  </from>
                  <to>
                    <xdr:col>4</xdr:col>
                    <xdr:colOff>518160</xdr:colOff>
                    <xdr:row>412</xdr:row>
                    <xdr:rowOff>533400</xdr:rowOff>
                  </to>
                </anchor>
              </controlPr>
            </control>
          </mc:Choice>
        </mc:AlternateContent>
        <mc:AlternateContent xmlns:mc="http://schemas.openxmlformats.org/markup-compatibility/2006">
          <mc:Choice Requires="x14">
            <control shapeId="2565" r:id="rId506" name="Check Box 517">
              <controlPr defaultSize="0" autoFill="0" autoLine="0" autoPict="0">
                <anchor moveWithCells="1">
                  <from>
                    <xdr:col>4</xdr:col>
                    <xdr:colOff>281940</xdr:colOff>
                    <xdr:row>412</xdr:row>
                    <xdr:rowOff>198120</xdr:rowOff>
                  </from>
                  <to>
                    <xdr:col>4</xdr:col>
                    <xdr:colOff>518160</xdr:colOff>
                    <xdr:row>412</xdr:row>
                    <xdr:rowOff>533400</xdr:rowOff>
                  </to>
                </anchor>
              </controlPr>
            </control>
          </mc:Choice>
        </mc:AlternateContent>
        <mc:AlternateContent xmlns:mc="http://schemas.openxmlformats.org/markup-compatibility/2006">
          <mc:Choice Requires="x14">
            <control shapeId="2566" r:id="rId507" name="Check Box 518">
              <controlPr defaultSize="0" autoFill="0" autoLine="0" autoPict="0">
                <anchor moveWithCells="1">
                  <from>
                    <xdr:col>4</xdr:col>
                    <xdr:colOff>281940</xdr:colOff>
                    <xdr:row>414</xdr:row>
                    <xdr:rowOff>198120</xdr:rowOff>
                  </from>
                  <to>
                    <xdr:col>4</xdr:col>
                    <xdr:colOff>518160</xdr:colOff>
                    <xdr:row>414</xdr:row>
                    <xdr:rowOff>533400</xdr:rowOff>
                  </to>
                </anchor>
              </controlPr>
            </control>
          </mc:Choice>
        </mc:AlternateContent>
        <mc:AlternateContent xmlns:mc="http://schemas.openxmlformats.org/markup-compatibility/2006">
          <mc:Choice Requires="x14">
            <control shapeId="2567" r:id="rId508" name="Check Box 519">
              <controlPr defaultSize="0" autoFill="0" autoLine="0" autoPict="0">
                <anchor moveWithCells="1">
                  <from>
                    <xdr:col>4</xdr:col>
                    <xdr:colOff>281940</xdr:colOff>
                    <xdr:row>414</xdr:row>
                    <xdr:rowOff>198120</xdr:rowOff>
                  </from>
                  <to>
                    <xdr:col>4</xdr:col>
                    <xdr:colOff>518160</xdr:colOff>
                    <xdr:row>414</xdr:row>
                    <xdr:rowOff>533400</xdr:rowOff>
                  </to>
                </anchor>
              </controlPr>
            </control>
          </mc:Choice>
        </mc:AlternateContent>
        <mc:AlternateContent xmlns:mc="http://schemas.openxmlformats.org/markup-compatibility/2006">
          <mc:Choice Requires="x14">
            <control shapeId="2568" r:id="rId509" name="Check Box 520">
              <controlPr defaultSize="0" autoFill="0" autoLine="0" autoPict="0">
                <anchor moveWithCells="1">
                  <from>
                    <xdr:col>4</xdr:col>
                    <xdr:colOff>281940</xdr:colOff>
                    <xdr:row>415</xdr:row>
                    <xdr:rowOff>198120</xdr:rowOff>
                  </from>
                  <to>
                    <xdr:col>4</xdr:col>
                    <xdr:colOff>518160</xdr:colOff>
                    <xdr:row>415</xdr:row>
                    <xdr:rowOff>533400</xdr:rowOff>
                  </to>
                </anchor>
              </controlPr>
            </control>
          </mc:Choice>
        </mc:AlternateContent>
        <mc:AlternateContent xmlns:mc="http://schemas.openxmlformats.org/markup-compatibility/2006">
          <mc:Choice Requires="x14">
            <control shapeId="2569" r:id="rId510" name="Check Box 521">
              <controlPr defaultSize="0" autoFill="0" autoLine="0" autoPict="0">
                <anchor moveWithCells="1">
                  <from>
                    <xdr:col>4</xdr:col>
                    <xdr:colOff>281940</xdr:colOff>
                    <xdr:row>415</xdr:row>
                    <xdr:rowOff>198120</xdr:rowOff>
                  </from>
                  <to>
                    <xdr:col>4</xdr:col>
                    <xdr:colOff>518160</xdr:colOff>
                    <xdr:row>415</xdr:row>
                    <xdr:rowOff>533400</xdr:rowOff>
                  </to>
                </anchor>
              </controlPr>
            </control>
          </mc:Choice>
        </mc:AlternateContent>
        <mc:AlternateContent xmlns:mc="http://schemas.openxmlformats.org/markup-compatibility/2006">
          <mc:Choice Requires="x14">
            <control shapeId="2570" r:id="rId511" name="Check Box 522">
              <controlPr defaultSize="0" autoFill="0" autoLine="0" autoPict="0">
                <anchor moveWithCells="1">
                  <from>
                    <xdr:col>4</xdr:col>
                    <xdr:colOff>281940</xdr:colOff>
                    <xdr:row>416</xdr:row>
                    <xdr:rowOff>198120</xdr:rowOff>
                  </from>
                  <to>
                    <xdr:col>4</xdr:col>
                    <xdr:colOff>518160</xdr:colOff>
                    <xdr:row>416</xdr:row>
                    <xdr:rowOff>533400</xdr:rowOff>
                  </to>
                </anchor>
              </controlPr>
            </control>
          </mc:Choice>
        </mc:AlternateContent>
        <mc:AlternateContent xmlns:mc="http://schemas.openxmlformats.org/markup-compatibility/2006">
          <mc:Choice Requires="x14">
            <control shapeId="2571" r:id="rId512" name="Check Box 523">
              <controlPr defaultSize="0" autoFill="0" autoLine="0" autoPict="0">
                <anchor moveWithCells="1">
                  <from>
                    <xdr:col>4</xdr:col>
                    <xdr:colOff>281940</xdr:colOff>
                    <xdr:row>416</xdr:row>
                    <xdr:rowOff>198120</xdr:rowOff>
                  </from>
                  <to>
                    <xdr:col>4</xdr:col>
                    <xdr:colOff>518160</xdr:colOff>
                    <xdr:row>416</xdr:row>
                    <xdr:rowOff>533400</xdr:rowOff>
                  </to>
                </anchor>
              </controlPr>
            </control>
          </mc:Choice>
        </mc:AlternateContent>
        <mc:AlternateContent xmlns:mc="http://schemas.openxmlformats.org/markup-compatibility/2006">
          <mc:Choice Requires="x14">
            <control shapeId="2572" r:id="rId513" name="Check Box 524">
              <controlPr defaultSize="0" autoFill="0" autoLine="0" autoPict="0">
                <anchor moveWithCells="1">
                  <from>
                    <xdr:col>4</xdr:col>
                    <xdr:colOff>281940</xdr:colOff>
                    <xdr:row>418</xdr:row>
                    <xdr:rowOff>198120</xdr:rowOff>
                  </from>
                  <to>
                    <xdr:col>4</xdr:col>
                    <xdr:colOff>518160</xdr:colOff>
                    <xdr:row>418</xdr:row>
                    <xdr:rowOff>533400</xdr:rowOff>
                  </to>
                </anchor>
              </controlPr>
            </control>
          </mc:Choice>
        </mc:AlternateContent>
        <mc:AlternateContent xmlns:mc="http://schemas.openxmlformats.org/markup-compatibility/2006">
          <mc:Choice Requires="x14">
            <control shapeId="2573" r:id="rId514" name="Check Box 525">
              <controlPr defaultSize="0" autoFill="0" autoLine="0" autoPict="0">
                <anchor moveWithCells="1">
                  <from>
                    <xdr:col>4</xdr:col>
                    <xdr:colOff>281940</xdr:colOff>
                    <xdr:row>418</xdr:row>
                    <xdr:rowOff>198120</xdr:rowOff>
                  </from>
                  <to>
                    <xdr:col>4</xdr:col>
                    <xdr:colOff>518160</xdr:colOff>
                    <xdr:row>418</xdr:row>
                    <xdr:rowOff>533400</xdr:rowOff>
                  </to>
                </anchor>
              </controlPr>
            </control>
          </mc:Choice>
        </mc:AlternateContent>
        <mc:AlternateContent xmlns:mc="http://schemas.openxmlformats.org/markup-compatibility/2006">
          <mc:Choice Requires="x14">
            <control shapeId="2574" r:id="rId515" name="Check Box 526">
              <controlPr defaultSize="0" autoFill="0" autoLine="0" autoPict="0">
                <anchor moveWithCells="1">
                  <from>
                    <xdr:col>4</xdr:col>
                    <xdr:colOff>281940</xdr:colOff>
                    <xdr:row>419</xdr:row>
                    <xdr:rowOff>198120</xdr:rowOff>
                  </from>
                  <to>
                    <xdr:col>4</xdr:col>
                    <xdr:colOff>518160</xdr:colOff>
                    <xdr:row>419</xdr:row>
                    <xdr:rowOff>533400</xdr:rowOff>
                  </to>
                </anchor>
              </controlPr>
            </control>
          </mc:Choice>
        </mc:AlternateContent>
        <mc:AlternateContent xmlns:mc="http://schemas.openxmlformats.org/markup-compatibility/2006">
          <mc:Choice Requires="x14">
            <control shapeId="2575" r:id="rId516" name="Check Box 527">
              <controlPr defaultSize="0" autoFill="0" autoLine="0" autoPict="0">
                <anchor moveWithCells="1">
                  <from>
                    <xdr:col>4</xdr:col>
                    <xdr:colOff>281940</xdr:colOff>
                    <xdr:row>419</xdr:row>
                    <xdr:rowOff>198120</xdr:rowOff>
                  </from>
                  <to>
                    <xdr:col>4</xdr:col>
                    <xdr:colOff>518160</xdr:colOff>
                    <xdr:row>419</xdr:row>
                    <xdr:rowOff>533400</xdr:rowOff>
                  </to>
                </anchor>
              </controlPr>
            </control>
          </mc:Choice>
        </mc:AlternateContent>
        <mc:AlternateContent xmlns:mc="http://schemas.openxmlformats.org/markup-compatibility/2006">
          <mc:Choice Requires="x14">
            <control shapeId="2576" r:id="rId517" name="Check Box 528">
              <controlPr defaultSize="0" autoFill="0" autoLine="0" autoPict="0">
                <anchor moveWithCells="1">
                  <from>
                    <xdr:col>4</xdr:col>
                    <xdr:colOff>281940</xdr:colOff>
                    <xdr:row>420</xdr:row>
                    <xdr:rowOff>198120</xdr:rowOff>
                  </from>
                  <to>
                    <xdr:col>4</xdr:col>
                    <xdr:colOff>518160</xdr:colOff>
                    <xdr:row>420</xdr:row>
                    <xdr:rowOff>533400</xdr:rowOff>
                  </to>
                </anchor>
              </controlPr>
            </control>
          </mc:Choice>
        </mc:AlternateContent>
        <mc:AlternateContent xmlns:mc="http://schemas.openxmlformats.org/markup-compatibility/2006">
          <mc:Choice Requires="x14">
            <control shapeId="2577" r:id="rId518" name="Check Box 529">
              <controlPr defaultSize="0" autoFill="0" autoLine="0" autoPict="0">
                <anchor moveWithCells="1">
                  <from>
                    <xdr:col>4</xdr:col>
                    <xdr:colOff>281940</xdr:colOff>
                    <xdr:row>420</xdr:row>
                    <xdr:rowOff>198120</xdr:rowOff>
                  </from>
                  <to>
                    <xdr:col>4</xdr:col>
                    <xdr:colOff>518160</xdr:colOff>
                    <xdr:row>420</xdr:row>
                    <xdr:rowOff>533400</xdr:rowOff>
                  </to>
                </anchor>
              </controlPr>
            </control>
          </mc:Choice>
        </mc:AlternateContent>
        <mc:AlternateContent xmlns:mc="http://schemas.openxmlformats.org/markup-compatibility/2006">
          <mc:Choice Requires="x14">
            <control shapeId="2578" r:id="rId519" name="Check Box 530">
              <controlPr defaultSize="0" autoFill="0" autoLine="0" autoPict="0">
                <anchor moveWithCells="1">
                  <from>
                    <xdr:col>4</xdr:col>
                    <xdr:colOff>281940</xdr:colOff>
                    <xdr:row>422</xdr:row>
                    <xdr:rowOff>198120</xdr:rowOff>
                  </from>
                  <to>
                    <xdr:col>4</xdr:col>
                    <xdr:colOff>518160</xdr:colOff>
                    <xdr:row>422</xdr:row>
                    <xdr:rowOff>533400</xdr:rowOff>
                  </to>
                </anchor>
              </controlPr>
            </control>
          </mc:Choice>
        </mc:AlternateContent>
        <mc:AlternateContent xmlns:mc="http://schemas.openxmlformats.org/markup-compatibility/2006">
          <mc:Choice Requires="x14">
            <control shapeId="2579" r:id="rId520" name="Check Box 531">
              <controlPr defaultSize="0" autoFill="0" autoLine="0" autoPict="0">
                <anchor moveWithCells="1">
                  <from>
                    <xdr:col>4</xdr:col>
                    <xdr:colOff>281940</xdr:colOff>
                    <xdr:row>422</xdr:row>
                    <xdr:rowOff>198120</xdr:rowOff>
                  </from>
                  <to>
                    <xdr:col>4</xdr:col>
                    <xdr:colOff>518160</xdr:colOff>
                    <xdr:row>422</xdr:row>
                    <xdr:rowOff>533400</xdr:rowOff>
                  </to>
                </anchor>
              </controlPr>
            </control>
          </mc:Choice>
        </mc:AlternateContent>
        <mc:AlternateContent xmlns:mc="http://schemas.openxmlformats.org/markup-compatibility/2006">
          <mc:Choice Requires="x14">
            <control shapeId="2580" r:id="rId521" name="Check Box 532">
              <controlPr defaultSize="0" autoFill="0" autoLine="0" autoPict="0">
                <anchor moveWithCells="1">
                  <from>
                    <xdr:col>4</xdr:col>
                    <xdr:colOff>281940</xdr:colOff>
                    <xdr:row>423</xdr:row>
                    <xdr:rowOff>198120</xdr:rowOff>
                  </from>
                  <to>
                    <xdr:col>4</xdr:col>
                    <xdr:colOff>518160</xdr:colOff>
                    <xdr:row>423</xdr:row>
                    <xdr:rowOff>533400</xdr:rowOff>
                  </to>
                </anchor>
              </controlPr>
            </control>
          </mc:Choice>
        </mc:AlternateContent>
        <mc:AlternateContent xmlns:mc="http://schemas.openxmlformats.org/markup-compatibility/2006">
          <mc:Choice Requires="x14">
            <control shapeId="2581" r:id="rId522" name="Check Box 533">
              <controlPr defaultSize="0" autoFill="0" autoLine="0" autoPict="0">
                <anchor moveWithCells="1">
                  <from>
                    <xdr:col>4</xdr:col>
                    <xdr:colOff>281940</xdr:colOff>
                    <xdr:row>423</xdr:row>
                    <xdr:rowOff>198120</xdr:rowOff>
                  </from>
                  <to>
                    <xdr:col>4</xdr:col>
                    <xdr:colOff>518160</xdr:colOff>
                    <xdr:row>423</xdr:row>
                    <xdr:rowOff>533400</xdr:rowOff>
                  </to>
                </anchor>
              </controlPr>
            </control>
          </mc:Choice>
        </mc:AlternateContent>
        <mc:AlternateContent xmlns:mc="http://schemas.openxmlformats.org/markup-compatibility/2006">
          <mc:Choice Requires="x14">
            <control shapeId="2582" r:id="rId523" name="Check Box 534">
              <controlPr defaultSize="0" autoFill="0" autoLine="0" autoPict="0">
                <anchor moveWithCells="1">
                  <from>
                    <xdr:col>4</xdr:col>
                    <xdr:colOff>281940</xdr:colOff>
                    <xdr:row>424</xdr:row>
                    <xdr:rowOff>198120</xdr:rowOff>
                  </from>
                  <to>
                    <xdr:col>4</xdr:col>
                    <xdr:colOff>518160</xdr:colOff>
                    <xdr:row>424</xdr:row>
                    <xdr:rowOff>533400</xdr:rowOff>
                  </to>
                </anchor>
              </controlPr>
            </control>
          </mc:Choice>
        </mc:AlternateContent>
        <mc:AlternateContent xmlns:mc="http://schemas.openxmlformats.org/markup-compatibility/2006">
          <mc:Choice Requires="x14">
            <control shapeId="2583" r:id="rId524" name="Check Box 535">
              <controlPr defaultSize="0" autoFill="0" autoLine="0" autoPict="0">
                <anchor moveWithCells="1">
                  <from>
                    <xdr:col>4</xdr:col>
                    <xdr:colOff>281940</xdr:colOff>
                    <xdr:row>424</xdr:row>
                    <xdr:rowOff>198120</xdr:rowOff>
                  </from>
                  <to>
                    <xdr:col>4</xdr:col>
                    <xdr:colOff>518160</xdr:colOff>
                    <xdr:row>424</xdr:row>
                    <xdr:rowOff>533400</xdr:rowOff>
                  </to>
                </anchor>
              </controlPr>
            </control>
          </mc:Choice>
        </mc:AlternateContent>
        <mc:AlternateContent xmlns:mc="http://schemas.openxmlformats.org/markup-compatibility/2006">
          <mc:Choice Requires="x14">
            <control shapeId="2584" r:id="rId525" name="Check Box 536">
              <controlPr defaultSize="0" autoFill="0" autoLine="0" autoPict="0">
                <anchor moveWithCells="1">
                  <from>
                    <xdr:col>4</xdr:col>
                    <xdr:colOff>281940</xdr:colOff>
                    <xdr:row>425</xdr:row>
                    <xdr:rowOff>198120</xdr:rowOff>
                  </from>
                  <to>
                    <xdr:col>4</xdr:col>
                    <xdr:colOff>518160</xdr:colOff>
                    <xdr:row>425</xdr:row>
                    <xdr:rowOff>533400</xdr:rowOff>
                  </to>
                </anchor>
              </controlPr>
            </control>
          </mc:Choice>
        </mc:AlternateContent>
        <mc:AlternateContent xmlns:mc="http://schemas.openxmlformats.org/markup-compatibility/2006">
          <mc:Choice Requires="x14">
            <control shapeId="2585" r:id="rId526" name="Check Box 537">
              <controlPr defaultSize="0" autoFill="0" autoLine="0" autoPict="0">
                <anchor moveWithCells="1">
                  <from>
                    <xdr:col>4</xdr:col>
                    <xdr:colOff>281940</xdr:colOff>
                    <xdr:row>425</xdr:row>
                    <xdr:rowOff>198120</xdr:rowOff>
                  </from>
                  <to>
                    <xdr:col>4</xdr:col>
                    <xdr:colOff>518160</xdr:colOff>
                    <xdr:row>425</xdr:row>
                    <xdr:rowOff>533400</xdr:rowOff>
                  </to>
                </anchor>
              </controlPr>
            </control>
          </mc:Choice>
        </mc:AlternateContent>
        <mc:AlternateContent xmlns:mc="http://schemas.openxmlformats.org/markup-compatibility/2006">
          <mc:Choice Requires="x14">
            <control shapeId="2586" r:id="rId527" name="Check Box 538">
              <controlPr defaultSize="0" autoFill="0" autoLine="0" autoPict="0">
                <anchor moveWithCells="1">
                  <from>
                    <xdr:col>4</xdr:col>
                    <xdr:colOff>281940</xdr:colOff>
                    <xdr:row>430</xdr:row>
                    <xdr:rowOff>198120</xdr:rowOff>
                  </from>
                  <to>
                    <xdr:col>4</xdr:col>
                    <xdr:colOff>518160</xdr:colOff>
                    <xdr:row>430</xdr:row>
                    <xdr:rowOff>533400</xdr:rowOff>
                  </to>
                </anchor>
              </controlPr>
            </control>
          </mc:Choice>
        </mc:AlternateContent>
        <mc:AlternateContent xmlns:mc="http://schemas.openxmlformats.org/markup-compatibility/2006">
          <mc:Choice Requires="x14">
            <control shapeId="2587" r:id="rId528" name="Check Box 539">
              <controlPr defaultSize="0" autoFill="0" autoLine="0" autoPict="0">
                <anchor moveWithCells="1">
                  <from>
                    <xdr:col>4</xdr:col>
                    <xdr:colOff>281940</xdr:colOff>
                    <xdr:row>430</xdr:row>
                    <xdr:rowOff>198120</xdr:rowOff>
                  </from>
                  <to>
                    <xdr:col>4</xdr:col>
                    <xdr:colOff>518160</xdr:colOff>
                    <xdr:row>430</xdr:row>
                    <xdr:rowOff>533400</xdr:rowOff>
                  </to>
                </anchor>
              </controlPr>
            </control>
          </mc:Choice>
        </mc:AlternateContent>
        <mc:AlternateContent xmlns:mc="http://schemas.openxmlformats.org/markup-compatibility/2006">
          <mc:Choice Requires="x14">
            <control shapeId="2588" r:id="rId529" name="Check Box 540">
              <controlPr defaultSize="0" autoFill="0" autoLine="0" autoPict="0">
                <anchor moveWithCells="1">
                  <from>
                    <xdr:col>4</xdr:col>
                    <xdr:colOff>281940</xdr:colOff>
                    <xdr:row>431</xdr:row>
                    <xdr:rowOff>198120</xdr:rowOff>
                  </from>
                  <to>
                    <xdr:col>4</xdr:col>
                    <xdr:colOff>518160</xdr:colOff>
                    <xdr:row>431</xdr:row>
                    <xdr:rowOff>533400</xdr:rowOff>
                  </to>
                </anchor>
              </controlPr>
            </control>
          </mc:Choice>
        </mc:AlternateContent>
        <mc:AlternateContent xmlns:mc="http://schemas.openxmlformats.org/markup-compatibility/2006">
          <mc:Choice Requires="x14">
            <control shapeId="2589" r:id="rId530" name="Check Box 541">
              <controlPr defaultSize="0" autoFill="0" autoLine="0" autoPict="0">
                <anchor moveWithCells="1">
                  <from>
                    <xdr:col>4</xdr:col>
                    <xdr:colOff>281940</xdr:colOff>
                    <xdr:row>431</xdr:row>
                    <xdr:rowOff>198120</xdr:rowOff>
                  </from>
                  <to>
                    <xdr:col>4</xdr:col>
                    <xdr:colOff>518160</xdr:colOff>
                    <xdr:row>431</xdr:row>
                    <xdr:rowOff>533400</xdr:rowOff>
                  </to>
                </anchor>
              </controlPr>
            </control>
          </mc:Choice>
        </mc:AlternateContent>
        <mc:AlternateContent xmlns:mc="http://schemas.openxmlformats.org/markup-compatibility/2006">
          <mc:Choice Requires="x14">
            <control shapeId="2590" r:id="rId531" name="Check Box 542">
              <controlPr defaultSize="0" autoFill="0" autoLine="0" autoPict="0">
                <anchor moveWithCells="1">
                  <from>
                    <xdr:col>4</xdr:col>
                    <xdr:colOff>281940</xdr:colOff>
                    <xdr:row>432</xdr:row>
                    <xdr:rowOff>198120</xdr:rowOff>
                  </from>
                  <to>
                    <xdr:col>4</xdr:col>
                    <xdr:colOff>518160</xdr:colOff>
                    <xdr:row>432</xdr:row>
                    <xdr:rowOff>533400</xdr:rowOff>
                  </to>
                </anchor>
              </controlPr>
            </control>
          </mc:Choice>
        </mc:AlternateContent>
        <mc:AlternateContent xmlns:mc="http://schemas.openxmlformats.org/markup-compatibility/2006">
          <mc:Choice Requires="x14">
            <control shapeId="2591" r:id="rId532" name="Check Box 543">
              <controlPr defaultSize="0" autoFill="0" autoLine="0" autoPict="0">
                <anchor moveWithCells="1">
                  <from>
                    <xdr:col>4</xdr:col>
                    <xdr:colOff>281940</xdr:colOff>
                    <xdr:row>432</xdr:row>
                    <xdr:rowOff>198120</xdr:rowOff>
                  </from>
                  <to>
                    <xdr:col>4</xdr:col>
                    <xdr:colOff>518160</xdr:colOff>
                    <xdr:row>432</xdr:row>
                    <xdr:rowOff>533400</xdr:rowOff>
                  </to>
                </anchor>
              </controlPr>
            </control>
          </mc:Choice>
        </mc:AlternateContent>
        <mc:AlternateContent xmlns:mc="http://schemas.openxmlformats.org/markup-compatibility/2006">
          <mc:Choice Requires="x14">
            <control shapeId="2592" r:id="rId533" name="Check Box 544">
              <controlPr defaultSize="0" autoFill="0" autoLine="0" autoPict="0">
                <anchor moveWithCells="1">
                  <from>
                    <xdr:col>4</xdr:col>
                    <xdr:colOff>281940</xdr:colOff>
                    <xdr:row>433</xdr:row>
                    <xdr:rowOff>198120</xdr:rowOff>
                  </from>
                  <to>
                    <xdr:col>4</xdr:col>
                    <xdr:colOff>518160</xdr:colOff>
                    <xdr:row>433</xdr:row>
                    <xdr:rowOff>533400</xdr:rowOff>
                  </to>
                </anchor>
              </controlPr>
            </control>
          </mc:Choice>
        </mc:AlternateContent>
        <mc:AlternateContent xmlns:mc="http://schemas.openxmlformats.org/markup-compatibility/2006">
          <mc:Choice Requires="x14">
            <control shapeId="2593" r:id="rId534" name="Check Box 545">
              <controlPr defaultSize="0" autoFill="0" autoLine="0" autoPict="0">
                <anchor moveWithCells="1">
                  <from>
                    <xdr:col>4</xdr:col>
                    <xdr:colOff>281940</xdr:colOff>
                    <xdr:row>433</xdr:row>
                    <xdr:rowOff>198120</xdr:rowOff>
                  </from>
                  <to>
                    <xdr:col>4</xdr:col>
                    <xdr:colOff>518160</xdr:colOff>
                    <xdr:row>433</xdr:row>
                    <xdr:rowOff>533400</xdr:rowOff>
                  </to>
                </anchor>
              </controlPr>
            </control>
          </mc:Choice>
        </mc:AlternateContent>
        <mc:AlternateContent xmlns:mc="http://schemas.openxmlformats.org/markup-compatibility/2006">
          <mc:Choice Requires="x14">
            <control shapeId="2594" r:id="rId535" name="Check Box 546">
              <controlPr defaultSize="0" autoFill="0" autoLine="0" autoPict="0">
                <anchor moveWithCells="1">
                  <from>
                    <xdr:col>4</xdr:col>
                    <xdr:colOff>281940</xdr:colOff>
                    <xdr:row>434</xdr:row>
                    <xdr:rowOff>198120</xdr:rowOff>
                  </from>
                  <to>
                    <xdr:col>4</xdr:col>
                    <xdr:colOff>518160</xdr:colOff>
                    <xdr:row>434</xdr:row>
                    <xdr:rowOff>533400</xdr:rowOff>
                  </to>
                </anchor>
              </controlPr>
            </control>
          </mc:Choice>
        </mc:AlternateContent>
        <mc:AlternateContent xmlns:mc="http://schemas.openxmlformats.org/markup-compatibility/2006">
          <mc:Choice Requires="x14">
            <control shapeId="2595" r:id="rId536" name="Check Box 547">
              <controlPr defaultSize="0" autoFill="0" autoLine="0" autoPict="0">
                <anchor moveWithCells="1">
                  <from>
                    <xdr:col>4</xdr:col>
                    <xdr:colOff>281940</xdr:colOff>
                    <xdr:row>434</xdr:row>
                    <xdr:rowOff>198120</xdr:rowOff>
                  </from>
                  <to>
                    <xdr:col>4</xdr:col>
                    <xdr:colOff>518160</xdr:colOff>
                    <xdr:row>434</xdr:row>
                    <xdr:rowOff>533400</xdr:rowOff>
                  </to>
                </anchor>
              </controlPr>
            </control>
          </mc:Choice>
        </mc:AlternateContent>
        <mc:AlternateContent xmlns:mc="http://schemas.openxmlformats.org/markup-compatibility/2006">
          <mc:Choice Requires="x14">
            <control shapeId="2596" r:id="rId537" name="Check Box 548">
              <controlPr defaultSize="0" autoFill="0" autoLine="0" autoPict="0">
                <anchor moveWithCells="1">
                  <from>
                    <xdr:col>4</xdr:col>
                    <xdr:colOff>281940</xdr:colOff>
                    <xdr:row>435</xdr:row>
                    <xdr:rowOff>198120</xdr:rowOff>
                  </from>
                  <to>
                    <xdr:col>4</xdr:col>
                    <xdr:colOff>518160</xdr:colOff>
                    <xdr:row>435</xdr:row>
                    <xdr:rowOff>533400</xdr:rowOff>
                  </to>
                </anchor>
              </controlPr>
            </control>
          </mc:Choice>
        </mc:AlternateContent>
        <mc:AlternateContent xmlns:mc="http://schemas.openxmlformats.org/markup-compatibility/2006">
          <mc:Choice Requires="x14">
            <control shapeId="2597" r:id="rId538" name="Check Box 549">
              <controlPr defaultSize="0" autoFill="0" autoLine="0" autoPict="0">
                <anchor moveWithCells="1">
                  <from>
                    <xdr:col>4</xdr:col>
                    <xdr:colOff>281940</xdr:colOff>
                    <xdr:row>435</xdr:row>
                    <xdr:rowOff>198120</xdr:rowOff>
                  </from>
                  <to>
                    <xdr:col>4</xdr:col>
                    <xdr:colOff>518160</xdr:colOff>
                    <xdr:row>435</xdr:row>
                    <xdr:rowOff>533400</xdr:rowOff>
                  </to>
                </anchor>
              </controlPr>
            </control>
          </mc:Choice>
        </mc:AlternateContent>
        <mc:AlternateContent xmlns:mc="http://schemas.openxmlformats.org/markup-compatibility/2006">
          <mc:Choice Requires="x14">
            <control shapeId="2598" r:id="rId539" name="Check Box 550">
              <controlPr defaultSize="0" autoFill="0" autoLine="0" autoPict="0">
                <anchor moveWithCells="1">
                  <from>
                    <xdr:col>4</xdr:col>
                    <xdr:colOff>281940</xdr:colOff>
                    <xdr:row>437</xdr:row>
                    <xdr:rowOff>198120</xdr:rowOff>
                  </from>
                  <to>
                    <xdr:col>4</xdr:col>
                    <xdr:colOff>518160</xdr:colOff>
                    <xdr:row>437</xdr:row>
                    <xdr:rowOff>533400</xdr:rowOff>
                  </to>
                </anchor>
              </controlPr>
            </control>
          </mc:Choice>
        </mc:AlternateContent>
        <mc:AlternateContent xmlns:mc="http://schemas.openxmlformats.org/markup-compatibility/2006">
          <mc:Choice Requires="x14">
            <control shapeId="2599" r:id="rId540" name="Check Box 551">
              <controlPr defaultSize="0" autoFill="0" autoLine="0" autoPict="0">
                <anchor moveWithCells="1">
                  <from>
                    <xdr:col>4</xdr:col>
                    <xdr:colOff>281940</xdr:colOff>
                    <xdr:row>437</xdr:row>
                    <xdr:rowOff>198120</xdr:rowOff>
                  </from>
                  <to>
                    <xdr:col>4</xdr:col>
                    <xdr:colOff>518160</xdr:colOff>
                    <xdr:row>437</xdr:row>
                    <xdr:rowOff>533400</xdr:rowOff>
                  </to>
                </anchor>
              </controlPr>
            </control>
          </mc:Choice>
        </mc:AlternateContent>
        <mc:AlternateContent xmlns:mc="http://schemas.openxmlformats.org/markup-compatibility/2006">
          <mc:Choice Requires="x14">
            <control shapeId="2600" r:id="rId541" name="Check Box 552">
              <controlPr defaultSize="0" autoFill="0" autoLine="0" autoPict="0">
                <anchor moveWithCells="1">
                  <from>
                    <xdr:col>4</xdr:col>
                    <xdr:colOff>281940</xdr:colOff>
                    <xdr:row>438</xdr:row>
                    <xdr:rowOff>198120</xdr:rowOff>
                  </from>
                  <to>
                    <xdr:col>4</xdr:col>
                    <xdr:colOff>518160</xdr:colOff>
                    <xdr:row>438</xdr:row>
                    <xdr:rowOff>533400</xdr:rowOff>
                  </to>
                </anchor>
              </controlPr>
            </control>
          </mc:Choice>
        </mc:AlternateContent>
        <mc:AlternateContent xmlns:mc="http://schemas.openxmlformats.org/markup-compatibility/2006">
          <mc:Choice Requires="x14">
            <control shapeId="2601" r:id="rId542" name="Check Box 553">
              <controlPr defaultSize="0" autoFill="0" autoLine="0" autoPict="0">
                <anchor moveWithCells="1">
                  <from>
                    <xdr:col>4</xdr:col>
                    <xdr:colOff>281940</xdr:colOff>
                    <xdr:row>438</xdr:row>
                    <xdr:rowOff>198120</xdr:rowOff>
                  </from>
                  <to>
                    <xdr:col>4</xdr:col>
                    <xdr:colOff>518160</xdr:colOff>
                    <xdr:row>438</xdr:row>
                    <xdr:rowOff>533400</xdr:rowOff>
                  </to>
                </anchor>
              </controlPr>
            </control>
          </mc:Choice>
        </mc:AlternateContent>
        <mc:AlternateContent xmlns:mc="http://schemas.openxmlformats.org/markup-compatibility/2006">
          <mc:Choice Requires="x14">
            <control shapeId="2602" r:id="rId543" name="Check Box 554">
              <controlPr defaultSize="0" autoFill="0" autoLine="0" autoPict="0">
                <anchor moveWithCells="1">
                  <from>
                    <xdr:col>4</xdr:col>
                    <xdr:colOff>281940</xdr:colOff>
                    <xdr:row>439</xdr:row>
                    <xdr:rowOff>198120</xdr:rowOff>
                  </from>
                  <to>
                    <xdr:col>4</xdr:col>
                    <xdr:colOff>518160</xdr:colOff>
                    <xdr:row>439</xdr:row>
                    <xdr:rowOff>533400</xdr:rowOff>
                  </to>
                </anchor>
              </controlPr>
            </control>
          </mc:Choice>
        </mc:AlternateContent>
        <mc:AlternateContent xmlns:mc="http://schemas.openxmlformats.org/markup-compatibility/2006">
          <mc:Choice Requires="x14">
            <control shapeId="2603" r:id="rId544" name="Check Box 555">
              <controlPr defaultSize="0" autoFill="0" autoLine="0" autoPict="0">
                <anchor moveWithCells="1">
                  <from>
                    <xdr:col>4</xdr:col>
                    <xdr:colOff>281940</xdr:colOff>
                    <xdr:row>439</xdr:row>
                    <xdr:rowOff>198120</xdr:rowOff>
                  </from>
                  <to>
                    <xdr:col>4</xdr:col>
                    <xdr:colOff>518160</xdr:colOff>
                    <xdr:row>439</xdr:row>
                    <xdr:rowOff>533400</xdr:rowOff>
                  </to>
                </anchor>
              </controlPr>
            </control>
          </mc:Choice>
        </mc:AlternateContent>
        <mc:AlternateContent xmlns:mc="http://schemas.openxmlformats.org/markup-compatibility/2006">
          <mc:Choice Requires="x14">
            <control shapeId="2604" r:id="rId545" name="Check Box 556">
              <controlPr defaultSize="0" autoFill="0" autoLine="0" autoPict="0">
                <anchor moveWithCells="1">
                  <from>
                    <xdr:col>4</xdr:col>
                    <xdr:colOff>281940</xdr:colOff>
                    <xdr:row>440</xdr:row>
                    <xdr:rowOff>198120</xdr:rowOff>
                  </from>
                  <to>
                    <xdr:col>4</xdr:col>
                    <xdr:colOff>518160</xdr:colOff>
                    <xdr:row>440</xdr:row>
                    <xdr:rowOff>533400</xdr:rowOff>
                  </to>
                </anchor>
              </controlPr>
            </control>
          </mc:Choice>
        </mc:AlternateContent>
        <mc:AlternateContent xmlns:mc="http://schemas.openxmlformats.org/markup-compatibility/2006">
          <mc:Choice Requires="x14">
            <control shapeId="2605" r:id="rId546" name="Check Box 557">
              <controlPr defaultSize="0" autoFill="0" autoLine="0" autoPict="0">
                <anchor moveWithCells="1">
                  <from>
                    <xdr:col>4</xdr:col>
                    <xdr:colOff>281940</xdr:colOff>
                    <xdr:row>440</xdr:row>
                    <xdr:rowOff>198120</xdr:rowOff>
                  </from>
                  <to>
                    <xdr:col>4</xdr:col>
                    <xdr:colOff>518160</xdr:colOff>
                    <xdr:row>440</xdr:row>
                    <xdr:rowOff>533400</xdr:rowOff>
                  </to>
                </anchor>
              </controlPr>
            </control>
          </mc:Choice>
        </mc:AlternateContent>
        <mc:AlternateContent xmlns:mc="http://schemas.openxmlformats.org/markup-compatibility/2006">
          <mc:Choice Requires="x14">
            <control shapeId="2606" r:id="rId547" name="Check Box 558">
              <controlPr defaultSize="0" autoFill="0" autoLine="0" autoPict="0">
                <anchor moveWithCells="1">
                  <from>
                    <xdr:col>4</xdr:col>
                    <xdr:colOff>281940</xdr:colOff>
                    <xdr:row>441</xdr:row>
                    <xdr:rowOff>198120</xdr:rowOff>
                  </from>
                  <to>
                    <xdr:col>4</xdr:col>
                    <xdr:colOff>518160</xdr:colOff>
                    <xdr:row>441</xdr:row>
                    <xdr:rowOff>533400</xdr:rowOff>
                  </to>
                </anchor>
              </controlPr>
            </control>
          </mc:Choice>
        </mc:AlternateContent>
        <mc:AlternateContent xmlns:mc="http://schemas.openxmlformats.org/markup-compatibility/2006">
          <mc:Choice Requires="x14">
            <control shapeId="2607" r:id="rId548" name="Check Box 559">
              <controlPr defaultSize="0" autoFill="0" autoLine="0" autoPict="0">
                <anchor moveWithCells="1">
                  <from>
                    <xdr:col>4</xdr:col>
                    <xdr:colOff>281940</xdr:colOff>
                    <xdr:row>441</xdr:row>
                    <xdr:rowOff>198120</xdr:rowOff>
                  </from>
                  <to>
                    <xdr:col>4</xdr:col>
                    <xdr:colOff>518160</xdr:colOff>
                    <xdr:row>441</xdr:row>
                    <xdr:rowOff>533400</xdr:rowOff>
                  </to>
                </anchor>
              </controlPr>
            </control>
          </mc:Choice>
        </mc:AlternateContent>
        <mc:AlternateContent xmlns:mc="http://schemas.openxmlformats.org/markup-compatibility/2006">
          <mc:Choice Requires="x14">
            <control shapeId="2608" r:id="rId549" name="Check Box 560">
              <controlPr defaultSize="0" autoFill="0" autoLine="0" autoPict="0">
                <anchor moveWithCells="1">
                  <from>
                    <xdr:col>4</xdr:col>
                    <xdr:colOff>281940</xdr:colOff>
                    <xdr:row>442</xdr:row>
                    <xdr:rowOff>198120</xdr:rowOff>
                  </from>
                  <to>
                    <xdr:col>4</xdr:col>
                    <xdr:colOff>518160</xdr:colOff>
                    <xdr:row>442</xdr:row>
                    <xdr:rowOff>533400</xdr:rowOff>
                  </to>
                </anchor>
              </controlPr>
            </control>
          </mc:Choice>
        </mc:AlternateContent>
        <mc:AlternateContent xmlns:mc="http://schemas.openxmlformats.org/markup-compatibility/2006">
          <mc:Choice Requires="x14">
            <control shapeId="2609" r:id="rId550" name="Check Box 561">
              <controlPr defaultSize="0" autoFill="0" autoLine="0" autoPict="0">
                <anchor moveWithCells="1">
                  <from>
                    <xdr:col>4</xdr:col>
                    <xdr:colOff>281940</xdr:colOff>
                    <xdr:row>442</xdr:row>
                    <xdr:rowOff>198120</xdr:rowOff>
                  </from>
                  <to>
                    <xdr:col>4</xdr:col>
                    <xdr:colOff>518160</xdr:colOff>
                    <xdr:row>442</xdr:row>
                    <xdr:rowOff>533400</xdr:rowOff>
                  </to>
                </anchor>
              </controlPr>
            </control>
          </mc:Choice>
        </mc:AlternateContent>
        <mc:AlternateContent xmlns:mc="http://schemas.openxmlformats.org/markup-compatibility/2006">
          <mc:Choice Requires="x14">
            <control shapeId="2610" r:id="rId551" name="Check Box 562">
              <controlPr defaultSize="0" autoFill="0" autoLine="0" autoPict="0">
                <anchor moveWithCells="1">
                  <from>
                    <xdr:col>4</xdr:col>
                    <xdr:colOff>281940</xdr:colOff>
                    <xdr:row>443</xdr:row>
                    <xdr:rowOff>198120</xdr:rowOff>
                  </from>
                  <to>
                    <xdr:col>4</xdr:col>
                    <xdr:colOff>518160</xdr:colOff>
                    <xdr:row>443</xdr:row>
                    <xdr:rowOff>533400</xdr:rowOff>
                  </to>
                </anchor>
              </controlPr>
            </control>
          </mc:Choice>
        </mc:AlternateContent>
        <mc:AlternateContent xmlns:mc="http://schemas.openxmlformats.org/markup-compatibility/2006">
          <mc:Choice Requires="x14">
            <control shapeId="2611" r:id="rId552" name="Check Box 563">
              <controlPr defaultSize="0" autoFill="0" autoLine="0" autoPict="0">
                <anchor moveWithCells="1">
                  <from>
                    <xdr:col>4</xdr:col>
                    <xdr:colOff>281940</xdr:colOff>
                    <xdr:row>443</xdr:row>
                    <xdr:rowOff>198120</xdr:rowOff>
                  </from>
                  <to>
                    <xdr:col>4</xdr:col>
                    <xdr:colOff>518160</xdr:colOff>
                    <xdr:row>443</xdr:row>
                    <xdr:rowOff>533400</xdr:rowOff>
                  </to>
                </anchor>
              </controlPr>
            </control>
          </mc:Choice>
        </mc:AlternateContent>
        <mc:AlternateContent xmlns:mc="http://schemas.openxmlformats.org/markup-compatibility/2006">
          <mc:Choice Requires="x14">
            <control shapeId="2612" r:id="rId553" name="Check Box 564">
              <controlPr defaultSize="0" autoFill="0" autoLine="0" autoPict="0">
                <anchor moveWithCells="1">
                  <from>
                    <xdr:col>4</xdr:col>
                    <xdr:colOff>281940</xdr:colOff>
                    <xdr:row>444</xdr:row>
                    <xdr:rowOff>198120</xdr:rowOff>
                  </from>
                  <to>
                    <xdr:col>4</xdr:col>
                    <xdr:colOff>518160</xdr:colOff>
                    <xdr:row>444</xdr:row>
                    <xdr:rowOff>533400</xdr:rowOff>
                  </to>
                </anchor>
              </controlPr>
            </control>
          </mc:Choice>
        </mc:AlternateContent>
        <mc:AlternateContent xmlns:mc="http://schemas.openxmlformats.org/markup-compatibility/2006">
          <mc:Choice Requires="x14">
            <control shapeId="2613" r:id="rId554" name="Check Box 565">
              <controlPr defaultSize="0" autoFill="0" autoLine="0" autoPict="0">
                <anchor moveWithCells="1">
                  <from>
                    <xdr:col>4</xdr:col>
                    <xdr:colOff>281940</xdr:colOff>
                    <xdr:row>444</xdr:row>
                    <xdr:rowOff>198120</xdr:rowOff>
                  </from>
                  <to>
                    <xdr:col>4</xdr:col>
                    <xdr:colOff>518160</xdr:colOff>
                    <xdr:row>444</xdr:row>
                    <xdr:rowOff>533400</xdr:rowOff>
                  </to>
                </anchor>
              </controlPr>
            </control>
          </mc:Choice>
        </mc:AlternateContent>
        <mc:AlternateContent xmlns:mc="http://schemas.openxmlformats.org/markup-compatibility/2006">
          <mc:Choice Requires="x14">
            <control shapeId="2614" r:id="rId555" name="Check Box 566">
              <controlPr defaultSize="0" autoFill="0" autoLine="0" autoPict="0">
                <anchor moveWithCells="1">
                  <from>
                    <xdr:col>4</xdr:col>
                    <xdr:colOff>281940</xdr:colOff>
                    <xdr:row>446</xdr:row>
                    <xdr:rowOff>198120</xdr:rowOff>
                  </from>
                  <to>
                    <xdr:col>4</xdr:col>
                    <xdr:colOff>518160</xdr:colOff>
                    <xdr:row>446</xdr:row>
                    <xdr:rowOff>533400</xdr:rowOff>
                  </to>
                </anchor>
              </controlPr>
            </control>
          </mc:Choice>
        </mc:AlternateContent>
        <mc:AlternateContent xmlns:mc="http://schemas.openxmlformats.org/markup-compatibility/2006">
          <mc:Choice Requires="x14">
            <control shapeId="2615" r:id="rId556" name="Check Box 567">
              <controlPr defaultSize="0" autoFill="0" autoLine="0" autoPict="0">
                <anchor moveWithCells="1">
                  <from>
                    <xdr:col>4</xdr:col>
                    <xdr:colOff>281940</xdr:colOff>
                    <xdr:row>446</xdr:row>
                    <xdr:rowOff>198120</xdr:rowOff>
                  </from>
                  <to>
                    <xdr:col>4</xdr:col>
                    <xdr:colOff>518160</xdr:colOff>
                    <xdr:row>446</xdr:row>
                    <xdr:rowOff>533400</xdr:rowOff>
                  </to>
                </anchor>
              </controlPr>
            </control>
          </mc:Choice>
        </mc:AlternateContent>
        <mc:AlternateContent xmlns:mc="http://schemas.openxmlformats.org/markup-compatibility/2006">
          <mc:Choice Requires="x14">
            <control shapeId="2616" r:id="rId557" name="Check Box 568">
              <controlPr defaultSize="0" autoFill="0" autoLine="0" autoPict="0">
                <anchor moveWithCells="1">
                  <from>
                    <xdr:col>4</xdr:col>
                    <xdr:colOff>281940</xdr:colOff>
                    <xdr:row>447</xdr:row>
                    <xdr:rowOff>198120</xdr:rowOff>
                  </from>
                  <to>
                    <xdr:col>4</xdr:col>
                    <xdr:colOff>518160</xdr:colOff>
                    <xdr:row>447</xdr:row>
                    <xdr:rowOff>533400</xdr:rowOff>
                  </to>
                </anchor>
              </controlPr>
            </control>
          </mc:Choice>
        </mc:AlternateContent>
        <mc:AlternateContent xmlns:mc="http://schemas.openxmlformats.org/markup-compatibility/2006">
          <mc:Choice Requires="x14">
            <control shapeId="2617" r:id="rId558" name="Check Box 569">
              <controlPr defaultSize="0" autoFill="0" autoLine="0" autoPict="0">
                <anchor moveWithCells="1">
                  <from>
                    <xdr:col>4</xdr:col>
                    <xdr:colOff>281940</xdr:colOff>
                    <xdr:row>447</xdr:row>
                    <xdr:rowOff>198120</xdr:rowOff>
                  </from>
                  <to>
                    <xdr:col>4</xdr:col>
                    <xdr:colOff>518160</xdr:colOff>
                    <xdr:row>447</xdr:row>
                    <xdr:rowOff>533400</xdr:rowOff>
                  </to>
                </anchor>
              </controlPr>
            </control>
          </mc:Choice>
        </mc:AlternateContent>
        <mc:AlternateContent xmlns:mc="http://schemas.openxmlformats.org/markup-compatibility/2006">
          <mc:Choice Requires="x14">
            <control shapeId="2618" r:id="rId559" name="Check Box 570">
              <controlPr defaultSize="0" autoFill="0" autoLine="0" autoPict="0">
                <anchor moveWithCells="1">
                  <from>
                    <xdr:col>4</xdr:col>
                    <xdr:colOff>281940</xdr:colOff>
                    <xdr:row>448</xdr:row>
                    <xdr:rowOff>198120</xdr:rowOff>
                  </from>
                  <to>
                    <xdr:col>4</xdr:col>
                    <xdr:colOff>518160</xdr:colOff>
                    <xdr:row>448</xdr:row>
                    <xdr:rowOff>533400</xdr:rowOff>
                  </to>
                </anchor>
              </controlPr>
            </control>
          </mc:Choice>
        </mc:AlternateContent>
        <mc:AlternateContent xmlns:mc="http://schemas.openxmlformats.org/markup-compatibility/2006">
          <mc:Choice Requires="x14">
            <control shapeId="2619" r:id="rId560" name="Check Box 571">
              <controlPr defaultSize="0" autoFill="0" autoLine="0" autoPict="0">
                <anchor moveWithCells="1">
                  <from>
                    <xdr:col>4</xdr:col>
                    <xdr:colOff>281940</xdr:colOff>
                    <xdr:row>448</xdr:row>
                    <xdr:rowOff>198120</xdr:rowOff>
                  </from>
                  <to>
                    <xdr:col>4</xdr:col>
                    <xdr:colOff>518160</xdr:colOff>
                    <xdr:row>448</xdr:row>
                    <xdr:rowOff>533400</xdr:rowOff>
                  </to>
                </anchor>
              </controlPr>
            </control>
          </mc:Choice>
        </mc:AlternateContent>
        <mc:AlternateContent xmlns:mc="http://schemas.openxmlformats.org/markup-compatibility/2006">
          <mc:Choice Requires="x14">
            <control shapeId="2620" r:id="rId561" name="Check Box 572">
              <controlPr defaultSize="0" autoFill="0" autoLine="0" autoPict="0">
                <anchor moveWithCells="1">
                  <from>
                    <xdr:col>4</xdr:col>
                    <xdr:colOff>281940</xdr:colOff>
                    <xdr:row>450</xdr:row>
                    <xdr:rowOff>198120</xdr:rowOff>
                  </from>
                  <to>
                    <xdr:col>4</xdr:col>
                    <xdr:colOff>518160</xdr:colOff>
                    <xdr:row>450</xdr:row>
                    <xdr:rowOff>533400</xdr:rowOff>
                  </to>
                </anchor>
              </controlPr>
            </control>
          </mc:Choice>
        </mc:AlternateContent>
        <mc:AlternateContent xmlns:mc="http://schemas.openxmlformats.org/markup-compatibility/2006">
          <mc:Choice Requires="x14">
            <control shapeId="2621" r:id="rId562" name="Check Box 573">
              <controlPr defaultSize="0" autoFill="0" autoLine="0" autoPict="0">
                <anchor moveWithCells="1">
                  <from>
                    <xdr:col>4</xdr:col>
                    <xdr:colOff>281940</xdr:colOff>
                    <xdr:row>450</xdr:row>
                    <xdr:rowOff>198120</xdr:rowOff>
                  </from>
                  <to>
                    <xdr:col>4</xdr:col>
                    <xdr:colOff>518160</xdr:colOff>
                    <xdr:row>450</xdr:row>
                    <xdr:rowOff>533400</xdr:rowOff>
                  </to>
                </anchor>
              </controlPr>
            </control>
          </mc:Choice>
        </mc:AlternateContent>
        <mc:AlternateContent xmlns:mc="http://schemas.openxmlformats.org/markup-compatibility/2006">
          <mc:Choice Requires="x14">
            <control shapeId="2622" r:id="rId563" name="Check Box 574">
              <controlPr defaultSize="0" autoFill="0" autoLine="0" autoPict="0">
                <anchor moveWithCells="1">
                  <from>
                    <xdr:col>4</xdr:col>
                    <xdr:colOff>281940</xdr:colOff>
                    <xdr:row>451</xdr:row>
                    <xdr:rowOff>198120</xdr:rowOff>
                  </from>
                  <to>
                    <xdr:col>4</xdr:col>
                    <xdr:colOff>518160</xdr:colOff>
                    <xdr:row>451</xdr:row>
                    <xdr:rowOff>533400</xdr:rowOff>
                  </to>
                </anchor>
              </controlPr>
            </control>
          </mc:Choice>
        </mc:AlternateContent>
        <mc:AlternateContent xmlns:mc="http://schemas.openxmlformats.org/markup-compatibility/2006">
          <mc:Choice Requires="x14">
            <control shapeId="2623" r:id="rId564" name="Check Box 575">
              <controlPr defaultSize="0" autoFill="0" autoLine="0" autoPict="0">
                <anchor moveWithCells="1">
                  <from>
                    <xdr:col>4</xdr:col>
                    <xdr:colOff>281940</xdr:colOff>
                    <xdr:row>451</xdr:row>
                    <xdr:rowOff>198120</xdr:rowOff>
                  </from>
                  <to>
                    <xdr:col>4</xdr:col>
                    <xdr:colOff>518160</xdr:colOff>
                    <xdr:row>451</xdr:row>
                    <xdr:rowOff>533400</xdr:rowOff>
                  </to>
                </anchor>
              </controlPr>
            </control>
          </mc:Choice>
        </mc:AlternateContent>
        <mc:AlternateContent xmlns:mc="http://schemas.openxmlformats.org/markup-compatibility/2006">
          <mc:Choice Requires="x14">
            <control shapeId="2624" r:id="rId565" name="Check Box 576">
              <controlPr defaultSize="0" autoFill="0" autoLine="0" autoPict="0">
                <anchor moveWithCells="1">
                  <from>
                    <xdr:col>4</xdr:col>
                    <xdr:colOff>281940</xdr:colOff>
                    <xdr:row>452</xdr:row>
                    <xdr:rowOff>198120</xdr:rowOff>
                  </from>
                  <to>
                    <xdr:col>4</xdr:col>
                    <xdr:colOff>518160</xdr:colOff>
                    <xdr:row>452</xdr:row>
                    <xdr:rowOff>533400</xdr:rowOff>
                  </to>
                </anchor>
              </controlPr>
            </control>
          </mc:Choice>
        </mc:AlternateContent>
        <mc:AlternateContent xmlns:mc="http://schemas.openxmlformats.org/markup-compatibility/2006">
          <mc:Choice Requires="x14">
            <control shapeId="2625" r:id="rId566" name="Check Box 577">
              <controlPr defaultSize="0" autoFill="0" autoLine="0" autoPict="0">
                <anchor moveWithCells="1">
                  <from>
                    <xdr:col>4</xdr:col>
                    <xdr:colOff>281940</xdr:colOff>
                    <xdr:row>452</xdr:row>
                    <xdr:rowOff>198120</xdr:rowOff>
                  </from>
                  <to>
                    <xdr:col>4</xdr:col>
                    <xdr:colOff>518160</xdr:colOff>
                    <xdr:row>452</xdr:row>
                    <xdr:rowOff>533400</xdr:rowOff>
                  </to>
                </anchor>
              </controlPr>
            </control>
          </mc:Choice>
        </mc:AlternateContent>
        <mc:AlternateContent xmlns:mc="http://schemas.openxmlformats.org/markup-compatibility/2006">
          <mc:Choice Requires="x14">
            <control shapeId="2626" r:id="rId567" name="Check Box 578">
              <controlPr defaultSize="0" autoFill="0" autoLine="0" autoPict="0">
                <anchor moveWithCells="1">
                  <from>
                    <xdr:col>4</xdr:col>
                    <xdr:colOff>281940</xdr:colOff>
                    <xdr:row>453</xdr:row>
                    <xdr:rowOff>198120</xdr:rowOff>
                  </from>
                  <to>
                    <xdr:col>4</xdr:col>
                    <xdr:colOff>518160</xdr:colOff>
                    <xdr:row>453</xdr:row>
                    <xdr:rowOff>533400</xdr:rowOff>
                  </to>
                </anchor>
              </controlPr>
            </control>
          </mc:Choice>
        </mc:AlternateContent>
        <mc:AlternateContent xmlns:mc="http://schemas.openxmlformats.org/markup-compatibility/2006">
          <mc:Choice Requires="x14">
            <control shapeId="2627" r:id="rId568" name="Check Box 579">
              <controlPr defaultSize="0" autoFill="0" autoLine="0" autoPict="0">
                <anchor moveWithCells="1">
                  <from>
                    <xdr:col>4</xdr:col>
                    <xdr:colOff>281940</xdr:colOff>
                    <xdr:row>453</xdr:row>
                    <xdr:rowOff>198120</xdr:rowOff>
                  </from>
                  <to>
                    <xdr:col>4</xdr:col>
                    <xdr:colOff>518160</xdr:colOff>
                    <xdr:row>453</xdr:row>
                    <xdr:rowOff>533400</xdr:rowOff>
                  </to>
                </anchor>
              </controlPr>
            </control>
          </mc:Choice>
        </mc:AlternateContent>
        <mc:AlternateContent xmlns:mc="http://schemas.openxmlformats.org/markup-compatibility/2006">
          <mc:Choice Requires="x14">
            <control shapeId="2628" r:id="rId569" name="Check Box 580">
              <controlPr defaultSize="0" autoFill="0" autoLine="0" autoPict="0">
                <anchor moveWithCells="1">
                  <from>
                    <xdr:col>4</xdr:col>
                    <xdr:colOff>281940</xdr:colOff>
                    <xdr:row>454</xdr:row>
                    <xdr:rowOff>198120</xdr:rowOff>
                  </from>
                  <to>
                    <xdr:col>4</xdr:col>
                    <xdr:colOff>518160</xdr:colOff>
                    <xdr:row>454</xdr:row>
                    <xdr:rowOff>533400</xdr:rowOff>
                  </to>
                </anchor>
              </controlPr>
            </control>
          </mc:Choice>
        </mc:AlternateContent>
        <mc:AlternateContent xmlns:mc="http://schemas.openxmlformats.org/markup-compatibility/2006">
          <mc:Choice Requires="x14">
            <control shapeId="2629" r:id="rId570" name="Check Box 581">
              <controlPr defaultSize="0" autoFill="0" autoLine="0" autoPict="0">
                <anchor moveWithCells="1">
                  <from>
                    <xdr:col>4</xdr:col>
                    <xdr:colOff>281940</xdr:colOff>
                    <xdr:row>454</xdr:row>
                    <xdr:rowOff>198120</xdr:rowOff>
                  </from>
                  <to>
                    <xdr:col>4</xdr:col>
                    <xdr:colOff>518160</xdr:colOff>
                    <xdr:row>454</xdr:row>
                    <xdr:rowOff>533400</xdr:rowOff>
                  </to>
                </anchor>
              </controlPr>
            </control>
          </mc:Choice>
        </mc:AlternateContent>
        <mc:AlternateContent xmlns:mc="http://schemas.openxmlformats.org/markup-compatibility/2006">
          <mc:Choice Requires="x14">
            <control shapeId="2630" r:id="rId571" name="Check Box 582">
              <controlPr defaultSize="0" autoFill="0" autoLine="0" autoPict="0">
                <anchor moveWithCells="1">
                  <from>
                    <xdr:col>4</xdr:col>
                    <xdr:colOff>281940</xdr:colOff>
                    <xdr:row>455</xdr:row>
                    <xdr:rowOff>198120</xdr:rowOff>
                  </from>
                  <to>
                    <xdr:col>4</xdr:col>
                    <xdr:colOff>518160</xdr:colOff>
                    <xdr:row>455</xdr:row>
                    <xdr:rowOff>533400</xdr:rowOff>
                  </to>
                </anchor>
              </controlPr>
            </control>
          </mc:Choice>
        </mc:AlternateContent>
        <mc:AlternateContent xmlns:mc="http://schemas.openxmlformats.org/markup-compatibility/2006">
          <mc:Choice Requires="x14">
            <control shapeId="2631" r:id="rId572" name="Check Box 583">
              <controlPr defaultSize="0" autoFill="0" autoLine="0" autoPict="0">
                <anchor moveWithCells="1">
                  <from>
                    <xdr:col>4</xdr:col>
                    <xdr:colOff>281940</xdr:colOff>
                    <xdr:row>455</xdr:row>
                    <xdr:rowOff>198120</xdr:rowOff>
                  </from>
                  <to>
                    <xdr:col>4</xdr:col>
                    <xdr:colOff>518160</xdr:colOff>
                    <xdr:row>455</xdr:row>
                    <xdr:rowOff>533400</xdr:rowOff>
                  </to>
                </anchor>
              </controlPr>
            </control>
          </mc:Choice>
        </mc:AlternateContent>
        <mc:AlternateContent xmlns:mc="http://schemas.openxmlformats.org/markup-compatibility/2006">
          <mc:Choice Requires="x14">
            <control shapeId="2632" r:id="rId573" name="Check Box 584">
              <controlPr defaultSize="0" autoFill="0" autoLine="0" autoPict="0">
                <anchor moveWithCells="1">
                  <from>
                    <xdr:col>4</xdr:col>
                    <xdr:colOff>281940</xdr:colOff>
                    <xdr:row>456</xdr:row>
                    <xdr:rowOff>198120</xdr:rowOff>
                  </from>
                  <to>
                    <xdr:col>4</xdr:col>
                    <xdr:colOff>518160</xdr:colOff>
                    <xdr:row>456</xdr:row>
                    <xdr:rowOff>533400</xdr:rowOff>
                  </to>
                </anchor>
              </controlPr>
            </control>
          </mc:Choice>
        </mc:AlternateContent>
        <mc:AlternateContent xmlns:mc="http://schemas.openxmlformats.org/markup-compatibility/2006">
          <mc:Choice Requires="x14">
            <control shapeId="2633" r:id="rId574" name="Check Box 585">
              <controlPr defaultSize="0" autoFill="0" autoLine="0" autoPict="0">
                <anchor moveWithCells="1">
                  <from>
                    <xdr:col>4</xdr:col>
                    <xdr:colOff>281940</xdr:colOff>
                    <xdr:row>456</xdr:row>
                    <xdr:rowOff>198120</xdr:rowOff>
                  </from>
                  <to>
                    <xdr:col>4</xdr:col>
                    <xdr:colOff>518160</xdr:colOff>
                    <xdr:row>456</xdr:row>
                    <xdr:rowOff>533400</xdr:rowOff>
                  </to>
                </anchor>
              </controlPr>
            </control>
          </mc:Choice>
        </mc:AlternateContent>
        <mc:AlternateContent xmlns:mc="http://schemas.openxmlformats.org/markup-compatibility/2006">
          <mc:Choice Requires="x14">
            <control shapeId="2634" r:id="rId575" name="Check Box 586">
              <controlPr defaultSize="0" autoFill="0" autoLine="0" autoPict="0">
                <anchor moveWithCells="1">
                  <from>
                    <xdr:col>4</xdr:col>
                    <xdr:colOff>281940</xdr:colOff>
                    <xdr:row>459</xdr:row>
                    <xdr:rowOff>198120</xdr:rowOff>
                  </from>
                  <to>
                    <xdr:col>4</xdr:col>
                    <xdr:colOff>518160</xdr:colOff>
                    <xdr:row>459</xdr:row>
                    <xdr:rowOff>533400</xdr:rowOff>
                  </to>
                </anchor>
              </controlPr>
            </control>
          </mc:Choice>
        </mc:AlternateContent>
        <mc:AlternateContent xmlns:mc="http://schemas.openxmlformats.org/markup-compatibility/2006">
          <mc:Choice Requires="x14">
            <control shapeId="2635" r:id="rId576" name="Check Box 587">
              <controlPr defaultSize="0" autoFill="0" autoLine="0" autoPict="0">
                <anchor moveWithCells="1">
                  <from>
                    <xdr:col>4</xdr:col>
                    <xdr:colOff>281940</xdr:colOff>
                    <xdr:row>459</xdr:row>
                    <xdr:rowOff>198120</xdr:rowOff>
                  </from>
                  <to>
                    <xdr:col>4</xdr:col>
                    <xdr:colOff>518160</xdr:colOff>
                    <xdr:row>459</xdr:row>
                    <xdr:rowOff>533400</xdr:rowOff>
                  </to>
                </anchor>
              </controlPr>
            </control>
          </mc:Choice>
        </mc:AlternateContent>
        <mc:AlternateContent xmlns:mc="http://schemas.openxmlformats.org/markup-compatibility/2006">
          <mc:Choice Requires="x14">
            <control shapeId="2636" r:id="rId577" name="Check Box 588">
              <controlPr defaultSize="0" autoFill="0" autoLine="0" autoPict="0">
                <anchor moveWithCells="1">
                  <from>
                    <xdr:col>4</xdr:col>
                    <xdr:colOff>281940</xdr:colOff>
                    <xdr:row>460</xdr:row>
                    <xdr:rowOff>198120</xdr:rowOff>
                  </from>
                  <to>
                    <xdr:col>4</xdr:col>
                    <xdr:colOff>518160</xdr:colOff>
                    <xdr:row>460</xdr:row>
                    <xdr:rowOff>533400</xdr:rowOff>
                  </to>
                </anchor>
              </controlPr>
            </control>
          </mc:Choice>
        </mc:AlternateContent>
        <mc:AlternateContent xmlns:mc="http://schemas.openxmlformats.org/markup-compatibility/2006">
          <mc:Choice Requires="x14">
            <control shapeId="2637" r:id="rId578" name="Check Box 589">
              <controlPr defaultSize="0" autoFill="0" autoLine="0" autoPict="0">
                <anchor moveWithCells="1">
                  <from>
                    <xdr:col>4</xdr:col>
                    <xdr:colOff>281940</xdr:colOff>
                    <xdr:row>460</xdr:row>
                    <xdr:rowOff>198120</xdr:rowOff>
                  </from>
                  <to>
                    <xdr:col>4</xdr:col>
                    <xdr:colOff>518160</xdr:colOff>
                    <xdr:row>460</xdr:row>
                    <xdr:rowOff>533400</xdr:rowOff>
                  </to>
                </anchor>
              </controlPr>
            </control>
          </mc:Choice>
        </mc:AlternateContent>
        <mc:AlternateContent xmlns:mc="http://schemas.openxmlformats.org/markup-compatibility/2006">
          <mc:Choice Requires="x14">
            <control shapeId="2638" r:id="rId579" name="Check Box 590">
              <controlPr defaultSize="0" autoFill="0" autoLine="0" autoPict="0">
                <anchor moveWithCells="1">
                  <from>
                    <xdr:col>4</xdr:col>
                    <xdr:colOff>281940</xdr:colOff>
                    <xdr:row>461</xdr:row>
                    <xdr:rowOff>198120</xdr:rowOff>
                  </from>
                  <to>
                    <xdr:col>4</xdr:col>
                    <xdr:colOff>518160</xdr:colOff>
                    <xdr:row>461</xdr:row>
                    <xdr:rowOff>533400</xdr:rowOff>
                  </to>
                </anchor>
              </controlPr>
            </control>
          </mc:Choice>
        </mc:AlternateContent>
        <mc:AlternateContent xmlns:mc="http://schemas.openxmlformats.org/markup-compatibility/2006">
          <mc:Choice Requires="x14">
            <control shapeId="2639" r:id="rId580" name="Check Box 591">
              <controlPr defaultSize="0" autoFill="0" autoLine="0" autoPict="0">
                <anchor moveWithCells="1">
                  <from>
                    <xdr:col>4</xdr:col>
                    <xdr:colOff>281940</xdr:colOff>
                    <xdr:row>461</xdr:row>
                    <xdr:rowOff>198120</xdr:rowOff>
                  </from>
                  <to>
                    <xdr:col>4</xdr:col>
                    <xdr:colOff>518160</xdr:colOff>
                    <xdr:row>461</xdr:row>
                    <xdr:rowOff>533400</xdr:rowOff>
                  </to>
                </anchor>
              </controlPr>
            </control>
          </mc:Choice>
        </mc:AlternateContent>
        <mc:AlternateContent xmlns:mc="http://schemas.openxmlformats.org/markup-compatibility/2006">
          <mc:Choice Requires="x14">
            <control shapeId="2640" r:id="rId581" name="Check Box 592">
              <controlPr defaultSize="0" autoFill="0" autoLine="0" autoPict="0">
                <anchor moveWithCells="1">
                  <from>
                    <xdr:col>4</xdr:col>
                    <xdr:colOff>281940</xdr:colOff>
                    <xdr:row>462</xdr:row>
                    <xdr:rowOff>198120</xdr:rowOff>
                  </from>
                  <to>
                    <xdr:col>4</xdr:col>
                    <xdr:colOff>518160</xdr:colOff>
                    <xdr:row>462</xdr:row>
                    <xdr:rowOff>533400</xdr:rowOff>
                  </to>
                </anchor>
              </controlPr>
            </control>
          </mc:Choice>
        </mc:AlternateContent>
        <mc:AlternateContent xmlns:mc="http://schemas.openxmlformats.org/markup-compatibility/2006">
          <mc:Choice Requires="x14">
            <control shapeId="2641" r:id="rId582" name="Check Box 593">
              <controlPr defaultSize="0" autoFill="0" autoLine="0" autoPict="0">
                <anchor moveWithCells="1">
                  <from>
                    <xdr:col>4</xdr:col>
                    <xdr:colOff>281940</xdr:colOff>
                    <xdr:row>462</xdr:row>
                    <xdr:rowOff>198120</xdr:rowOff>
                  </from>
                  <to>
                    <xdr:col>4</xdr:col>
                    <xdr:colOff>518160</xdr:colOff>
                    <xdr:row>462</xdr:row>
                    <xdr:rowOff>533400</xdr:rowOff>
                  </to>
                </anchor>
              </controlPr>
            </control>
          </mc:Choice>
        </mc:AlternateContent>
        <mc:AlternateContent xmlns:mc="http://schemas.openxmlformats.org/markup-compatibility/2006">
          <mc:Choice Requires="x14">
            <control shapeId="2642" r:id="rId583" name="Check Box 594">
              <controlPr defaultSize="0" autoFill="0" autoLine="0" autoPict="0">
                <anchor moveWithCells="1">
                  <from>
                    <xdr:col>4</xdr:col>
                    <xdr:colOff>281940</xdr:colOff>
                    <xdr:row>463</xdr:row>
                    <xdr:rowOff>198120</xdr:rowOff>
                  </from>
                  <to>
                    <xdr:col>4</xdr:col>
                    <xdr:colOff>518160</xdr:colOff>
                    <xdr:row>463</xdr:row>
                    <xdr:rowOff>533400</xdr:rowOff>
                  </to>
                </anchor>
              </controlPr>
            </control>
          </mc:Choice>
        </mc:AlternateContent>
        <mc:AlternateContent xmlns:mc="http://schemas.openxmlformats.org/markup-compatibility/2006">
          <mc:Choice Requires="x14">
            <control shapeId="2643" r:id="rId584" name="Check Box 595">
              <controlPr defaultSize="0" autoFill="0" autoLine="0" autoPict="0">
                <anchor moveWithCells="1">
                  <from>
                    <xdr:col>4</xdr:col>
                    <xdr:colOff>281940</xdr:colOff>
                    <xdr:row>463</xdr:row>
                    <xdr:rowOff>198120</xdr:rowOff>
                  </from>
                  <to>
                    <xdr:col>4</xdr:col>
                    <xdr:colOff>518160</xdr:colOff>
                    <xdr:row>463</xdr:row>
                    <xdr:rowOff>533400</xdr:rowOff>
                  </to>
                </anchor>
              </controlPr>
            </control>
          </mc:Choice>
        </mc:AlternateContent>
        <mc:AlternateContent xmlns:mc="http://schemas.openxmlformats.org/markup-compatibility/2006">
          <mc:Choice Requires="x14">
            <control shapeId="2644" r:id="rId585" name="Check Box 596">
              <controlPr defaultSize="0" autoFill="0" autoLine="0" autoPict="0">
                <anchor moveWithCells="1">
                  <from>
                    <xdr:col>4</xdr:col>
                    <xdr:colOff>281940</xdr:colOff>
                    <xdr:row>464</xdr:row>
                    <xdr:rowOff>198120</xdr:rowOff>
                  </from>
                  <to>
                    <xdr:col>4</xdr:col>
                    <xdr:colOff>518160</xdr:colOff>
                    <xdr:row>464</xdr:row>
                    <xdr:rowOff>533400</xdr:rowOff>
                  </to>
                </anchor>
              </controlPr>
            </control>
          </mc:Choice>
        </mc:AlternateContent>
        <mc:AlternateContent xmlns:mc="http://schemas.openxmlformats.org/markup-compatibility/2006">
          <mc:Choice Requires="x14">
            <control shapeId="2645" r:id="rId586" name="Check Box 597">
              <controlPr defaultSize="0" autoFill="0" autoLine="0" autoPict="0">
                <anchor moveWithCells="1">
                  <from>
                    <xdr:col>4</xdr:col>
                    <xdr:colOff>281940</xdr:colOff>
                    <xdr:row>464</xdr:row>
                    <xdr:rowOff>198120</xdr:rowOff>
                  </from>
                  <to>
                    <xdr:col>4</xdr:col>
                    <xdr:colOff>518160</xdr:colOff>
                    <xdr:row>464</xdr:row>
                    <xdr:rowOff>533400</xdr:rowOff>
                  </to>
                </anchor>
              </controlPr>
            </control>
          </mc:Choice>
        </mc:AlternateContent>
        <mc:AlternateContent xmlns:mc="http://schemas.openxmlformats.org/markup-compatibility/2006">
          <mc:Choice Requires="x14">
            <control shapeId="2646" r:id="rId587" name="Check Box 598">
              <controlPr defaultSize="0" autoFill="0" autoLine="0" autoPict="0">
                <anchor moveWithCells="1">
                  <from>
                    <xdr:col>4</xdr:col>
                    <xdr:colOff>281940</xdr:colOff>
                    <xdr:row>465</xdr:row>
                    <xdr:rowOff>198120</xdr:rowOff>
                  </from>
                  <to>
                    <xdr:col>4</xdr:col>
                    <xdr:colOff>518160</xdr:colOff>
                    <xdr:row>465</xdr:row>
                    <xdr:rowOff>533400</xdr:rowOff>
                  </to>
                </anchor>
              </controlPr>
            </control>
          </mc:Choice>
        </mc:AlternateContent>
        <mc:AlternateContent xmlns:mc="http://schemas.openxmlformats.org/markup-compatibility/2006">
          <mc:Choice Requires="x14">
            <control shapeId="2647" r:id="rId588" name="Check Box 599">
              <controlPr defaultSize="0" autoFill="0" autoLine="0" autoPict="0">
                <anchor moveWithCells="1">
                  <from>
                    <xdr:col>4</xdr:col>
                    <xdr:colOff>281940</xdr:colOff>
                    <xdr:row>465</xdr:row>
                    <xdr:rowOff>198120</xdr:rowOff>
                  </from>
                  <to>
                    <xdr:col>4</xdr:col>
                    <xdr:colOff>518160</xdr:colOff>
                    <xdr:row>465</xdr:row>
                    <xdr:rowOff>533400</xdr:rowOff>
                  </to>
                </anchor>
              </controlPr>
            </control>
          </mc:Choice>
        </mc:AlternateContent>
        <mc:AlternateContent xmlns:mc="http://schemas.openxmlformats.org/markup-compatibility/2006">
          <mc:Choice Requires="x14">
            <control shapeId="2648" r:id="rId589" name="Check Box 600">
              <controlPr defaultSize="0" autoFill="0" autoLine="0" autoPict="0">
                <anchor moveWithCells="1">
                  <from>
                    <xdr:col>4</xdr:col>
                    <xdr:colOff>281940</xdr:colOff>
                    <xdr:row>466</xdr:row>
                    <xdr:rowOff>198120</xdr:rowOff>
                  </from>
                  <to>
                    <xdr:col>4</xdr:col>
                    <xdr:colOff>518160</xdr:colOff>
                    <xdr:row>466</xdr:row>
                    <xdr:rowOff>533400</xdr:rowOff>
                  </to>
                </anchor>
              </controlPr>
            </control>
          </mc:Choice>
        </mc:AlternateContent>
        <mc:AlternateContent xmlns:mc="http://schemas.openxmlformats.org/markup-compatibility/2006">
          <mc:Choice Requires="x14">
            <control shapeId="2649" r:id="rId590" name="Check Box 601">
              <controlPr defaultSize="0" autoFill="0" autoLine="0" autoPict="0">
                <anchor moveWithCells="1">
                  <from>
                    <xdr:col>4</xdr:col>
                    <xdr:colOff>281940</xdr:colOff>
                    <xdr:row>466</xdr:row>
                    <xdr:rowOff>198120</xdr:rowOff>
                  </from>
                  <to>
                    <xdr:col>4</xdr:col>
                    <xdr:colOff>518160</xdr:colOff>
                    <xdr:row>466</xdr:row>
                    <xdr:rowOff>533400</xdr:rowOff>
                  </to>
                </anchor>
              </controlPr>
            </control>
          </mc:Choice>
        </mc:AlternateContent>
        <mc:AlternateContent xmlns:mc="http://schemas.openxmlformats.org/markup-compatibility/2006">
          <mc:Choice Requires="x14">
            <control shapeId="2650" r:id="rId591" name="Check Box 602">
              <controlPr defaultSize="0" autoFill="0" autoLine="0" autoPict="0">
                <anchor moveWithCells="1">
                  <from>
                    <xdr:col>4</xdr:col>
                    <xdr:colOff>281940</xdr:colOff>
                    <xdr:row>468</xdr:row>
                    <xdr:rowOff>198120</xdr:rowOff>
                  </from>
                  <to>
                    <xdr:col>4</xdr:col>
                    <xdr:colOff>518160</xdr:colOff>
                    <xdr:row>468</xdr:row>
                    <xdr:rowOff>533400</xdr:rowOff>
                  </to>
                </anchor>
              </controlPr>
            </control>
          </mc:Choice>
        </mc:AlternateContent>
        <mc:AlternateContent xmlns:mc="http://schemas.openxmlformats.org/markup-compatibility/2006">
          <mc:Choice Requires="x14">
            <control shapeId="2651" r:id="rId592" name="Check Box 603">
              <controlPr defaultSize="0" autoFill="0" autoLine="0" autoPict="0">
                <anchor moveWithCells="1">
                  <from>
                    <xdr:col>4</xdr:col>
                    <xdr:colOff>281940</xdr:colOff>
                    <xdr:row>468</xdr:row>
                    <xdr:rowOff>198120</xdr:rowOff>
                  </from>
                  <to>
                    <xdr:col>4</xdr:col>
                    <xdr:colOff>518160</xdr:colOff>
                    <xdr:row>468</xdr:row>
                    <xdr:rowOff>533400</xdr:rowOff>
                  </to>
                </anchor>
              </controlPr>
            </control>
          </mc:Choice>
        </mc:AlternateContent>
        <mc:AlternateContent xmlns:mc="http://schemas.openxmlformats.org/markup-compatibility/2006">
          <mc:Choice Requires="x14">
            <control shapeId="2652" r:id="rId593" name="Check Box 604">
              <controlPr defaultSize="0" autoFill="0" autoLine="0" autoPict="0">
                <anchor moveWithCells="1">
                  <from>
                    <xdr:col>4</xdr:col>
                    <xdr:colOff>281940</xdr:colOff>
                    <xdr:row>469</xdr:row>
                    <xdr:rowOff>198120</xdr:rowOff>
                  </from>
                  <to>
                    <xdr:col>4</xdr:col>
                    <xdr:colOff>518160</xdr:colOff>
                    <xdr:row>469</xdr:row>
                    <xdr:rowOff>533400</xdr:rowOff>
                  </to>
                </anchor>
              </controlPr>
            </control>
          </mc:Choice>
        </mc:AlternateContent>
        <mc:AlternateContent xmlns:mc="http://schemas.openxmlformats.org/markup-compatibility/2006">
          <mc:Choice Requires="x14">
            <control shapeId="2653" r:id="rId594" name="Check Box 605">
              <controlPr defaultSize="0" autoFill="0" autoLine="0" autoPict="0">
                <anchor moveWithCells="1">
                  <from>
                    <xdr:col>4</xdr:col>
                    <xdr:colOff>281940</xdr:colOff>
                    <xdr:row>469</xdr:row>
                    <xdr:rowOff>198120</xdr:rowOff>
                  </from>
                  <to>
                    <xdr:col>4</xdr:col>
                    <xdr:colOff>518160</xdr:colOff>
                    <xdr:row>469</xdr:row>
                    <xdr:rowOff>533400</xdr:rowOff>
                  </to>
                </anchor>
              </controlPr>
            </control>
          </mc:Choice>
        </mc:AlternateContent>
        <mc:AlternateContent xmlns:mc="http://schemas.openxmlformats.org/markup-compatibility/2006">
          <mc:Choice Requires="x14">
            <control shapeId="2654" r:id="rId595" name="Check Box 606">
              <controlPr defaultSize="0" autoFill="0" autoLine="0" autoPict="0">
                <anchor moveWithCells="1">
                  <from>
                    <xdr:col>4</xdr:col>
                    <xdr:colOff>281940</xdr:colOff>
                    <xdr:row>470</xdr:row>
                    <xdr:rowOff>198120</xdr:rowOff>
                  </from>
                  <to>
                    <xdr:col>4</xdr:col>
                    <xdr:colOff>518160</xdr:colOff>
                    <xdr:row>470</xdr:row>
                    <xdr:rowOff>533400</xdr:rowOff>
                  </to>
                </anchor>
              </controlPr>
            </control>
          </mc:Choice>
        </mc:AlternateContent>
        <mc:AlternateContent xmlns:mc="http://schemas.openxmlformats.org/markup-compatibility/2006">
          <mc:Choice Requires="x14">
            <control shapeId="2655" r:id="rId596" name="Check Box 607">
              <controlPr defaultSize="0" autoFill="0" autoLine="0" autoPict="0">
                <anchor moveWithCells="1">
                  <from>
                    <xdr:col>4</xdr:col>
                    <xdr:colOff>281940</xdr:colOff>
                    <xdr:row>470</xdr:row>
                    <xdr:rowOff>198120</xdr:rowOff>
                  </from>
                  <to>
                    <xdr:col>4</xdr:col>
                    <xdr:colOff>518160</xdr:colOff>
                    <xdr:row>470</xdr:row>
                    <xdr:rowOff>533400</xdr:rowOff>
                  </to>
                </anchor>
              </controlPr>
            </control>
          </mc:Choice>
        </mc:AlternateContent>
        <mc:AlternateContent xmlns:mc="http://schemas.openxmlformats.org/markup-compatibility/2006">
          <mc:Choice Requires="x14">
            <control shapeId="2656" r:id="rId597" name="Check Box 608">
              <controlPr defaultSize="0" autoFill="0" autoLine="0" autoPict="0">
                <anchor moveWithCells="1">
                  <from>
                    <xdr:col>4</xdr:col>
                    <xdr:colOff>281940</xdr:colOff>
                    <xdr:row>472</xdr:row>
                    <xdr:rowOff>198120</xdr:rowOff>
                  </from>
                  <to>
                    <xdr:col>4</xdr:col>
                    <xdr:colOff>518160</xdr:colOff>
                    <xdr:row>472</xdr:row>
                    <xdr:rowOff>533400</xdr:rowOff>
                  </to>
                </anchor>
              </controlPr>
            </control>
          </mc:Choice>
        </mc:AlternateContent>
        <mc:AlternateContent xmlns:mc="http://schemas.openxmlformats.org/markup-compatibility/2006">
          <mc:Choice Requires="x14">
            <control shapeId="2657" r:id="rId598" name="Check Box 609">
              <controlPr defaultSize="0" autoFill="0" autoLine="0" autoPict="0">
                <anchor moveWithCells="1">
                  <from>
                    <xdr:col>4</xdr:col>
                    <xdr:colOff>281940</xdr:colOff>
                    <xdr:row>472</xdr:row>
                    <xdr:rowOff>198120</xdr:rowOff>
                  </from>
                  <to>
                    <xdr:col>4</xdr:col>
                    <xdr:colOff>518160</xdr:colOff>
                    <xdr:row>472</xdr:row>
                    <xdr:rowOff>533400</xdr:rowOff>
                  </to>
                </anchor>
              </controlPr>
            </control>
          </mc:Choice>
        </mc:AlternateContent>
        <mc:AlternateContent xmlns:mc="http://schemas.openxmlformats.org/markup-compatibility/2006">
          <mc:Choice Requires="x14">
            <control shapeId="2658" r:id="rId599" name="Check Box 610">
              <controlPr defaultSize="0" autoFill="0" autoLine="0" autoPict="0">
                <anchor moveWithCells="1">
                  <from>
                    <xdr:col>4</xdr:col>
                    <xdr:colOff>281940</xdr:colOff>
                    <xdr:row>473</xdr:row>
                    <xdr:rowOff>198120</xdr:rowOff>
                  </from>
                  <to>
                    <xdr:col>4</xdr:col>
                    <xdr:colOff>518160</xdr:colOff>
                    <xdr:row>473</xdr:row>
                    <xdr:rowOff>533400</xdr:rowOff>
                  </to>
                </anchor>
              </controlPr>
            </control>
          </mc:Choice>
        </mc:AlternateContent>
        <mc:AlternateContent xmlns:mc="http://schemas.openxmlformats.org/markup-compatibility/2006">
          <mc:Choice Requires="x14">
            <control shapeId="2659" r:id="rId600" name="Check Box 611">
              <controlPr defaultSize="0" autoFill="0" autoLine="0" autoPict="0">
                <anchor moveWithCells="1">
                  <from>
                    <xdr:col>4</xdr:col>
                    <xdr:colOff>281940</xdr:colOff>
                    <xdr:row>473</xdr:row>
                    <xdr:rowOff>198120</xdr:rowOff>
                  </from>
                  <to>
                    <xdr:col>4</xdr:col>
                    <xdr:colOff>518160</xdr:colOff>
                    <xdr:row>473</xdr:row>
                    <xdr:rowOff>533400</xdr:rowOff>
                  </to>
                </anchor>
              </controlPr>
            </control>
          </mc:Choice>
        </mc:AlternateContent>
        <mc:AlternateContent xmlns:mc="http://schemas.openxmlformats.org/markup-compatibility/2006">
          <mc:Choice Requires="x14">
            <control shapeId="2660" r:id="rId601" name="Check Box 612">
              <controlPr defaultSize="0" autoFill="0" autoLine="0" autoPict="0">
                <anchor moveWithCells="1">
                  <from>
                    <xdr:col>4</xdr:col>
                    <xdr:colOff>281940</xdr:colOff>
                    <xdr:row>474</xdr:row>
                    <xdr:rowOff>198120</xdr:rowOff>
                  </from>
                  <to>
                    <xdr:col>4</xdr:col>
                    <xdr:colOff>518160</xdr:colOff>
                    <xdr:row>474</xdr:row>
                    <xdr:rowOff>533400</xdr:rowOff>
                  </to>
                </anchor>
              </controlPr>
            </control>
          </mc:Choice>
        </mc:AlternateContent>
        <mc:AlternateContent xmlns:mc="http://schemas.openxmlformats.org/markup-compatibility/2006">
          <mc:Choice Requires="x14">
            <control shapeId="2661" r:id="rId602" name="Check Box 613">
              <controlPr defaultSize="0" autoFill="0" autoLine="0" autoPict="0">
                <anchor moveWithCells="1">
                  <from>
                    <xdr:col>4</xdr:col>
                    <xdr:colOff>281940</xdr:colOff>
                    <xdr:row>474</xdr:row>
                    <xdr:rowOff>198120</xdr:rowOff>
                  </from>
                  <to>
                    <xdr:col>4</xdr:col>
                    <xdr:colOff>518160</xdr:colOff>
                    <xdr:row>474</xdr:row>
                    <xdr:rowOff>533400</xdr:rowOff>
                  </to>
                </anchor>
              </controlPr>
            </control>
          </mc:Choice>
        </mc:AlternateContent>
        <mc:AlternateContent xmlns:mc="http://schemas.openxmlformats.org/markup-compatibility/2006">
          <mc:Choice Requires="x14">
            <control shapeId="2662" r:id="rId603" name="Check Box 614">
              <controlPr defaultSize="0" autoFill="0" autoLine="0" autoPict="0">
                <anchor moveWithCells="1">
                  <from>
                    <xdr:col>4</xdr:col>
                    <xdr:colOff>281940</xdr:colOff>
                    <xdr:row>476</xdr:row>
                    <xdr:rowOff>198120</xdr:rowOff>
                  </from>
                  <to>
                    <xdr:col>4</xdr:col>
                    <xdr:colOff>518160</xdr:colOff>
                    <xdr:row>476</xdr:row>
                    <xdr:rowOff>533400</xdr:rowOff>
                  </to>
                </anchor>
              </controlPr>
            </control>
          </mc:Choice>
        </mc:AlternateContent>
        <mc:AlternateContent xmlns:mc="http://schemas.openxmlformats.org/markup-compatibility/2006">
          <mc:Choice Requires="x14">
            <control shapeId="2663" r:id="rId604" name="Check Box 615">
              <controlPr defaultSize="0" autoFill="0" autoLine="0" autoPict="0">
                <anchor moveWithCells="1">
                  <from>
                    <xdr:col>4</xdr:col>
                    <xdr:colOff>281940</xdr:colOff>
                    <xdr:row>476</xdr:row>
                    <xdr:rowOff>198120</xdr:rowOff>
                  </from>
                  <to>
                    <xdr:col>4</xdr:col>
                    <xdr:colOff>518160</xdr:colOff>
                    <xdr:row>476</xdr:row>
                    <xdr:rowOff>533400</xdr:rowOff>
                  </to>
                </anchor>
              </controlPr>
            </control>
          </mc:Choice>
        </mc:AlternateContent>
        <mc:AlternateContent xmlns:mc="http://schemas.openxmlformats.org/markup-compatibility/2006">
          <mc:Choice Requires="x14">
            <control shapeId="2664" r:id="rId605" name="Check Box 616">
              <controlPr defaultSize="0" autoFill="0" autoLine="0" autoPict="0">
                <anchor moveWithCells="1">
                  <from>
                    <xdr:col>4</xdr:col>
                    <xdr:colOff>281940</xdr:colOff>
                    <xdr:row>477</xdr:row>
                    <xdr:rowOff>198120</xdr:rowOff>
                  </from>
                  <to>
                    <xdr:col>4</xdr:col>
                    <xdr:colOff>518160</xdr:colOff>
                    <xdr:row>477</xdr:row>
                    <xdr:rowOff>533400</xdr:rowOff>
                  </to>
                </anchor>
              </controlPr>
            </control>
          </mc:Choice>
        </mc:AlternateContent>
        <mc:AlternateContent xmlns:mc="http://schemas.openxmlformats.org/markup-compatibility/2006">
          <mc:Choice Requires="x14">
            <control shapeId="2665" r:id="rId606" name="Check Box 617">
              <controlPr defaultSize="0" autoFill="0" autoLine="0" autoPict="0">
                <anchor moveWithCells="1">
                  <from>
                    <xdr:col>4</xdr:col>
                    <xdr:colOff>281940</xdr:colOff>
                    <xdr:row>477</xdr:row>
                    <xdr:rowOff>198120</xdr:rowOff>
                  </from>
                  <to>
                    <xdr:col>4</xdr:col>
                    <xdr:colOff>518160</xdr:colOff>
                    <xdr:row>477</xdr:row>
                    <xdr:rowOff>533400</xdr:rowOff>
                  </to>
                </anchor>
              </controlPr>
            </control>
          </mc:Choice>
        </mc:AlternateContent>
        <mc:AlternateContent xmlns:mc="http://schemas.openxmlformats.org/markup-compatibility/2006">
          <mc:Choice Requires="x14">
            <control shapeId="2666" r:id="rId607" name="Check Box 618">
              <controlPr defaultSize="0" autoFill="0" autoLine="0" autoPict="0">
                <anchor moveWithCells="1">
                  <from>
                    <xdr:col>4</xdr:col>
                    <xdr:colOff>281940</xdr:colOff>
                    <xdr:row>478</xdr:row>
                    <xdr:rowOff>198120</xdr:rowOff>
                  </from>
                  <to>
                    <xdr:col>4</xdr:col>
                    <xdr:colOff>518160</xdr:colOff>
                    <xdr:row>478</xdr:row>
                    <xdr:rowOff>533400</xdr:rowOff>
                  </to>
                </anchor>
              </controlPr>
            </control>
          </mc:Choice>
        </mc:AlternateContent>
        <mc:AlternateContent xmlns:mc="http://schemas.openxmlformats.org/markup-compatibility/2006">
          <mc:Choice Requires="x14">
            <control shapeId="2667" r:id="rId608" name="Check Box 619">
              <controlPr defaultSize="0" autoFill="0" autoLine="0" autoPict="0">
                <anchor moveWithCells="1">
                  <from>
                    <xdr:col>4</xdr:col>
                    <xdr:colOff>281940</xdr:colOff>
                    <xdr:row>478</xdr:row>
                    <xdr:rowOff>198120</xdr:rowOff>
                  </from>
                  <to>
                    <xdr:col>4</xdr:col>
                    <xdr:colOff>518160</xdr:colOff>
                    <xdr:row>478</xdr:row>
                    <xdr:rowOff>533400</xdr:rowOff>
                  </to>
                </anchor>
              </controlPr>
            </control>
          </mc:Choice>
        </mc:AlternateContent>
        <mc:AlternateContent xmlns:mc="http://schemas.openxmlformats.org/markup-compatibility/2006">
          <mc:Choice Requires="x14">
            <control shapeId="2668" r:id="rId609" name="Check Box 620">
              <controlPr defaultSize="0" autoFill="0" autoLine="0" autoPict="0">
                <anchor moveWithCells="1">
                  <from>
                    <xdr:col>4</xdr:col>
                    <xdr:colOff>281940</xdr:colOff>
                    <xdr:row>479</xdr:row>
                    <xdr:rowOff>198120</xdr:rowOff>
                  </from>
                  <to>
                    <xdr:col>4</xdr:col>
                    <xdr:colOff>518160</xdr:colOff>
                    <xdr:row>479</xdr:row>
                    <xdr:rowOff>533400</xdr:rowOff>
                  </to>
                </anchor>
              </controlPr>
            </control>
          </mc:Choice>
        </mc:AlternateContent>
        <mc:AlternateContent xmlns:mc="http://schemas.openxmlformats.org/markup-compatibility/2006">
          <mc:Choice Requires="x14">
            <control shapeId="2669" r:id="rId610" name="Check Box 621">
              <controlPr defaultSize="0" autoFill="0" autoLine="0" autoPict="0">
                <anchor moveWithCells="1">
                  <from>
                    <xdr:col>4</xdr:col>
                    <xdr:colOff>281940</xdr:colOff>
                    <xdr:row>479</xdr:row>
                    <xdr:rowOff>198120</xdr:rowOff>
                  </from>
                  <to>
                    <xdr:col>4</xdr:col>
                    <xdr:colOff>518160</xdr:colOff>
                    <xdr:row>479</xdr:row>
                    <xdr:rowOff>533400</xdr:rowOff>
                  </to>
                </anchor>
              </controlPr>
            </control>
          </mc:Choice>
        </mc:AlternateContent>
        <mc:AlternateContent xmlns:mc="http://schemas.openxmlformats.org/markup-compatibility/2006">
          <mc:Choice Requires="x14">
            <control shapeId="2670" r:id="rId611" name="Check Box 622">
              <controlPr defaultSize="0" autoFill="0" autoLine="0" autoPict="0">
                <anchor moveWithCells="1">
                  <from>
                    <xdr:col>4</xdr:col>
                    <xdr:colOff>281940</xdr:colOff>
                    <xdr:row>480</xdr:row>
                    <xdr:rowOff>198120</xdr:rowOff>
                  </from>
                  <to>
                    <xdr:col>4</xdr:col>
                    <xdr:colOff>518160</xdr:colOff>
                    <xdr:row>480</xdr:row>
                    <xdr:rowOff>533400</xdr:rowOff>
                  </to>
                </anchor>
              </controlPr>
            </control>
          </mc:Choice>
        </mc:AlternateContent>
        <mc:AlternateContent xmlns:mc="http://schemas.openxmlformats.org/markup-compatibility/2006">
          <mc:Choice Requires="x14">
            <control shapeId="2671" r:id="rId612" name="Check Box 623">
              <controlPr defaultSize="0" autoFill="0" autoLine="0" autoPict="0">
                <anchor moveWithCells="1">
                  <from>
                    <xdr:col>4</xdr:col>
                    <xdr:colOff>281940</xdr:colOff>
                    <xdr:row>480</xdr:row>
                    <xdr:rowOff>198120</xdr:rowOff>
                  </from>
                  <to>
                    <xdr:col>4</xdr:col>
                    <xdr:colOff>518160</xdr:colOff>
                    <xdr:row>480</xdr:row>
                    <xdr:rowOff>533400</xdr:rowOff>
                  </to>
                </anchor>
              </controlPr>
            </control>
          </mc:Choice>
        </mc:AlternateContent>
        <mc:AlternateContent xmlns:mc="http://schemas.openxmlformats.org/markup-compatibility/2006">
          <mc:Choice Requires="x14">
            <control shapeId="2672" r:id="rId613" name="Check Box 624">
              <controlPr defaultSize="0" autoFill="0" autoLine="0" autoPict="0">
                <anchor moveWithCells="1">
                  <from>
                    <xdr:col>4</xdr:col>
                    <xdr:colOff>281940</xdr:colOff>
                    <xdr:row>482</xdr:row>
                    <xdr:rowOff>198120</xdr:rowOff>
                  </from>
                  <to>
                    <xdr:col>4</xdr:col>
                    <xdr:colOff>518160</xdr:colOff>
                    <xdr:row>482</xdr:row>
                    <xdr:rowOff>533400</xdr:rowOff>
                  </to>
                </anchor>
              </controlPr>
            </control>
          </mc:Choice>
        </mc:AlternateContent>
        <mc:AlternateContent xmlns:mc="http://schemas.openxmlformats.org/markup-compatibility/2006">
          <mc:Choice Requires="x14">
            <control shapeId="2673" r:id="rId614" name="Check Box 625">
              <controlPr defaultSize="0" autoFill="0" autoLine="0" autoPict="0">
                <anchor moveWithCells="1">
                  <from>
                    <xdr:col>4</xdr:col>
                    <xdr:colOff>281940</xdr:colOff>
                    <xdr:row>482</xdr:row>
                    <xdr:rowOff>198120</xdr:rowOff>
                  </from>
                  <to>
                    <xdr:col>4</xdr:col>
                    <xdr:colOff>518160</xdr:colOff>
                    <xdr:row>482</xdr:row>
                    <xdr:rowOff>533400</xdr:rowOff>
                  </to>
                </anchor>
              </controlPr>
            </control>
          </mc:Choice>
        </mc:AlternateContent>
        <mc:AlternateContent xmlns:mc="http://schemas.openxmlformats.org/markup-compatibility/2006">
          <mc:Choice Requires="x14">
            <control shapeId="2674" r:id="rId615" name="Check Box 626">
              <controlPr defaultSize="0" autoFill="0" autoLine="0" autoPict="0">
                <anchor moveWithCells="1">
                  <from>
                    <xdr:col>4</xdr:col>
                    <xdr:colOff>281940</xdr:colOff>
                    <xdr:row>483</xdr:row>
                    <xdr:rowOff>198120</xdr:rowOff>
                  </from>
                  <to>
                    <xdr:col>4</xdr:col>
                    <xdr:colOff>518160</xdr:colOff>
                    <xdr:row>483</xdr:row>
                    <xdr:rowOff>533400</xdr:rowOff>
                  </to>
                </anchor>
              </controlPr>
            </control>
          </mc:Choice>
        </mc:AlternateContent>
        <mc:AlternateContent xmlns:mc="http://schemas.openxmlformats.org/markup-compatibility/2006">
          <mc:Choice Requires="x14">
            <control shapeId="2675" r:id="rId616" name="Check Box 627">
              <controlPr defaultSize="0" autoFill="0" autoLine="0" autoPict="0">
                <anchor moveWithCells="1">
                  <from>
                    <xdr:col>4</xdr:col>
                    <xdr:colOff>281940</xdr:colOff>
                    <xdr:row>483</xdr:row>
                    <xdr:rowOff>198120</xdr:rowOff>
                  </from>
                  <to>
                    <xdr:col>4</xdr:col>
                    <xdr:colOff>518160</xdr:colOff>
                    <xdr:row>483</xdr:row>
                    <xdr:rowOff>533400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F1</vt:lpstr>
      <vt:lpstr>F2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shakil rohimun</dc:creator>
  <cp:lastModifiedBy>shakil abdul</cp:lastModifiedBy>
  <dcterms:created xsi:type="dcterms:W3CDTF">2024-01-29T19:56:56Z</dcterms:created>
  <dcterms:modified xsi:type="dcterms:W3CDTF">2024-02-11T19:19:23Z</dcterms:modified>
</cp:coreProperties>
</file>